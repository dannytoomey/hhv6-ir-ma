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eisinger-my.sharepoint.com/personal/dtoomey_geisinger_edu/Documents/Documents/External projects/HHV6/Immune reconstitution/Data and Results/"/>
    </mc:Choice>
  </mc:AlternateContent>
  <xr:revisionPtr revIDLastSave="38" documentId="11_FD79FC821BA8CD7949C9F7822A6F8F286699F16F" xr6:coauthVersionLast="47" xr6:coauthVersionMax="47" xr10:uidLastSave="{FCB91DE0-15BD-41E9-A105-DB2DDFAA10D7}"/>
  <bookViews>
    <workbookView xWindow="-110" yWindow="-110" windowWidth="19420" windowHeight="11500" xr2:uid="{00000000-000D-0000-FFFF-FFFF00000000}"/>
  </bookViews>
  <sheets>
    <sheet name="Included" sheetId="1" r:id="rId1"/>
    <sheet name="Full-text review" sheetId="2" r:id="rId2"/>
    <sheet name="Screening" sheetId="3" r:id="rId3"/>
    <sheet name="Search compare" sheetId="4" r:id="rId4"/>
    <sheet name="2024-07-07 pubmed search result" sheetId="5" r:id="rId5"/>
    <sheet name="2024-01-31 pubmed search resul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vpVPkfcAXZuqehxNgWjBgQ4yvTMq+D3FM4fOzu8lZX0="/>
    </ext>
  </extLst>
</workbook>
</file>

<file path=xl/calcChain.xml><?xml version="1.0" encoding="utf-8"?>
<calcChain xmlns="http://schemas.openxmlformats.org/spreadsheetml/2006/main">
  <c r="C1743" i="4" l="1"/>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H31" i="4"/>
  <c r="G31" i="4" a="1"/>
  <c r="G31" i="4" s="1"/>
  <c r="F31" i="4" a="1"/>
  <c r="F31" i="4" s="1"/>
  <c r="E31" i="4" a="1"/>
  <c r="E31" i="4" s="1"/>
  <c r="C31" i="4"/>
  <c r="H30" i="4"/>
  <c r="G30" i="4" a="1"/>
  <c r="G30" i="4" s="1"/>
  <c r="F30" i="4" a="1"/>
  <c r="F30" i="4" s="1"/>
  <c r="E30" i="4" a="1"/>
  <c r="E30" i="4" s="1"/>
  <c r="C30" i="4"/>
  <c r="H29" i="4"/>
  <c r="G29" i="4" a="1"/>
  <c r="G29" i="4"/>
  <c r="F29" i="4" a="1"/>
  <c r="F29" i="4" s="1"/>
  <c r="E29" i="4" a="1"/>
  <c r="E29" i="4" s="1"/>
  <c r="C29" i="4"/>
  <c r="H28" i="4"/>
  <c r="G28" i="4" a="1"/>
  <c r="G28" i="4" s="1"/>
  <c r="F28" i="4" a="1"/>
  <c r="F28" i="4" s="1"/>
  <c r="E28" i="4" a="1"/>
  <c r="E28" i="4" s="1"/>
  <c r="C28" i="4"/>
  <c r="H27" i="4"/>
  <c r="G27" i="4" a="1"/>
  <c r="G27" i="4" s="1"/>
  <c r="F27" i="4" a="1"/>
  <c r="F27" i="4" s="1"/>
  <c r="E27" i="4" a="1"/>
  <c r="E27" i="4" s="1"/>
  <c r="C27" i="4"/>
  <c r="H26" i="4"/>
  <c r="G26" i="4" a="1"/>
  <c r="G26" i="4" s="1"/>
  <c r="F26" i="4" a="1"/>
  <c r="F26" i="4" s="1"/>
  <c r="E26" i="4" a="1"/>
  <c r="E26" i="4" s="1"/>
  <c r="C26" i="4"/>
  <c r="H25" i="4"/>
  <c r="G25" i="4" a="1"/>
  <c r="G25" i="4" s="1"/>
  <c r="F25" i="4" a="1"/>
  <c r="F25" i="4" s="1"/>
  <c r="E25" i="4" a="1"/>
  <c r="E25" i="4" s="1"/>
  <c r="C25" i="4"/>
  <c r="H24" i="4"/>
  <c r="G24" i="4" a="1"/>
  <c r="G24" i="4" s="1"/>
  <c r="F24" i="4" a="1"/>
  <c r="F24" i="4" s="1"/>
  <c r="E24" i="4" a="1"/>
  <c r="E24" i="4"/>
  <c r="C24" i="4"/>
  <c r="H23" i="4"/>
  <c r="G23" i="4" a="1"/>
  <c r="G23" i="4" s="1"/>
  <c r="F23" i="4" a="1"/>
  <c r="F23" i="4" s="1"/>
  <c r="E23" i="4" a="1"/>
  <c r="E23" i="4" s="1"/>
  <c r="C23" i="4"/>
  <c r="H22" i="4"/>
  <c r="G22" i="4" a="1"/>
  <c r="G22" i="4" s="1"/>
  <c r="F22" i="4" a="1"/>
  <c r="F22" i="4" s="1"/>
  <c r="E22" i="4" a="1"/>
  <c r="E22" i="4" s="1"/>
  <c r="C22" i="4"/>
  <c r="H21" i="4"/>
  <c r="G21" i="4" a="1"/>
  <c r="G21" i="4" s="1"/>
  <c r="F21" i="4" a="1"/>
  <c r="F21" i="4" s="1"/>
  <c r="E21" i="4" a="1"/>
  <c r="E21" i="4" s="1"/>
  <c r="C21" i="4"/>
  <c r="H20" i="4"/>
  <c r="G20" i="4" a="1"/>
  <c r="G20" i="4" s="1"/>
  <c r="F20" i="4" a="1"/>
  <c r="F20" i="4" s="1"/>
  <c r="E20" i="4" a="1"/>
  <c r="E20" i="4" s="1"/>
  <c r="C20" i="4"/>
  <c r="H19" i="4"/>
  <c r="G19" i="4" a="1"/>
  <c r="G19" i="4" s="1"/>
  <c r="F19" i="4" a="1"/>
  <c r="F19" i="4" s="1"/>
  <c r="E19" i="4" a="1"/>
  <c r="E19" i="4"/>
  <c r="C19" i="4"/>
  <c r="H18" i="4"/>
  <c r="G18" i="4" a="1"/>
  <c r="G18" i="4" s="1"/>
  <c r="F18" i="4" a="1"/>
  <c r="F18" i="4" s="1"/>
  <c r="E18" i="4" a="1"/>
  <c r="E18" i="4" s="1"/>
  <c r="C18" i="4"/>
  <c r="H17" i="4"/>
  <c r="G17" i="4" a="1"/>
  <c r="G17" i="4" s="1"/>
  <c r="F17" i="4" a="1"/>
  <c r="F17" i="4"/>
  <c r="E17" i="4" a="1"/>
  <c r="E17" i="4" s="1"/>
  <c r="C17" i="4"/>
  <c r="H16" i="4"/>
  <c r="G16" i="4" a="1"/>
  <c r="G16" i="4" s="1"/>
  <c r="F16" i="4" a="1"/>
  <c r="F16" i="4" s="1"/>
  <c r="E16" i="4" a="1"/>
  <c r="E16" i="4" s="1"/>
  <c r="C16" i="4"/>
  <c r="H15" i="4"/>
  <c r="G15" i="4" a="1"/>
  <c r="G15" i="4" s="1"/>
  <c r="F15" i="4" a="1"/>
  <c r="F15" i="4" s="1"/>
  <c r="E15" i="4" a="1"/>
  <c r="E15" i="4" s="1"/>
  <c r="C15" i="4"/>
  <c r="H14" i="4"/>
  <c r="G14" i="4" a="1"/>
  <c r="G14" i="4"/>
  <c r="F14" i="4" a="1"/>
  <c r="F14" i="4" s="1"/>
  <c r="E14" i="4" a="1"/>
  <c r="E14" i="4" s="1"/>
  <c r="C14" i="4"/>
  <c r="H13" i="4"/>
  <c r="G13" i="4" a="1"/>
  <c r="G13" i="4" s="1"/>
  <c r="F13" i="4" a="1"/>
  <c r="F13" i="4" s="1"/>
  <c r="E13" i="4" a="1"/>
  <c r="E13" i="4" s="1"/>
  <c r="C13" i="4"/>
  <c r="H12" i="4"/>
  <c r="G12" i="4" a="1"/>
  <c r="G12" i="4" s="1"/>
  <c r="F12" i="4" a="1"/>
  <c r="F12" i="4" s="1"/>
  <c r="E12" i="4" a="1"/>
  <c r="E12" i="4" s="1"/>
  <c r="C12" i="4"/>
  <c r="H11" i="4"/>
  <c r="G11" i="4" a="1"/>
  <c r="G11" i="4" s="1"/>
  <c r="F11" i="4" a="1"/>
  <c r="F11" i="4" s="1"/>
  <c r="E11" i="4" a="1"/>
  <c r="E11" i="4" s="1"/>
  <c r="C11" i="4"/>
  <c r="H10" i="4"/>
  <c r="G10" i="4" a="1"/>
  <c r="G10" i="4"/>
  <c r="F10" i="4" a="1"/>
  <c r="F10" i="4" s="1"/>
  <c r="E10" i="4" a="1"/>
  <c r="E10" i="4" s="1"/>
  <c r="C10" i="4"/>
  <c r="H9" i="4"/>
  <c r="G9" i="4" a="1"/>
  <c r="G9" i="4" s="1"/>
  <c r="F9" i="4" a="1"/>
  <c r="F9" i="4" s="1"/>
  <c r="E9" i="4" a="1"/>
  <c r="E9" i="4" s="1"/>
  <c r="C9" i="4"/>
  <c r="H8" i="4"/>
  <c r="G8" i="4" a="1"/>
  <c r="G8" i="4" s="1"/>
  <c r="F8" i="4" a="1"/>
  <c r="F8" i="4" s="1"/>
  <c r="E8" i="4" a="1"/>
  <c r="E8" i="4" s="1"/>
  <c r="C8" i="4"/>
  <c r="H7" i="4"/>
  <c r="G7" i="4" a="1"/>
  <c r="G7" i="4" s="1"/>
  <c r="F7" i="4" a="1"/>
  <c r="F7" i="4" s="1"/>
  <c r="E7" i="4" a="1"/>
  <c r="E7" i="4" s="1"/>
  <c r="C7" i="4"/>
  <c r="H6" i="4"/>
  <c r="G6" i="4" a="1"/>
  <c r="G6" i="4" s="1"/>
  <c r="F6" i="4" a="1"/>
  <c r="F6" i="4" s="1"/>
  <c r="E6" i="4" a="1"/>
  <c r="E6" i="4" s="1"/>
  <c r="C6" i="4"/>
  <c r="H5" i="4"/>
  <c r="G5" i="4" a="1"/>
  <c r="G5" i="4" s="1"/>
  <c r="F5" i="4" a="1"/>
  <c r="F5" i="4" s="1"/>
  <c r="E5" i="4" a="1"/>
  <c r="E5" i="4" s="1"/>
  <c r="C5" i="4"/>
  <c r="H4" i="4"/>
  <c r="G4" i="4" a="1"/>
  <c r="G4" i="4" s="1"/>
  <c r="F4" i="4" a="1"/>
  <c r="F4" i="4" s="1"/>
  <c r="E4" i="4" a="1"/>
  <c r="E4" i="4" s="1"/>
  <c r="C4" i="4"/>
  <c r="H3" i="4"/>
  <c r="G3" i="4" a="1"/>
  <c r="G3" i="4" s="1"/>
  <c r="F3" i="4" a="1"/>
  <c r="F3" i="4" s="1"/>
  <c r="E3" i="4" a="1"/>
  <c r="E3" i="4" s="1"/>
  <c r="C3" i="4"/>
  <c r="H2" i="4"/>
  <c r="G2" i="4" a="1"/>
  <c r="G2" i="4" s="1"/>
  <c r="F2" i="4" a="1"/>
  <c r="F2" i="4"/>
  <c r="E2" i="4" a="1"/>
  <c r="E2" i="4" s="1"/>
  <c r="C2" i="4"/>
  <c r="I23" i="3"/>
  <c r="I22" i="3"/>
  <c r="I21" i="3"/>
  <c r="I20" i="3"/>
  <c r="I19" i="3"/>
  <c r="I18" i="3"/>
  <c r="I17" i="3"/>
  <c r="I16" i="3"/>
  <c r="I15" i="3"/>
  <c r="I13" i="3"/>
  <c r="I12" i="3"/>
  <c r="I11" i="3"/>
  <c r="I10" i="3"/>
  <c r="I9" i="3"/>
  <c r="I8" i="3"/>
  <c r="I7" i="3"/>
  <c r="I5" i="3"/>
  <c r="I4" i="3"/>
  <c r="I3" i="3"/>
  <c r="Q25" i="2"/>
  <c r="Q24" i="2"/>
  <c r="Q23" i="2"/>
  <c r="Q22" i="2"/>
  <c r="Q21" i="2"/>
  <c r="Q20" i="2"/>
  <c r="Q19" i="2"/>
  <c r="Q18" i="2"/>
  <c r="Q17" i="2"/>
  <c r="Q16" i="2"/>
  <c r="Q15" i="2"/>
  <c r="Q14" i="2"/>
  <c r="BP80" i="1"/>
  <c r="BO80" i="1"/>
  <c r="BF80" i="1" s="1"/>
  <c r="BK80" i="1"/>
  <c r="BB80" i="1" s="1"/>
  <c r="BJ80" i="1"/>
  <c r="BE80" i="1"/>
  <c r="BD80" i="1"/>
  <c r="BC80" i="1"/>
  <c r="BA80" i="1"/>
  <c r="D80" i="1"/>
  <c r="BP79" i="1"/>
  <c r="BO79" i="1"/>
  <c r="BK79" i="1"/>
  <c r="BB79" i="1" s="1"/>
  <c r="BJ79" i="1"/>
  <c r="BE79" i="1"/>
  <c r="BD79" i="1"/>
  <c r="BC79" i="1"/>
  <c r="E79" i="1" s="1"/>
  <c r="BA79" i="1"/>
  <c r="D79" i="1"/>
  <c r="BP78" i="1"/>
  <c r="BO78" i="1"/>
  <c r="BK78" i="1"/>
  <c r="BB78" i="1" s="1"/>
  <c r="BJ78" i="1"/>
  <c r="BE78" i="1"/>
  <c r="BD78" i="1"/>
  <c r="BC78" i="1"/>
  <c r="BA78" i="1"/>
  <c r="E78" i="1"/>
  <c r="D78" i="1"/>
  <c r="BP77" i="1"/>
  <c r="BO77" i="1"/>
  <c r="BK77" i="1"/>
  <c r="BB77" i="1" s="1"/>
  <c r="BJ77" i="1"/>
  <c r="BC77" i="1"/>
  <c r="BA77" i="1"/>
  <c r="E77" i="1"/>
  <c r="D77" i="1"/>
  <c r="BP76" i="1"/>
  <c r="BO76" i="1"/>
  <c r="BK76" i="1"/>
  <c r="BJ76" i="1"/>
  <c r="D76" i="1"/>
  <c r="BP75" i="1"/>
  <c r="BO75" i="1"/>
  <c r="BF75" i="1" s="1"/>
  <c r="BK75" i="1"/>
  <c r="BJ75" i="1"/>
  <c r="D75" i="1"/>
  <c r="BP74" i="1"/>
  <c r="BO74" i="1"/>
  <c r="BF74" i="1" s="1"/>
  <c r="BK74" i="1"/>
  <c r="BB74" i="1" s="1"/>
  <c r="BJ74" i="1"/>
  <c r="BE74" i="1"/>
  <c r="BD74" i="1"/>
  <c r="BC74" i="1"/>
  <c r="BA74" i="1"/>
  <c r="D74" i="1"/>
  <c r="BP73" i="1"/>
  <c r="BO73" i="1"/>
  <c r="BK73" i="1"/>
  <c r="BB73" i="1" s="1"/>
  <c r="BJ73" i="1"/>
  <c r="BE73" i="1"/>
  <c r="BD73" i="1"/>
  <c r="BC73" i="1"/>
  <c r="BA73" i="1"/>
  <c r="E73" i="1"/>
  <c r="D73" i="1"/>
  <c r="BP72" i="1"/>
  <c r="BO72" i="1"/>
  <c r="BK72" i="1"/>
  <c r="BB72" i="1" s="1"/>
  <c r="BJ72" i="1"/>
  <c r="BE72" i="1"/>
  <c r="BD72" i="1"/>
  <c r="BC72" i="1"/>
  <c r="BA72" i="1"/>
  <c r="E72" i="1"/>
  <c r="D72" i="1"/>
  <c r="BP71" i="1"/>
  <c r="BO71" i="1"/>
  <c r="BK71" i="1"/>
  <c r="BB71" i="1" s="1"/>
  <c r="BJ71" i="1"/>
  <c r="BC71" i="1"/>
  <c r="BA71" i="1"/>
  <c r="E71" i="1"/>
  <c r="D71" i="1"/>
  <c r="BP70" i="1"/>
  <c r="BO70" i="1"/>
  <c r="BK70" i="1"/>
  <c r="BJ70" i="1"/>
  <c r="D70" i="1"/>
  <c r="BP69" i="1"/>
  <c r="BO69" i="1"/>
  <c r="BF69" i="1" s="1"/>
  <c r="BK69" i="1"/>
  <c r="BJ69" i="1"/>
  <c r="BE69" i="1"/>
  <c r="BD69" i="1"/>
  <c r="D69" i="1"/>
  <c r="BP68" i="1"/>
  <c r="BO68" i="1"/>
  <c r="BF68" i="1" s="1"/>
  <c r="BK68" i="1"/>
  <c r="BB68" i="1" s="1"/>
  <c r="E68" i="1" s="1"/>
  <c r="BJ68" i="1"/>
  <c r="BE68" i="1"/>
  <c r="BD68" i="1"/>
  <c r="BC68" i="1"/>
  <c r="BA68" i="1"/>
  <c r="D68" i="1"/>
  <c r="BP67" i="1"/>
  <c r="BO67" i="1"/>
  <c r="BK67" i="1"/>
  <c r="BB67" i="1" s="1"/>
  <c r="BJ67" i="1"/>
  <c r="BE67" i="1"/>
  <c r="BD67" i="1"/>
  <c r="BC67" i="1"/>
  <c r="BA67" i="1"/>
  <c r="E67" i="1"/>
  <c r="D67" i="1"/>
  <c r="BP66" i="1"/>
  <c r="BO66" i="1"/>
  <c r="BK66" i="1"/>
  <c r="BB66" i="1" s="1"/>
  <c r="BJ66" i="1"/>
  <c r="BE66" i="1"/>
  <c r="BD66" i="1"/>
  <c r="BC66" i="1"/>
  <c r="BA66" i="1"/>
  <c r="E66" i="1"/>
  <c r="D66" i="1"/>
  <c r="BP65" i="1"/>
  <c r="BO65" i="1"/>
  <c r="BK65" i="1"/>
  <c r="BB65" i="1" s="1"/>
  <c r="BJ65" i="1"/>
  <c r="BC65" i="1"/>
  <c r="BA65" i="1"/>
  <c r="E65" i="1"/>
  <c r="D65" i="1"/>
  <c r="BP64" i="1"/>
  <c r="BO64" i="1"/>
  <c r="BK64" i="1"/>
  <c r="BJ64" i="1"/>
  <c r="D64" i="1"/>
  <c r="BP63" i="1"/>
  <c r="BO63" i="1"/>
  <c r="BF63" i="1" s="1"/>
  <c r="BK63" i="1"/>
  <c r="BJ63" i="1"/>
  <c r="BE63" i="1"/>
  <c r="BD63" i="1"/>
  <c r="D63" i="1"/>
  <c r="BP62" i="1"/>
  <c r="BO62" i="1"/>
  <c r="BF62" i="1" s="1"/>
  <c r="BK62" i="1"/>
  <c r="BB62" i="1" s="1"/>
  <c r="E62" i="1" s="1"/>
  <c r="BJ62" i="1"/>
  <c r="BE62" i="1"/>
  <c r="BD62" i="1"/>
  <c r="BC62" i="1"/>
  <c r="BA62" i="1"/>
  <c r="D62" i="1"/>
  <c r="BP61" i="1"/>
  <c r="BO61" i="1"/>
  <c r="BK61" i="1"/>
  <c r="BB61" i="1" s="1"/>
  <c r="BJ61" i="1"/>
  <c r="BE61" i="1"/>
  <c r="BD61" i="1"/>
  <c r="BC61" i="1"/>
  <c r="E61" i="1" s="1"/>
  <c r="BA61" i="1"/>
  <c r="D61" i="1"/>
  <c r="BP60" i="1"/>
  <c r="BO60" i="1"/>
  <c r="BK60" i="1"/>
  <c r="BB60" i="1" s="1"/>
  <c r="BJ60" i="1"/>
  <c r="BE60" i="1"/>
  <c r="BD60" i="1"/>
  <c r="BC60" i="1"/>
  <c r="BA60" i="1"/>
  <c r="E60" i="1"/>
  <c r="D60" i="1"/>
  <c r="BP59" i="1"/>
  <c r="BO59" i="1"/>
  <c r="BK59" i="1"/>
  <c r="BB59" i="1" s="1"/>
  <c r="BJ59" i="1"/>
  <c r="BC59" i="1"/>
  <c r="BA59" i="1"/>
  <c r="E59" i="1"/>
  <c r="D59" i="1"/>
  <c r="BP58" i="1"/>
  <c r="BO58" i="1"/>
  <c r="BK58" i="1"/>
  <c r="BJ58" i="1"/>
  <c r="D58" i="1"/>
  <c r="BP57" i="1"/>
  <c r="BO57" i="1"/>
  <c r="BF57" i="1" s="1"/>
  <c r="BK57" i="1"/>
  <c r="BJ57" i="1"/>
  <c r="BD57" i="1"/>
  <c r="D57" i="1"/>
  <c r="BP56" i="1"/>
  <c r="BO56" i="1"/>
  <c r="BF56" i="1" s="1"/>
  <c r="BK56" i="1"/>
  <c r="BB56" i="1" s="1"/>
  <c r="E56" i="1" s="1"/>
  <c r="BJ56" i="1"/>
  <c r="BE56" i="1"/>
  <c r="BD56" i="1"/>
  <c r="BC56" i="1"/>
  <c r="BA56" i="1"/>
  <c r="D56" i="1"/>
  <c r="BP55" i="1"/>
  <c r="BO55" i="1"/>
  <c r="BK55" i="1"/>
  <c r="BB55" i="1" s="1"/>
  <c r="BJ55" i="1"/>
  <c r="BE55" i="1"/>
  <c r="BD55" i="1"/>
  <c r="BC55" i="1"/>
  <c r="E55" i="1" s="1"/>
  <c r="BA55" i="1"/>
  <c r="D55" i="1"/>
  <c r="BP54" i="1"/>
  <c r="BO54" i="1"/>
  <c r="BK54" i="1"/>
  <c r="BB54" i="1" s="1"/>
  <c r="BJ54" i="1"/>
  <c r="BE54" i="1"/>
  <c r="BD54" i="1"/>
  <c r="BC54" i="1"/>
  <c r="BA54" i="1"/>
  <c r="E54" i="1"/>
  <c r="D54" i="1"/>
  <c r="BP53" i="1"/>
  <c r="BO53" i="1"/>
  <c r="BN53" i="1"/>
  <c r="BI53" i="1"/>
  <c r="D53" i="1"/>
  <c r="BP52" i="1"/>
  <c r="BO52" i="1"/>
  <c r="BK52" i="1"/>
  <c r="BJ52" i="1"/>
  <c r="BC52" i="1" s="1"/>
  <c r="E52" i="1" s="1"/>
  <c r="BB52" i="1"/>
  <c r="BA52" i="1"/>
  <c r="D52" i="1"/>
  <c r="BP51" i="1"/>
  <c r="BO51" i="1"/>
  <c r="BK51" i="1"/>
  <c r="BJ51" i="1"/>
  <c r="D51" i="1"/>
  <c r="BP50" i="1"/>
  <c r="BO50" i="1"/>
  <c r="BK50" i="1"/>
  <c r="BJ50" i="1"/>
  <c r="BF50" i="1"/>
  <c r="D50" i="1"/>
  <c r="BP49" i="1"/>
  <c r="BD49" i="1" s="1"/>
  <c r="BO49" i="1"/>
  <c r="BK49" i="1"/>
  <c r="BJ49" i="1"/>
  <c r="BF49" i="1"/>
  <c r="BE49" i="1"/>
  <c r="D49" i="1"/>
  <c r="CC48" i="1"/>
  <c r="BN48" i="1"/>
  <c r="BK48" i="1"/>
  <c r="BJ48" i="1"/>
  <c r="BI48" i="1"/>
  <c r="D48" i="1"/>
  <c r="BP47" i="1"/>
  <c r="BO47" i="1"/>
  <c r="BK47" i="1"/>
  <c r="BJ47" i="1"/>
  <c r="BF47" i="1"/>
  <c r="BE47" i="1"/>
  <c r="BD47" i="1"/>
  <c r="D47" i="1"/>
  <c r="BP46" i="1"/>
  <c r="BO46" i="1"/>
  <c r="BK46" i="1"/>
  <c r="BB46" i="1" s="1"/>
  <c r="BJ46" i="1"/>
  <c r="BF46" i="1"/>
  <c r="BE46" i="1"/>
  <c r="BD46" i="1"/>
  <c r="BC46" i="1"/>
  <c r="D46" i="1"/>
  <c r="BP45" i="1"/>
  <c r="BO45" i="1"/>
  <c r="BK45" i="1"/>
  <c r="BA45" i="1" s="1"/>
  <c r="BJ45" i="1"/>
  <c r="BF45" i="1"/>
  <c r="BE45" i="1"/>
  <c r="BD45" i="1"/>
  <c r="BC45" i="1"/>
  <c r="BB45" i="1"/>
  <c r="D45" i="1"/>
  <c r="BP44" i="1"/>
  <c r="BO44" i="1"/>
  <c r="BK44" i="1"/>
  <c r="BJ44" i="1"/>
  <c r="BF44" i="1"/>
  <c r="BE44" i="1"/>
  <c r="BD44" i="1"/>
  <c r="BC44" i="1"/>
  <c r="BB44" i="1"/>
  <c r="E44" i="1" s="1"/>
  <c r="BA44" i="1"/>
  <c r="D44" i="1"/>
  <c r="BP43" i="1"/>
  <c r="BO43" i="1"/>
  <c r="BK43" i="1"/>
  <c r="BJ43" i="1"/>
  <c r="BF43" i="1"/>
  <c r="BE43" i="1"/>
  <c r="BD43" i="1"/>
  <c r="BC43" i="1"/>
  <c r="BB43" i="1"/>
  <c r="E43" i="1" s="1"/>
  <c r="BA43" i="1"/>
  <c r="D43" i="1"/>
  <c r="CC42" i="1"/>
  <c r="BP42" i="1"/>
  <c r="BO42" i="1"/>
  <c r="BN42" i="1"/>
  <c r="BI42" i="1"/>
  <c r="BJ42" i="1" s="1"/>
  <c r="BF42" i="1"/>
  <c r="BE42" i="1"/>
  <c r="BD42" i="1"/>
  <c r="D42" i="1"/>
  <c r="BP41" i="1"/>
  <c r="BO41" i="1"/>
  <c r="BK41" i="1"/>
  <c r="BJ41" i="1"/>
  <c r="BF41" i="1"/>
  <c r="BE41" i="1"/>
  <c r="BD41" i="1"/>
  <c r="BA41" i="1"/>
  <c r="D41" i="1"/>
  <c r="BP40" i="1"/>
  <c r="BO40" i="1"/>
  <c r="BF40" i="1" s="1"/>
  <c r="BK40" i="1"/>
  <c r="BJ40" i="1"/>
  <c r="BE40" i="1"/>
  <c r="BD40" i="1"/>
  <c r="BA40" i="1"/>
  <c r="D40" i="1"/>
  <c r="BP39" i="1"/>
  <c r="BO39" i="1"/>
  <c r="BK39" i="1"/>
  <c r="BA39" i="1" s="1"/>
  <c r="BJ39" i="1"/>
  <c r="D39" i="1"/>
  <c r="CC38" i="1"/>
  <c r="BP38" i="1"/>
  <c r="BO38" i="1"/>
  <c r="BK38" i="1"/>
  <c r="BJ38" i="1"/>
  <c r="D38" i="1"/>
  <c r="BP37" i="1"/>
  <c r="BO37" i="1"/>
  <c r="BD37" i="1" s="1"/>
  <c r="BK37" i="1"/>
  <c r="BJ37" i="1"/>
  <c r="D37" i="1"/>
  <c r="BP36" i="1"/>
  <c r="BO36" i="1"/>
  <c r="BD36" i="1" s="1"/>
  <c r="BK36" i="1"/>
  <c r="BJ36" i="1"/>
  <c r="BC36" i="1" s="1"/>
  <c r="BF36" i="1"/>
  <c r="BE36" i="1"/>
  <c r="BB36" i="1"/>
  <c r="E36" i="1" s="1"/>
  <c r="D36" i="1"/>
  <c r="BP35" i="1"/>
  <c r="BN35" i="1"/>
  <c r="BO35" i="1" s="1"/>
  <c r="BF35" i="1" s="1"/>
  <c r="BK35" i="1"/>
  <c r="BJ35" i="1"/>
  <c r="BC35" i="1"/>
  <c r="BB35" i="1"/>
  <c r="E35" i="1" s="1"/>
  <c r="BA35" i="1"/>
  <c r="D35" i="1"/>
  <c r="BP34" i="1"/>
  <c r="BO34" i="1"/>
  <c r="BK34" i="1"/>
  <c r="BJ34" i="1"/>
  <c r="BF34" i="1"/>
  <c r="BC34" i="1"/>
  <c r="BB34" i="1"/>
  <c r="E34" i="1" s="1"/>
  <c r="BA34" i="1"/>
  <c r="D34" i="1"/>
  <c r="CC33" i="1"/>
  <c r="BP33" i="1"/>
  <c r="BO33" i="1"/>
  <c r="BK33" i="1"/>
  <c r="BJ33" i="1"/>
  <c r="BC33" i="1" s="1"/>
  <c r="E33" i="1" s="1"/>
  <c r="BB33" i="1"/>
  <c r="D33" i="1"/>
  <c r="CC32" i="1"/>
  <c r="BP32" i="1"/>
  <c r="BN32" i="1"/>
  <c r="BO32" i="1" s="1"/>
  <c r="BI32" i="1"/>
  <c r="D32" i="1"/>
  <c r="CC31" i="1"/>
  <c r="BN31" i="1"/>
  <c r="BK31" i="1"/>
  <c r="BJ31" i="1"/>
  <c r="BI31" i="1"/>
  <c r="AG31" i="1"/>
  <c r="D31" i="1"/>
  <c r="BP30" i="1"/>
  <c r="BO30" i="1"/>
  <c r="BK30" i="1"/>
  <c r="BJ30" i="1"/>
  <c r="BF30" i="1"/>
  <c r="BE30" i="1"/>
  <c r="BD30" i="1"/>
  <c r="BC30" i="1"/>
  <c r="BB30" i="1"/>
  <c r="BA30" i="1"/>
  <c r="E30" i="1"/>
  <c r="D30" i="1"/>
  <c r="BP29" i="1"/>
  <c r="BO29" i="1"/>
  <c r="BN29" i="1"/>
  <c r="BK29" i="1"/>
  <c r="BA29" i="1" s="1"/>
  <c r="BJ29" i="1"/>
  <c r="BI29" i="1"/>
  <c r="E29" i="1"/>
  <c r="D29" i="1"/>
  <c r="BP28" i="1"/>
  <c r="BO28" i="1"/>
  <c r="BK28" i="1"/>
  <c r="BJ28" i="1"/>
  <c r="BF28" i="1"/>
  <c r="BE28" i="1"/>
  <c r="BD28" i="1"/>
  <c r="BC28" i="1"/>
  <c r="BB28" i="1"/>
  <c r="BA28" i="1"/>
  <c r="E28" i="1"/>
  <c r="D28" i="1"/>
  <c r="BP27" i="1"/>
  <c r="BO27" i="1"/>
  <c r="BK27" i="1"/>
  <c r="BJ27" i="1"/>
  <c r="BI27" i="1"/>
  <c r="E27" i="1"/>
  <c r="D27" i="1"/>
  <c r="BO26" i="1"/>
  <c r="BN26" i="1"/>
  <c r="BP26" i="1" s="1"/>
  <c r="BK26" i="1"/>
  <c r="BJ26" i="1"/>
  <c r="BI26" i="1"/>
  <c r="BF26" i="1"/>
  <c r="BE26" i="1"/>
  <c r="BD26" i="1"/>
  <c r="BC26" i="1"/>
  <c r="BB26" i="1"/>
  <c r="BA26" i="1"/>
  <c r="E26" i="1"/>
  <c r="D26" i="1"/>
  <c r="BP25" i="1"/>
  <c r="BO25" i="1"/>
  <c r="BK25" i="1"/>
  <c r="BJ25" i="1"/>
  <c r="BI25" i="1"/>
  <c r="BC25" i="1"/>
  <c r="BA25" i="1"/>
  <c r="E25" i="1"/>
  <c r="D25" i="1"/>
  <c r="BP24" i="1"/>
  <c r="BO24" i="1"/>
  <c r="BK24" i="1"/>
  <c r="BI24" i="1"/>
  <c r="BJ24" i="1" s="1"/>
  <c r="BB24" i="1"/>
  <c r="BA24" i="1"/>
  <c r="E24" i="1"/>
  <c r="D24" i="1"/>
  <c r="BP23" i="1"/>
  <c r="BO23" i="1"/>
  <c r="BJ23" i="1"/>
  <c r="BI23" i="1"/>
  <c r="BH23" i="1"/>
  <c r="BG23" i="1"/>
  <c r="BK23" i="1" s="1"/>
  <c r="BA23" i="1"/>
  <c r="E23" i="1"/>
  <c r="D23" i="1"/>
  <c r="CH22" i="1"/>
  <c r="CC22" i="1"/>
  <c r="BP22" i="1"/>
  <c r="BO22" i="1"/>
  <c r="BK22" i="1"/>
  <c r="BJ22" i="1"/>
  <c r="BF22" i="1"/>
  <c r="BE22" i="1"/>
  <c r="BD22" i="1"/>
  <c r="BC22" i="1"/>
  <c r="BB22" i="1"/>
  <c r="BA22" i="1"/>
  <c r="AB22" i="1"/>
  <c r="S22" i="1"/>
  <c r="M22" i="1"/>
  <c r="D22" i="1"/>
  <c r="CC21" i="1"/>
  <c r="BP21" i="1"/>
  <c r="BO21" i="1"/>
  <c r="BE21" i="1" s="1"/>
  <c r="BK21" i="1"/>
  <c r="BJ21" i="1"/>
  <c r="BA21" i="1" s="1"/>
  <c r="BF21" i="1"/>
  <c r="BD21" i="1"/>
  <c r="BC21" i="1"/>
  <c r="BB21" i="1"/>
  <c r="AL21" i="1"/>
  <c r="E21" i="1"/>
  <c r="D21" i="1"/>
  <c r="CH20" i="1"/>
  <c r="CG20" i="1"/>
  <c r="BP20" i="1"/>
  <c r="BO20" i="1"/>
  <c r="BK20" i="1"/>
  <c r="BJ20" i="1"/>
  <c r="BF20" i="1"/>
  <c r="BE20" i="1"/>
  <c r="BD20" i="1"/>
  <c r="AM20" i="1"/>
  <c r="AL20" i="1"/>
  <c r="AA20" i="1"/>
  <c r="M20" i="1"/>
  <c r="J20" i="1"/>
  <c r="E20" i="1"/>
  <c r="D20" i="1"/>
  <c r="CC19" i="1"/>
  <c r="BN19" i="1"/>
  <c r="BL19" i="1"/>
  <c r="BI19" i="1"/>
  <c r="BG19" i="1"/>
  <c r="AC19" i="1"/>
  <c r="AB19" i="1"/>
  <c r="AA19" i="1"/>
  <c r="P19" i="1"/>
  <c r="K19" i="1"/>
  <c r="J19" i="1"/>
  <c r="D19" i="1"/>
  <c r="CC18" i="1"/>
  <c r="BP18" i="1"/>
  <c r="BO18" i="1"/>
  <c r="BK18" i="1"/>
  <c r="BJ18" i="1"/>
  <c r="M18" i="1"/>
  <c r="L18" i="1"/>
  <c r="I18" i="1"/>
  <c r="H18" i="1"/>
  <c r="G18" i="1"/>
  <c r="E18" i="1"/>
  <c r="D18" i="1"/>
  <c r="BP17" i="1"/>
  <c r="BO17" i="1"/>
  <c r="BE17" i="1" s="1"/>
  <c r="BN17" i="1"/>
  <c r="BI17" i="1"/>
  <c r="BK17" i="1" s="1"/>
  <c r="BF17" i="1"/>
  <c r="BD17" i="1"/>
  <c r="AF17" i="1"/>
  <c r="AC17" i="1"/>
  <c r="T17" i="1"/>
  <c r="M17" i="1"/>
  <c r="K17" i="1"/>
  <c r="J17" i="1"/>
  <c r="F17" i="1"/>
  <c r="E17" i="1"/>
  <c r="D17" i="1"/>
  <c r="CG16" i="1"/>
  <c r="CC16" i="1"/>
  <c r="CH16" i="1" s="1"/>
  <c r="BF16" i="1"/>
  <c r="BE16" i="1"/>
  <c r="BD16" i="1"/>
  <c r="BC16" i="1"/>
  <c r="BB16" i="1"/>
  <c r="BA16" i="1"/>
  <c r="AG16" i="1"/>
  <c r="AF16" i="1"/>
  <c r="AC16" i="1"/>
  <c r="AB16" i="1"/>
  <c r="V16" i="1"/>
  <c r="L16" i="1"/>
  <c r="K16" i="1"/>
  <c r="J16" i="1"/>
  <c r="F16" i="1"/>
  <c r="M16" i="1" s="1"/>
  <c r="D16" i="1"/>
  <c r="BP15" i="1"/>
  <c r="BO15" i="1"/>
  <c r="BF15" i="1" s="1"/>
  <c r="BK15" i="1"/>
  <c r="BJ15" i="1"/>
  <c r="AA15" i="1"/>
  <c r="P15" i="1"/>
  <c r="L15" i="1"/>
  <c r="I15" i="1"/>
  <c r="H15" i="1"/>
  <c r="G15" i="1"/>
  <c r="E15" i="1"/>
  <c r="D15" i="1"/>
  <c r="BP14" i="1"/>
  <c r="BO14" i="1"/>
  <c r="BI14" i="1"/>
  <c r="BH14" i="1"/>
  <c r="BG14" i="1"/>
  <c r="BK14" i="1" s="1"/>
  <c r="BF14" i="1"/>
  <c r="BE14" i="1"/>
  <c r="BD14" i="1"/>
  <c r="AF14" i="1"/>
  <c r="AB14" i="1"/>
  <c r="F14" i="1"/>
  <c r="E14" i="1"/>
  <c r="D14" i="1"/>
  <c r="CC13" i="1"/>
  <c r="BP13" i="1"/>
  <c r="BO13" i="1"/>
  <c r="BK13" i="1"/>
  <c r="BJ13" i="1"/>
  <c r="BE13" i="1"/>
  <c r="M13" i="1"/>
  <c r="D13" i="1"/>
  <c r="CG12" i="1"/>
  <c r="CD12" i="1"/>
  <c r="CC12" i="1"/>
  <c r="E12" i="1" s="1"/>
  <c r="BF12" i="1"/>
  <c r="BE12" i="1"/>
  <c r="BD12" i="1"/>
  <c r="BC12" i="1"/>
  <c r="BB12" i="1"/>
  <c r="BA12" i="1"/>
  <c r="AG12" i="1"/>
  <c r="W12" i="1"/>
  <c r="P12" i="1"/>
  <c r="D12" i="1"/>
  <c r="BP11" i="1"/>
  <c r="BO11" i="1"/>
  <c r="BK11" i="1"/>
  <c r="BJ11" i="1"/>
  <c r="AD11" i="1"/>
  <c r="R11" i="1"/>
  <c r="P11" i="1"/>
  <c r="E11" i="1"/>
  <c r="D11" i="1"/>
  <c r="BP10" i="1"/>
  <c r="BO10" i="1"/>
  <c r="BK10" i="1"/>
  <c r="BI10" i="1"/>
  <c r="BJ10" i="1" s="1"/>
  <c r="BC10" i="1"/>
  <c r="BB10" i="1"/>
  <c r="AF10" i="1"/>
  <c r="AC10" i="1"/>
  <c r="AB10" i="1"/>
  <c r="AA10" i="1"/>
  <c r="K10" i="1"/>
  <c r="F10" i="1"/>
  <c r="M10" i="1" s="1"/>
  <c r="E10" i="1"/>
  <c r="D10" i="1"/>
  <c r="BN9" i="1"/>
  <c r="BM9" i="1"/>
  <c r="BL9" i="1"/>
  <c r="BK9" i="1"/>
  <c r="BJ9" i="1"/>
  <c r="BI9" i="1"/>
  <c r="AE9" i="1"/>
  <c r="S9" i="1"/>
  <c r="M9" i="1"/>
  <c r="E9" i="1"/>
  <c r="D9" i="1"/>
  <c r="CC8" i="1"/>
  <c r="BN8" i="1"/>
  <c r="BL8" i="1"/>
  <c r="BI8" i="1"/>
  <c r="BH8" i="1"/>
  <c r="BG8" i="1"/>
  <c r="AM8" i="1"/>
  <c r="AL8" i="1"/>
  <c r="L8" i="1"/>
  <c r="D8" i="1"/>
  <c r="CH7" i="1"/>
  <c r="CC7" i="1"/>
  <c r="E7" i="1" s="1"/>
  <c r="BP7" i="1"/>
  <c r="BD7" i="1" s="1"/>
  <c r="BO7" i="1"/>
  <c r="BF7" i="1" s="1"/>
  <c r="BK7" i="1"/>
  <c r="BJ7" i="1"/>
  <c r="BC7" i="1"/>
  <c r="BB7" i="1"/>
  <c r="BA7" i="1"/>
  <c r="AG7" i="1"/>
  <c r="AD7" i="1"/>
  <c r="X7" i="1"/>
  <c r="J7" i="1"/>
  <c r="D7" i="1"/>
  <c r="BP6" i="1"/>
  <c r="BD6" i="1" s="1"/>
  <c r="BO6" i="1"/>
  <c r="BK6" i="1"/>
  <c r="BJ6" i="1"/>
  <c r="BF6" i="1"/>
  <c r="BE6" i="1"/>
  <c r="BC6" i="1"/>
  <c r="BB6" i="1"/>
  <c r="BA6" i="1"/>
  <c r="I6" i="1"/>
  <c r="H6" i="1"/>
  <c r="G6" i="1"/>
  <c r="E6" i="1"/>
  <c r="D6" i="1"/>
  <c r="CC5" i="1"/>
  <c r="BP5" i="1"/>
  <c r="BO5" i="1"/>
  <c r="BF5" i="1" s="1"/>
  <c r="BK5" i="1"/>
  <c r="BJ5" i="1"/>
  <c r="AC5" i="1"/>
  <c r="Q5" i="1"/>
  <c r="M5" i="1"/>
  <c r="E5" i="1"/>
  <c r="D5" i="1"/>
  <c r="CC4" i="1"/>
  <c r="E4" i="1" s="1"/>
  <c r="BP4" i="1"/>
  <c r="BO4" i="1"/>
  <c r="BK4" i="1"/>
  <c r="BJ4" i="1"/>
  <c r="D4" i="1"/>
  <c r="BP3" i="1"/>
  <c r="BO3" i="1"/>
  <c r="BE3" i="1" s="1"/>
  <c r="BK3" i="1"/>
  <c r="BJ3" i="1"/>
  <c r="BF3" i="1"/>
  <c r="BD3" i="1"/>
  <c r="L3" i="1"/>
  <c r="E3" i="1"/>
  <c r="D3" i="1"/>
  <c r="BP2" i="1"/>
  <c r="BE2" i="1" s="1"/>
  <c r="BO2" i="1"/>
  <c r="BK2" i="1"/>
  <c r="BJ2" i="1"/>
  <c r="AE2" i="1"/>
  <c r="E2" i="1"/>
  <c r="D2" i="1"/>
  <c r="BD32" i="1" l="1"/>
  <c r="BF32" i="1"/>
  <c r="BE32" i="1"/>
  <c r="BB48" i="1"/>
  <c r="BC48" i="1"/>
  <c r="BA48" i="1"/>
  <c r="BF71" i="1"/>
  <c r="BE71" i="1"/>
  <c r="BD71" i="1"/>
  <c r="BE4" i="1"/>
  <c r="BF4" i="1"/>
  <c r="BD4" i="1"/>
  <c r="BA13" i="1"/>
  <c r="BB13" i="1"/>
  <c r="BC13" i="1"/>
  <c r="BD25" i="1"/>
  <c r="BF25" i="1"/>
  <c r="BE25" i="1"/>
  <c r="BB50" i="1"/>
  <c r="E50" i="1" s="1"/>
  <c r="BC50" i="1"/>
  <c r="BA50" i="1"/>
  <c r="BF58" i="1"/>
  <c r="BE58" i="1"/>
  <c r="BD58" i="1"/>
  <c r="BB64" i="1"/>
  <c r="BC64" i="1"/>
  <c r="BA64" i="1"/>
  <c r="J12" i="3"/>
  <c r="BP31" i="1"/>
  <c r="BO31" i="1"/>
  <c r="J11" i="3"/>
  <c r="BF24" i="1"/>
  <c r="BE24" i="1"/>
  <c r="BD24" i="1"/>
  <c r="BK32" i="1"/>
  <c r="BJ32" i="1"/>
  <c r="BD50" i="1"/>
  <c r="BE50" i="1"/>
  <c r="BD52" i="1"/>
  <c r="BE52" i="1"/>
  <c r="BF52" i="1"/>
  <c r="BD38" i="1"/>
  <c r="BF38" i="1"/>
  <c r="BE38" i="1"/>
  <c r="BC47" i="1"/>
  <c r="BA47" i="1"/>
  <c r="BB47" i="1"/>
  <c r="E47" i="1" s="1"/>
  <c r="BF76" i="1"/>
  <c r="BE76" i="1"/>
  <c r="BD76" i="1"/>
  <c r="E80" i="1"/>
  <c r="BF77" i="1"/>
  <c r="BE77" i="1"/>
  <c r="BD77" i="1"/>
  <c r="BK8" i="1"/>
  <c r="BJ8" i="1"/>
  <c r="BF70" i="1"/>
  <c r="BE70" i="1"/>
  <c r="BD70" i="1"/>
  <c r="E74" i="1"/>
  <c r="BB76" i="1"/>
  <c r="BC76" i="1"/>
  <c r="BA76" i="1"/>
  <c r="BC3" i="1"/>
  <c r="BB3" i="1"/>
  <c r="BA3" i="1"/>
  <c r="BC9" i="1"/>
  <c r="BB9" i="1"/>
  <c r="BA9" i="1"/>
  <c r="BC11" i="1"/>
  <c r="BB11" i="1"/>
  <c r="BA11" i="1"/>
  <c r="BD2" i="1"/>
  <c r="BC15" i="1"/>
  <c r="BB15" i="1"/>
  <c r="BA15" i="1"/>
  <c r="BF29" i="1"/>
  <c r="BE29" i="1"/>
  <c r="BD29" i="1"/>
  <c r="E45" i="1"/>
  <c r="BC51" i="1"/>
  <c r="BB51" i="1"/>
  <c r="E51" i="1" s="1"/>
  <c r="BA51" i="1"/>
  <c r="BE57" i="1"/>
  <c r="BF64" i="1"/>
  <c r="BE64" i="1"/>
  <c r="BD64" i="1"/>
  <c r="BH19" i="1"/>
  <c r="BJ19" i="1" s="1"/>
  <c r="BM19" i="1"/>
  <c r="BP19" i="1" s="1"/>
  <c r="E19" i="1"/>
  <c r="BC23" i="1"/>
  <c r="BB23" i="1"/>
  <c r="BC49" i="1"/>
  <c r="BB49" i="1"/>
  <c r="E49" i="1" s="1"/>
  <c r="BA49" i="1"/>
  <c r="BF13" i="1"/>
  <c r="BD13" i="1"/>
  <c r="BC20" i="1"/>
  <c r="BB20" i="1"/>
  <c r="BA20" i="1"/>
  <c r="BF23" i="1"/>
  <c r="BE23" i="1"/>
  <c r="BD23" i="1"/>
  <c r="BD75" i="1"/>
  <c r="BF33" i="1"/>
  <c r="BE33" i="1"/>
  <c r="BD33" i="1"/>
  <c r="BB58" i="1"/>
  <c r="BC58" i="1"/>
  <c r="BA58" i="1"/>
  <c r="BC38" i="1"/>
  <c r="BB38" i="1"/>
  <c r="E38" i="1" s="1"/>
  <c r="BA38" i="1"/>
  <c r="BB70" i="1"/>
  <c r="E70" i="1" s="1"/>
  <c r="BC70" i="1"/>
  <c r="BA70" i="1"/>
  <c r="BA18" i="1"/>
  <c r="BB18" i="1"/>
  <c r="BD11" i="1"/>
  <c r="BF11" i="1"/>
  <c r="BE11" i="1"/>
  <c r="BD15" i="1"/>
  <c r="BE15" i="1"/>
  <c r="BA27" i="1"/>
  <c r="BC27" i="1"/>
  <c r="BB27" i="1"/>
  <c r="BE35" i="1"/>
  <c r="BD35" i="1"/>
  <c r="BB57" i="1"/>
  <c r="E57" i="1" s="1"/>
  <c r="BC57" i="1"/>
  <c r="BA57" i="1"/>
  <c r="BD53" i="1"/>
  <c r="BF53" i="1"/>
  <c r="BE53" i="1"/>
  <c r="BB63" i="1"/>
  <c r="E63" i="1" s="1"/>
  <c r="BC63" i="1"/>
  <c r="BA63" i="1"/>
  <c r="BE75" i="1"/>
  <c r="BP9" i="1"/>
  <c r="BO9" i="1"/>
  <c r="AL16" i="1"/>
  <c r="AM16" i="1"/>
  <c r="E16" i="1" s="1"/>
  <c r="BA2" i="1"/>
  <c r="BC2" i="1"/>
  <c r="BB2" i="1"/>
  <c r="BD5" i="1"/>
  <c r="CH8" i="1"/>
  <c r="BM8" i="1"/>
  <c r="BF18" i="1"/>
  <c r="BE18" i="1"/>
  <c r="BD18" i="1"/>
  <c r="BE37" i="1"/>
  <c r="BE5" i="1"/>
  <c r="CG8" i="1"/>
  <c r="E8" i="1" s="1"/>
  <c r="BF37" i="1"/>
  <c r="E46" i="1"/>
  <c r="BD51" i="1"/>
  <c r="BF51" i="1"/>
  <c r="BE51" i="1"/>
  <c r="BF2" i="1"/>
  <c r="BC4" i="1"/>
  <c r="BB4" i="1"/>
  <c r="BA4" i="1"/>
  <c r="BF10" i="1"/>
  <c r="BE10" i="1"/>
  <c r="BD10" i="1"/>
  <c r="BD27" i="1"/>
  <c r="BE27" i="1"/>
  <c r="BF27" i="1"/>
  <c r="BC37" i="1"/>
  <c r="BB37" i="1"/>
  <c r="BA37" i="1"/>
  <c r="BF59" i="1"/>
  <c r="BE59" i="1"/>
  <c r="BD59" i="1"/>
  <c r="BB69" i="1"/>
  <c r="BC69" i="1"/>
  <c r="BA69" i="1"/>
  <c r="BA5" i="1"/>
  <c r="BC5" i="1"/>
  <c r="BB5" i="1"/>
  <c r="BK19" i="1"/>
  <c r="E22" i="1"/>
  <c r="BC31" i="1"/>
  <c r="BB31" i="1"/>
  <c r="E31" i="1" s="1"/>
  <c r="BA31" i="1"/>
  <c r="BA36" i="1"/>
  <c r="BE39" i="1"/>
  <c r="BF39" i="1"/>
  <c r="BD39" i="1"/>
  <c r="BF65" i="1"/>
  <c r="BE65" i="1"/>
  <c r="BD65" i="1"/>
  <c r="BB75" i="1"/>
  <c r="E75" i="1" s="1"/>
  <c r="BC75" i="1"/>
  <c r="BA75" i="1"/>
  <c r="J22" i="3"/>
  <c r="BP48" i="1"/>
  <c r="BO48" i="1"/>
  <c r="CG13" i="1"/>
  <c r="E13" i="1" s="1"/>
  <c r="BJ17" i="1"/>
  <c r="BC41" i="1"/>
  <c r="BB41" i="1"/>
  <c r="E41" i="1" s="1"/>
  <c r="BK42" i="1"/>
  <c r="BC42" i="1" s="1"/>
  <c r="BJ14" i="1"/>
  <c r="BF55" i="1"/>
  <c r="BF61" i="1"/>
  <c r="BF67" i="1"/>
  <c r="BF73" i="1"/>
  <c r="BF79" i="1"/>
  <c r="BC40" i="1"/>
  <c r="BB40" i="1"/>
  <c r="E40" i="1" s="1"/>
  <c r="BA10" i="1"/>
  <c r="BC24" i="1"/>
  <c r="BB25" i="1"/>
  <c r="BA33" i="1"/>
  <c r="BE34" i="1"/>
  <c r="BD34" i="1"/>
  <c r="BA46" i="1"/>
  <c r="BK53" i="1"/>
  <c r="BJ53" i="1"/>
  <c r="BF54" i="1"/>
  <c r="BF60" i="1"/>
  <c r="BF66" i="1"/>
  <c r="BF72" i="1"/>
  <c r="BF78" i="1"/>
  <c r="BE7" i="1"/>
  <c r="BC18" i="1"/>
  <c r="BC29" i="1"/>
  <c r="BB29" i="1"/>
  <c r="BC39" i="1"/>
  <c r="BB39" i="1"/>
  <c r="E39" i="1" s="1"/>
  <c r="J23" i="3"/>
  <c r="BC19" i="1" l="1"/>
  <c r="BB19" i="1"/>
  <c r="BA19" i="1"/>
  <c r="BF31" i="1"/>
  <c r="BD31" i="1"/>
  <c r="BE31" i="1"/>
  <c r="BD48" i="1"/>
  <c r="BF48" i="1"/>
  <c r="BE48" i="1"/>
  <c r="E69" i="1"/>
  <c r="E58" i="1"/>
  <c r="E76" i="1"/>
  <c r="BO19" i="1"/>
  <c r="BE9" i="1"/>
  <c r="BD9" i="1"/>
  <c r="BF9" i="1"/>
  <c r="E64" i="1"/>
  <c r="E48" i="1"/>
  <c r="BC32" i="1"/>
  <c r="BB32" i="1"/>
  <c r="E32" i="1" s="1"/>
  <c r="J17" i="2" s="1"/>
  <c r="BA32" i="1"/>
  <c r="BA53" i="1"/>
  <c r="BC53" i="1"/>
  <c r="BB53" i="1"/>
  <c r="E53" i="1" s="1"/>
  <c r="BA42" i="1"/>
  <c r="BA14" i="1"/>
  <c r="BB14" i="1"/>
  <c r="BC14" i="1"/>
  <c r="BP8" i="1"/>
  <c r="BO8" i="1"/>
  <c r="E37" i="1"/>
  <c r="BC8" i="1"/>
  <c r="BB8" i="1"/>
  <c r="BA8" i="1"/>
  <c r="BB42" i="1"/>
  <c r="E42" i="1" s="1"/>
  <c r="BB17" i="1"/>
  <c r="BC17" i="1"/>
  <c r="BA17" i="1"/>
  <c r="J18" i="2" l="1"/>
  <c r="I24" i="3"/>
  <c r="J27" i="2"/>
  <c r="J7" i="2"/>
  <c r="J22" i="2"/>
  <c r="J20" i="2"/>
  <c r="J29" i="2"/>
  <c r="I27" i="3"/>
  <c r="J19" i="2"/>
  <c r="J8" i="2"/>
  <c r="J14" i="2"/>
  <c r="I26" i="3"/>
  <c r="J11" i="2"/>
  <c r="J16" i="2"/>
  <c r="J13" i="2"/>
  <c r="J23" i="2"/>
  <c r="J28" i="2"/>
  <c r="J3" i="2"/>
  <c r="J30" i="2"/>
  <c r="J25" i="2"/>
  <c r="J21" i="2"/>
  <c r="BD8" i="1"/>
  <c r="BE8" i="1"/>
  <c r="BF8" i="1"/>
  <c r="BF19" i="1"/>
  <c r="BE19" i="1"/>
  <c r="BD19" i="1"/>
  <c r="J9" i="2"/>
  <c r="J12" i="2"/>
  <c r="J24" i="2"/>
  <c r="J27" i="3" l="1"/>
  <c r="J26" i="3"/>
</calcChain>
</file>

<file path=xl/sharedStrings.xml><?xml version="1.0" encoding="utf-8"?>
<sst xmlns="http://schemas.openxmlformats.org/spreadsheetml/2006/main" count="37482" uniqueCount="10991">
  <si>
    <t>First Author</t>
  </si>
  <si>
    <t>Publication Year</t>
  </si>
  <si>
    <t>PubMed link</t>
  </si>
  <si>
    <t>Study name</t>
  </si>
  <si>
    <t>Included in analysis</t>
  </si>
  <si>
    <t>Cohort size</t>
  </si>
  <si>
    <t>Age median</t>
  </si>
  <si>
    <t>Age min</t>
  </si>
  <si>
    <t>Age max</t>
  </si>
  <si>
    <t>Conditioning regimens: RIC</t>
  </si>
  <si>
    <t>Conditioning regimens: MAC</t>
  </si>
  <si>
    <t>Conditioning regimens: Unclear</t>
  </si>
  <si>
    <t>Antiviral PPX: AYC</t>
  </si>
  <si>
    <t>Antiviral PPX: GAN</t>
  </si>
  <si>
    <t>Antiviral PPX: FOS</t>
  </si>
  <si>
    <t>Antiviral PPX: Unclear</t>
  </si>
  <si>
    <t>GVHD PPX: Cyclosporine</t>
  </si>
  <si>
    <t>GVHD PPX: CsA + MMF</t>
  </si>
  <si>
    <t>GVHD PPX: CsA + MMF + MTX</t>
  </si>
  <si>
    <t>GVHD PPX: CsA + MTX</t>
  </si>
  <si>
    <t>GVHD PPX: Cyclophos phamide</t>
  </si>
  <si>
    <t>GVHD PPX: Cy + CsA + MMF</t>
  </si>
  <si>
    <t>GVHD PPX: Cy + MMF + Tac or Siro</t>
  </si>
  <si>
    <t>GVHD PPX: MMF</t>
  </si>
  <si>
    <t>GVHD PPX: TAC + MTX</t>
  </si>
  <si>
    <t>GVHD PPX: CAMPATH-1</t>
  </si>
  <si>
    <t>GVHD PPX: Unclear</t>
  </si>
  <si>
    <t>Tx type: BM</t>
  </si>
  <si>
    <t>Tx type: PBSC</t>
  </si>
  <si>
    <t>Tx type: CBT</t>
  </si>
  <si>
    <t>Tx type: Unclear</t>
  </si>
  <si>
    <t>N patients tested for HHV-6</t>
  </si>
  <si>
    <t>N patients with HHV-6</t>
  </si>
  <si>
    <t>N patients with HHV-6 detected after IR failure</t>
  </si>
  <si>
    <t>N HHV-6 pos pts with delayed or failed engraftment (broadly)</t>
  </si>
  <si>
    <t xml:space="preserve">N HHV-6 pos pts with delayed or failed T cell engraftment </t>
  </si>
  <si>
    <t xml:space="preserve">N HHV-6 pos pts with delayed or failed NK cell engraftment </t>
  </si>
  <si>
    <t xml:space="preserve">N HHV-6 pos pts with delayed or failed neutrophil engraftment </t>
  </si>
  <si>
    <t xml:space="preserve">N HHV-6 pos pts with delayed or failed platelet engraftment </t>
  </si>
  <si>
    <t>HHV-6 pos min days to neutrophil engraftment</t>
  </si>
  <si>
    <t>HHV-6 pos Q1 days to neutrophil engraftment</t>
  </si>
  <si>
    <t>HHV-6 pos median days to neutrophil engraftment</t>
  </si>
  <si>
    <t>HHV-6 pos Q3 days to neutrophil engraftment</t>
  </si>
  <si>
    <t>HHV-6 pos max days to neutrophil engraftment</t>
  </si>
  <si>
    <t>HHV-6 pos min days to platelet engraftment</t>
  </si>
  <si>
    <t>HHV-6 pos Q1 days to platelet engraftment</t>
  </si>
  <si>
    <t>HHV-6 pos median days to platelet engraftment</t>
  </si>
  <si>
    <t>HHV-6 pos Q3 days to platelet engraftment</t>
  </si>
  <si>
    <t>HHV-6 pos max days to platelet engraftment</t>
  </si>
  <si>
    <t>HHV-6 pos Q1 days to T cell engraftment</t>
  </si>
  <si>
    <t>HHV-6 pos median days to T cell engraftment</t>
  </si>
  <si>
    <t>HHV-6 pos Q3 days to T cell engraftment</t>
  </si>
  <si>
    <t>Combined HR/MHR neutrophil engraftment</t>
  </si>
  <si>
    <t>Combined HR/MHR LB neutrophil engraftment</t>
  </si>
  <si>
    <t>Combined HR/MHR UB neutrophil engraftment</t>
  </si>
  <si>
    <t>Combined HR/MHR platelet engraftment</t>
  </si>
  <si>
    <t>Combined HR/MHR LB platelet engraftment</t>
  </si>
  <si>
    <t>Combined HR/MHR UB platelet engraftment</t>
  </si>
  <si>
    <t>N patients with HHV-6 who engrafted neutrophils</t>
  </si>
  <si>
    <t>N patients without HHV-6 who engrafted neutrophils</t>
  </si>
  <si>
    <t>MHR HHV-6 neutrophil engraftment</t>
  </si>
  <si>
    <t>MHR LB HHV-6 neutrophil engraftment</t>
  </si>
  <si>
    <t>MHR UB HHV-6 neutrophil engraftment</t>
  </si>
  <si>
    <t>N patients with HHV-6 who engrafted platelets</t>
  </si>
  <si>
    <t>N patients without HHV-6 who engrafted platelets</t>
  </si>
  <si>
    <t>MHR HHV-6 platelets engraftment</t>
  </si>
  <si>
    <t>MHR LB HHV-6 platelets engraftment</t>
  </si>
  <si>
    <t>MHR UB HHV-6 platelets engraftment</t>
  </si>
  <si>
    <t>HR HHV-6 neutrophil engraftment</t>
  </si>
  <si>
    <t>HR LB HHV-6 neutrophil engraftment</t>
  </si>
  <si>
    <t>HR UB HHV-6 neutrophil engraftment</t>
  </si>
  <si>
    <t>HR HHV-6 platelet engraftment</t>
  </si>
  <si>
    <t>HR LB HHV-6 platelet engraftment</t>
  </si>
  <si>
    <t>HR UB HHV-6 platelet engraftment</t>
  </si>
  <si>
    <t>HR HHV-6 CD4 T cell engraftment</t>
  </si>
  <si>
    <t>HR LB HHV-6 CD4 T cell engraftment</t>
  </si>
  <si>
    <t>HR UB HHV-6 CD4 T cell engraftment</t>
  </si>
  <si>
    <t>HR HHV-6 CD8 T cell engraftment</t>
  </si>
  <si>
    <t>HR LB HHV-6 CD8 T cell engraftment</t>
  </si>
  <si>
    <t>HR UB HHV-6 CD8 T cell engraftment</t>
  </si>
  <si>
    <t>N patients without HHV-6</t>
  </si>
  <si>
    <t>N HHV-6 neg pts with delayed or failed engraftment (broadly)</t>
  </si>
  <si>
    <t xml:space="preserve">N HHV-6 neg pts with delayed or failed T cell engraftment </t>
  </si>
  <si>
    <t xml:space="preserve">N HHV-6 neg pts with delayed or failed NK cell engraftment </t>
  </si>
  <si>
    <t xml:space="preserve">N HHV-6 neg pts with delayed or failed neutrophil engraftment </t>
  </si>
  <si>
    <t xml:space="preserve">N HHV-6 neg pts with delayed or failed platelet engraftment </t>
  </si>
  <si>
    <t>HHV-6 neg min days to neutrophil engraftment</t>
  </si>
  <si>
    <t>HHV-6 neg Q1 days to neutrophil engraftment</t>
  </si>
  <si>
    <t>HHV-6 neg median days to neutrophil engraftment</t>
  </si>
  <si>
    <t>HHV-6 neg Q3 days to neutrophil engraftment</t>
  </si>
  <si>
    <t>HHV-6 neg max days to neutrophil engraftment</t>
  </si>
  <si>
    <t>HHV-6 neg min days to platelet engraftment</t>
  </si>
  <si>
    <t>HHV-6 neg Q1 days to platelet engraftment</t>
  </si>
  <si>
    <t>HHV-6 neg median days to platelet engraftment</t>
  </si>
  <si>
    <t>HHV-6 neg Q3 days to platelet engraftment</t>
  </si>
  <si>
    <t>HHV-6 neg max days to platelet engraftment</t>
  </si>
  <si>
    <t>HHV-6 neg Q1 days to T cell engraftment</t>
  </si>
  <si>
    <t>HHV-6 neg median days to T cell engraftment</t>
  </si>
  <si>
    <t>HHV-6 neg Q3 days to T cell engraftment</t>
  </si>
  <si>
    <t>Definition of neutrophil reconstitution / engraftment</t>
  </si>
  <si>
    <t>Definition of platelet reconstitution / engraftment</t>
  </si>
  <si>
    <t>Notes</t>
  </si>
  <si>
    <t>Betts BC</t>
  </si>
  <si>
    <t>https://pubmed.ncbi.nlm.nih.gov/21549850</t>
  </si>
  <si>
    <t>Given for HHV-6 pos but not whole cohort</t>
  </si>
  <si>
    <t>Timing of IR failure relative to HHV-6 detection is unclear, but systemic testing was performed</t>
  </si>
  <si>
    <t>Data given as "Bone marrow suppression/delayed engraftment". Bone marrow suppression was defined as recovery of HHV6 from marrow aspirates by PCR, accompanying worsening leukopenia, thrombocytopenia, and a hypoplastic marrow.</t>
  </si>
  <si>
    <t>marked broad engraftment as neutrophil</t>
  </si>
  <si>
    <t>Chan PK</t>
  </si>
  <si>
    <t>https://pubmed.ncbi.nlm.nih.gov/9365899</t>
  </si>
  <si>
    <t>Unclear</t>
  </si>
  <si>
    <t xml:space="preserve">The date of engraftment of the transplanted marrow was defined as the first day post-transplantation when the absolute neutrophil count was &gt;500 cells/ml of blood. </t>
  </si>
  <si>
    <t>Drobyski WR</t>
  </si>
  <si>
    <t>https://pubmed.ncbi.nlm.nih.gov/8382723</t>
  </si>
  <si>
    <t>ND</t>
  </si>
  <si>
    <t>Timing of IR failure relative to HHV-6 detection is unclear</t>
  </si>
  <si>
    <t>Engraftment in this patient population was considered to have occurred when there were 3 consecutive days with an absolute neutrophil count (ANC) ~500/mm3.</t>
  </si>
  <si>
    <t>Düver F</t>
  </si>
  <si>
    <t>https://pubmed.ncbi.nlm.nih.gov/32017805</t>
  </si>
  <si>
    <t>Engraftment was defined as the first of three consecutive days with a leukocyte count above 1000/μl in peripheral blood samples.</t>
  </si>
  <si>
    <t>Dzieciątkowski T</t>
  </si>
  <si>
    <t>https://pubmed.ncbi.nlm.nih.gov/20872080</t>
  </si>
  <si>
    <t>Not discussed. "acceptable engraftment" only mention</t>
  </si>
  <si>
    <t>El Jurdi N</t>
  </si>
  <si>
    <t>https://pubmed.ncbi.nlm.nih.gov/33053448</t>
  </si>
  <si>
    <t>"Neutrophil engraftment was defined as absolute neutrophil count &gt;=5 x 10^8/L on the first of 3 consecutive measurements."</t>
  </si>
  <si>
    <t>"Platelet engraftment was defined as the first of 7 consecutive days with a nontransfused count of &gt;=20 x 10^9/L."</t>
  </si>
  <si>
    <t>Gomes de Oliveira PG</t>
  </si>
  <si>
    <t>https://pubmed.ncbi.nlm.nih.gov/26555946</t>
  </si>
  <si>
    <t>"... first of 3 consecutive days with a neutrophil count of at least 0.5 x 10^9/L"</t>
  </si>
  <si>
    <t>"... first of 7 consecutive days of an unsupported platelet count of at least 20 x 10^9/L"</t>
  </si>
  <si>
    <t>Han TT</t>
  </si>
  <si>
    <t>https://pubmed.ncbi.nlm.nih.gov/33326670</t>
  </si>
  <si>
    <t>"The date of white blood cell (WBC) and platelet engraftment were defined as accepted standards"</t>
  </si>
  <si>
    <t>"The date of white blood cell (WBC) and platelet engraftment were defined as accepted standards."</t>
  </si>
  <si>
    <t>Hentrich M</t>
  </si>
  <si>
    <t>https://pubmed.ncbi.nlm.nih.gov/15606551</t>
  </si>
  <si>
    <t>"Delayed engraftment was defined as an ANC of 0.5 x10^9/L first occurring on or after day +25 after HSCT."</t>
  </si>
  <si>
    <t>Median is inferred here. Engraftment is not explicilty given as the median, but in context I think this is a reasonable assumption (no averages are given in the paper, only medians)</t>
  </si>
  <si>
    <t>Le Bourgeois A</t>
  </si>
  <si>
    <t>https://pubmed.ncbi.nlm.nih.gov/25072620</t>
  </si>
  <si>
    <t>"Neutrophil recovery was defined as the first of three consecutive days during which the absolute neutrophil count in the blood was &gt;0.5 x 10^9/L. "</t>
  </si>
  <si>
    <t>"Platelet recovery was defined as the first of three consecutive days when the platelet count was &gt;20 x 10^9/L without transfusion support."</t>
  </si>
  <si>
    <t>Mata JR</t>
  </si>
  <si>
    <t>https://pubmed.ncbi.nlm.nih.gov/38521411</t>
  </si>
  <si>
    <t>"Normal engraftment was defined as the achievement of an ANC of 500 cells/m3 or greater by day 30"</t>
  </si>
  <si>
    <t>Added 7/8/24</t>
  </si>
  <si>
    <t>Miranda-Silva W</t>
  </si>
  <si>
    <t>https://pubmed.ncbi.nlm.nih.gov/34523191</t>
  </si>
  <si>
    <t>"Neutrophil engraftment was considered as the first day of 3 consecutive days with a neutrophil count of at least 0.5 × 10^9/L"</t>
  </si>
  <si>
    <t>"... platelet engraftment was considered as the first day of 7 consecutive days of an unsupported platelet count of at least 20.0 × 10^9/L"</t>
  </si>
  <si>
    <t>Ogata M</t>
  </si>
  <si>
    <t>https://pubmed.ncbi.nlm.nih.gov/16323134</t>
  </si>
  <si>
    <t>"Neutrophil engraftment was defined as an absolute neutrophil count of &gt; 0.5 x 10^9 neutrophils/L"</t>
  </si>
  <si>
    <t>"... platelet engraftment was considered present with a self-sustained platelet count of 20_x0001_x 10^9 platelets/L."</t>
  </si>
  <si>
    <t>Ohyashiki JH</t>
  </si>
  <si>
    <t>https://pubmed.ncbi.nlm.nih.gov/10998432</t>
  </si>
  <si>
    <t>Not defined</t>
  </si>
  <si>
    <t>Paviglianiti A</t>
  </si>
  <si>
    <t>https://pubmed.ncbi.nlm.nih.gov/38817703</t>
  </si>
  <si>
    <t>"Neutrophil engraftment was defined as an absolute neutrophil count &gt; 0.5 x 10^9/L for three consecutive days (the first of which was considered the engraftment day)"</t>
  </si>
  <si>
    <t>"... platelet engraftment as a platelet count &gt; 50 x 10^9/L for seven consecutive days (the first of which was considered engraftment day)"</t>
  </si>
  <si>
    <t>Added 7/9/24</t>
  </si>
  <si>
    <t>Raouf MME</t>
  </si>
  <si>
    <t>https://pubmed.ncbi.nlm.nih.gov/36739398</t>
  </si>
  <si>
    <t>Unclear for whole cohort</t>
  </si>
  <si>
    <t>See note</t>
  </si>
  <si>
    <t>marked broad engraftment as neutrophil. Combines delayed engraftment and bone marrow suppression into one category. Odds given for delayed engraftment, which invert the interpretation</t>
  </si>
  <si>
    <t>Rapaport D</t>
  </si>
  <si>
    <t>https://pubmed.ncbi.nlm.nih.gov/12123421</t>
  </si>
  <si>
    <t>Cell level not defined. "... defining late engraftment as that occurring 18 days post-BMT"</t>
  </si>
  <si>
    <t>Savolainen H</t>
  </si>
  <si>
    <t>https://pubmed.ncbi.nlm.nih.gov/15700258</t>
  </si>
  <si>
    <t>Violago L</t>
  </si>
  <si>
    <t>https://pubmed.ncbi.nlm.nih.gov/26329541</t>
  </si>
  <si>
    <t>Wang FZ</t>
  </si>
  <si>
    <t>https://pubmed.ncbi.nlm.nih.gov/8896431</t>
  </si>
  <si>
    <t>Wang LR</t>
  </si>
  <si>
    <t>https://pubmed.ncbi.nlm.nih.gov/17067909</t>
  </si>
  <si>
    <t>Labeled 2006a in FTR. Day 50 HR's chosen</t>
  </si>
  <si>
    <t>Balsat M</t>
  </si>
  <si>
    <t>https://pubmed.ncbi.nlm.nih.gov/31075291</t>
  </si>
  <si>
    <t>Neutropenia recovery was defined as absolute neutrophil count (ANC) &gt; 0.5× 10^9/L for two consecutive days.</t>
  </si>
  <si>
    <t>Platelets recovery was defined as platelets count &gt; 20× 109/L without transfusion support.</t>
  </si>
  <si>
    <t>Inazawa N</t>
  </si>
  <si>
    <t>https://pubmed.ncbi.nlm.nih.gov/27364410</t>
  </si>
  <si>
    <t>Ishiyama K</t>
  </si>
  <si>
    <t>https://pubmed.ncbi.nlm.nih.gov/20838386</t>
  </si>
  <si>
    <t>"... neutrophils &gt;0.5 x 10^9/L"</t>
  </si>
  <si>
    <t>Olson AL</t>
  </si>
  <si>
    <t>https://pubmed.ncbi.nlm.nih.gov/24548875</t>
  </si>
  <si>
    <t>Quintela A</t>
  </si>
  <si>
    <t>https://pubmed.ncbi.nlm.nih.gov/26518057</t>
  </si>
  <si>
    <t>Tormo N</t>
  </si>
  <si>
    <t>https://pubmed.ncbi.nlm.nih.gov/20005968</t>
  </si>
  <si>
    <t>Yoshikawa T</t>
  </si>
  <si>
    <t>https://pubmed.ncbi.nlm.nih.gov/11920307</t>
  </si>
  <si>
    <t>Zerr DM</t>
  </si>
  <si>
    <t>https://pubmed.ncbi.nlm.nih.gov/15824982</t>
  </si>
  <si>
    <t>Day 30 used for HR</t>
  </si>
  <si>
    <t>Chevallier P</t>
  </si>
  <si>
    <t>https://pubmed.ncbi.nlm.nih.gov/19935727</t>
  </si>
  <si>
    <t>Cirrone F</t>
  </si>
  <si>
    <t>https://pubmed.ncbi.nlm.nih.gov/26984480</t>
  </si>
  <si>
    <t>de Koning C</t>
  </si>
  <si>
    <t>https://pubmed.ncbi.nlm.nih.gov/29487057</t>
  </si>
  <si>
    <t>de Pagter AP</t>
  </si>
  <si>
    <t>https://pubmed.ncbi.nlm.nih.gov/22820131</t>
  </si>
  <si>
    <t>Dulery R</t>
  </si>
  <si>
    <t>https://pubmed.ncbi.nlm.nih.gov/22212513</t>
  </si>
  <si>
    <t>see note</t>
  </si>
  <si>
    <t>Has HR for platelet, but inverts the conventional direction so that &gt;1 corresponds to delay</t>
  </si>
  <si>
    <t>Fule Robles JD</t>
  </si>
  <si>
    <t>https://pubmed.ncbi.nlm.nih.gov/24881673</t>
  </si>
  <si>
    <t>Gasior M</t>
  </si>
  <si>
    <t>https://pubmed.ncbi.nlm.nih.gov/33713461</t>
  </si>
  <si>
    <t>Gotoh M</t>
  </si>
  <si>
    <t>https://pubmed.ncbi.nlm.nih.gov/24810656</t>
  </si>
  <si>
    <t>Zero in both groups, precluding analysis</t>
  </si>
  <si>
    <t>Greco R</t>
  </si>
  <si>
    <t>https://pubmed.ncbi.nlm.nih.gov/27697585</t>
  </si>
  <si>
    <t>Hill JA</t>
  </si>
  <si>
    <t>https://pubmed.ncbi.nlm.nih.gov/38228644</t>
  </si>
  <si>
    <t>https://pubmed.ncbi.nlm.nih.gov/29020348</t>
  </si>
  <si>
    <t>Iesato K</t>
  </si>
  <si>
    <t>https://pubmed.ncbi.nlm.nih.gov/29542206</t>
  </si>
  <si>
    <t>Iino M</t>
  </si>
  <si>
    <t>https://pubmed.ncbi.nlm.nih.gov/33308840</t>
  </si>
  <si>
    <t>Illiaquer M</t>
  </si>
  <si>
    <t>https://pubmed.ncbi.nlm.nih.gov/24596281</t>
  </si>
  <si>
    <t>https://pubmed.ncbi.nlm.nih.gov/28601677</t>
  </si>
  <si>
    <t>Imbert-Marcille BM</t>
  </si>
  <si>
    <t>https://pubmed.ncbi.nlm.nih.gov/11049765</t>
  </si>
  <si>
    <t>Jeulin H</t>
  </si>
  <si>
    <t>https://pubmed.ncbi.nlm.nih.gov/23514960</t>
  </si>
  <si>
    <t>Kadakia MP</t>
  </si>
  <si>
    <t>https://pubmed.ncbi.nlm.nih.gov/8652850</t>
  </si>
  <si>
    <t>Kageyama K</t>
  </si>
  <si>
    <t>https://pubmed.ncbi.nlm.nih.gov/32782352</t>
  </si>
  <si>
    <t>Khimani F</t>
  </si>
  <si>
    <t>https://pubmed.ncbi.nlm.nih.gov/34329754</t>
  </si>
  <si>
    <t>Laskin BL</t>
  </si>
  <si>
    <t>https://pubmed.ncbi.nlm.nih.gov/23665115</t>
  </si>
  <si>
    <t>Lee DG</t>
  </si>
  <si>
    <t>https://pubmed.ncbi.nlm.nih.gov/14744020</t>
  </si>
  <si>
    <t>Lee YJ</t>
  </si>
  <si>
    <t>https://pubmed.ncbi.nlm.nih.gov/34390240</t>
  </si>
  <si>
    <t>Linder KA</t>
  </si>
  <si>
    <t>https://pubmed.ncbi.nlm.nih.gov/30815505</t>
  </si>
  <si>
    <t>Ljungman P</t>
  </si>
  <si>
    <t>https://pubmed.ncbi.nlm.nih.gov/11122137</t>
  </si>
  <si>
    <t>has cox regression coefs but not HR and CI. maybe convert?</t>
  </si>
  <si>
    <t>Ma XT</t>
  </si>
  <si>
    <t>https://scholar.google.com/scholar?hl=en&amp;as_sdt=0%2C5&amp;q=The+role+of+human+herpesvirus-6+in+delayed+engraftment+in+stem+cell+transplant+patients+in+China&amp;btnG=</t>
  </si>
  <si>
    <t>Maeda Y</t>
  </si>
  <si>
    <t>https://pubmed.ncbi.nlm.nih.gov/10233397</t>
  </si>
  <si>
    <t>Miura H</t>
  </si>
  <si>
    <t>https://pubmed.ncbi.nlm.nih.gov/26083588</t>
  </si>
  <si>
    <t>Muranushi H</t>
  </si>
  <si>
    <t>https://pubmed.ncbi.nlm.nih.gov/32386102</t>
  </si>
  <si>
    <t>Mutlu D</t>
  </si>
  <si>
    <t>https://pubmed.ncbi.nlm.nih.gov/24658548</t>
  </si>
  <si>
    <t>Noviello M</t>
  </si>
  <si>
    <t>https://pubmed.ncbi.nlm.nih.gov/37067947</t>
  </si>
  <si>
    <t>https://pubmed.ncbi.nlm.nih.gov/29454651</t>
  </si>
  <si>
    <t>Oltolini C</t>
  </si>
  <si>
    <t>https://pubmed.ncbi.nlm.nih.gov/32004700</t>
  </si>
  <si>
    <t>Pawlowska AB</t>
  </si>
  <si>
    <t>https://pubmed.ncbi.nlm.nih.gov/32860467</t>
  </si>
  <si>
    <t>Perissinotti AJ</t>
  </si>
  <si>
    <t>https://pubmed.ncbi.nlm.nih.gov/24407957</t>
  </si>
  <si>
    <t>Perruccio K</t>
  </si>
  <si>
    <t>https://pubmed.ncbi.nlm.nih.gov/30067953</t>
  </si>
  <si>
    <t>Potenza L</t>
  </si>
  <si>
    <t>https://pubmed.ncbi.nlm.nih.gov/19519818</t>
  </si>
  <si>
    <t>Radonić A</t>
  </si>
  <si>
    <t>https://pubmed.ncbi.nlm.nih.gov/16281938</t>
  </si>
  <si>
    <t xml:space="preserve">These results don't make sense, I think they inverted the convention. They note a delay in engraftment, then give an HR &gt; 1, which indicates greater chance of engraftment. </t>
  </si>
  <si>
    <t>Schönberger S</t>
  </si>
  <si>
    <t>https://pubmed.ncbi.nlm.nih.gov/20399877</t>
  </si>
  <si>
    <t>Secchiero P</t>
  </si>
  <si>
    <t>https://pubmed.ncbi.nlm.nih.gov/7844362</t>
  </si>
  <si>
    <t>Silcock R</t>
  </si>
  <si>
    <t>https://pubmed.ncbi.nlm.nih.gov/33533068</t>
  </si>
  <si>
    <t>Sisinni L</t>
  </si>
  <si>
    <t>https://pubmed.ncbi.nlm.nih.gov/30031939</t>
  </si>
  <si>
    <t>Takatsuka H</t>
  </si>
  <si>
    <t>https://pubmed.ncbi.nlm.nih.gov/27419347</t>
  </si>
  <si>
    <t>Tang FF</t>
  </si>
  <si>
    <t>https://pubmed.ncbi.nlm.nih.gov/31704470</t>
  </si>
  <si>
    <t>Verhoeven DH</t>
  </si>
  <si>
    <t>https://pubmed.ncbi.nlm.nih.gov/26132825</t>
  </si>
  <si>
    <t>Vittayawacharin P</t>
  </si>
  <si>
    <t>https://pubmed.ncbi.nlm.nih.gov/36878429</t>
  </si>
  <si>
    <t>Volin L</t>
  </si>
  <si>
    <t>https://pubmed.ncbi.nlm.nih.gov/15327521</t>
  </si>
  <si>
    <t>Vu T</t>
  </si>
  <si>
    <t>https://pubmed.ncbi.nlm.nih.gov/17401392</t>
  </si>
  <si>
    <t>https://pubmed.ncbi.nlm.nih.gov/10642809</t>
  </si>
  <si>
    <t>Labeled 1999b in FTR</t>
  </si>
  <si>
    <t>Winestone LE</t>
  </si>
  <si>
    <t>https://pubmed.ncbi.nlm.nih.gov/29181879</t>
  </si>
  <si>
    <t/>
  </si>
  <si>
    <t>DOI</t>
  </si>
  <si>
    <t>Excluded?</t>
  </si>
  <si>
    <t>Reason for exlcusion (brief)</t>
  </si>
  <si>
    <t>10.1016/j.jinf.2019.05.001</t>
  </si>
  <si>
    <t>No</t>
  </si>
  <si>
    <t>Fit inclusion criteria but does not provide raw data. Double check this is not available anywhere and reach out if so</t>
  </si>
  <si>
    <t xml:space="preserve"> </t>
  </si>
  <si>
    <t>10.1016/j.bbmt.2011.04.004</t>
  </si>
  <si>
    <t>N patients</t>
  </si>
  <si>
    <t>10.1002/(sici)1096-9071(199711)53:3&lt;295::aid-jmv20&gt;3.0.co;2-f</t>
  </si>
  <si>
    <t>Table 1: Patient characteristics</t>
  </si>
  <si>
    <t>10.1038/bmt.2009.326</t>
  </si>
  <si>
    <t>Has comparisons for engraftment for HHV-6 pos and neg, but not raw data. Circle back / reach out</t>
  </si>
  <si>
    <t>Characteristic</t>
  </si>
  <si>
    <t>10.3109/10428194.2016.1157873</t>
  </si>
  <si>
    <t>Conditioning regimens</t>
  </si>
  <si>
    <t>10.1182/bloodadvances.2017012724</t>
  </si>
  <si>
    <t>Compares engraftment for HHV-6 pos compared to neg but does not provide raw data. Perhaps reach out</t>
  </si>
  <si>
    <t>RIC</t>
  </si>
  <si>
    <t>10.1016/j.clim.2012.06.006</t>
  </si>
  <si>
    <t>MAC</t>
  </si>
  <si>
    <t>10.1093/infdis/167.3.735</t>
  </si>
  <si>
    <t>10.1016/j.bbmt.2011.12.579</t>
  </si>
  <si>
    <t>Compares engraftment for HHV-6 pos and neg, but does not give raw data. Perhaps reach out</t>
  </si>
  <si>
    <t>Antiviral PPX</t>
  </si>
  <si>
    <t>10.1371/journal.pone.0228451</t>
  </si>
  <si>
    <t>AYC</t>
  </si>
  <si>
    <t>10.1007/s00005-010-0096-8</t>
  </si>
  <si>
    <t>GAN</t>
  </si>
  <si>
    <t>10.1016/j.bbmt.2020.10.008</t>
  </si>
  <si>
    <t>FOS</t>
  </si>
  <si>
    <t>10.12659/AOT.889995</t>
  </si>
  <si>
    <t>Has days to neutrophil and platelet engraftment as well as HHV-6 status, but not together. Perhaps reach out</t>
  </si>
  <si>
    <t>10.1111/trf.16354</t>
  </si>
  <si>
    <t>Has engraftment and HHV-6 data but not together. Maybe reach out</t>
  </si>
  <si>
    <t>GVHD PPX:</t>
  </si>
  <si>
    <t>10.1097/TP.0000000000000986</t>
  </si>
  <si>
    <t>Cyclosporine</t>
  </si>
  <si>
    <t>10.1111/tid.12229</t>
  </si>
  <si>
    <t>CsA+MMF</t>
  </si>
  <si>
    <t>10.1016/j.bbmt.2016.09.018</t>
  </si>
  <si>
    <t>Gives N delayed engraftment for HHV-6 pos, but not neg. Perhaps reach out</t>
  </si>
  <si>
    <t>CsA+MMF+MTX</t>
  </si>
  <si>
    <t>10.1111/tid.13544</t>
  </si>
  <si>
    <t>CsA+MTX</t>
  </si>
  <si>
    <t>10.1111/j.1365-2141.2004.05254.x</t>
  </si>
  <si>
    <t>Cyclophosphamide</t>
  </si>
  <si>
    <t>10.1038/s41467-024-44828-9</t>
  </si>
  <si>
    <t>Has ANC and HHV-6 status, but not an engraftment definition. Perhaps reach out</t>
  </si>
  <si>
    <t>Cy+CsA+MMF</t>
  </si>
  <si>
    <t>10.1093/cid/cix804</t>
  </si>
  <si>
    <t>Has engraftment data and HHV-6 status, but not raw data. Perhaps reach out</t>
  </si>
  <si>
    <t>MMF</t>
  </si>
  <si>
    <t>10.1111/ped.13551</t>
  </si>
  <si>
    <t>TAC+MTX</t>
  </si>
  <si>
    <t>10.1016/j.transproceed.2020.10.018</t>
  </si>
  <si>
    <t>CAMPATH-1</t>
  </si>
  <si>
    <t>10.1093/infdis/jiu129</t>
  </si>
  <si>
    <t>10.1016/j.jcv.2017.05.019</t>
  </si>
  <si>
    <t>Transplant type</t>
  </si>
  <si>
    <t>10.1086/318142</t>
  </si>
  <si>
    <t>BM</t>
  </si>
  <si>
    <t>10.1002/jmv.24621</t>
  </si>
  <si>
    <t>PBSC</t>
  </si>
  <si>
    <t>10.1038/bmt.2010.201</t>
  </si>
  <si>
    <t>CBT</t>
  </si>
  <si>
    <t>10.1097/TP.0b013e318289958b</t>
  </si>
  <si>
    <t>Gives N HHV-6 pos with delayed engraftment, but not neg. Perhaps reach out</t>
  </si>
  <si>
    <t>87(12):5341-54</t>
  </si>
  <si>
    <t>Gives N HHV-6 pos with delayed engraftment, but not neg. Perhaps reach out (but this was published in 1996)</t>
  </si>
  <si>
    <t>10.1038/s41409-020-01028-5</t>
  </si>
  <si>
    <t>Has HHV-6 status and engraftment, but not raw data. Perhaps reach out</t>
  </si>
  <si>
    <t>10.1016/j.jtct.2021.07.023</t>
  </si>
  <si>
    <t>10.1016/j.bbmt.2013.05.002</t>
  </si>
  <si>
    <t>10.1016/j.exphem.2014.07.264</t>
  </si>
  <si>
    <t>16(3):307-15</t>
  </si>
  <si>
    <t>Has engraftment data for HHV-6 pos, but not neg. Perhaps reach out (but this is 20+ years old)</t>
  </si>
  <si>
    <t>10.1093/infdis/jiab412</t>
  </si>
  <si>
    <t>10.1093/ofid/ofz037</t>
  </si>
  <si>
    <t>111(3):774-81</t>
  </si>
  <si>
    <t>86.3 (2001): 329-330</t>
  </si>
  <si>
    <t>105(1):295-302</t>
  </si>
  <si>
    <t>Has HHV-6 status and engraftment, but not raw data to my reading. The data are reported in a confusing way so way be worth a second pair of eyes here. Perhaps reach out</t>
  </si>
  <si>
    <t>10.1111/odi.14022</t>
  </si>
  <si>
    <t>10.1097/INF.0000000000000777</t>
  </si>
  <si>
    <t>Mentions HHV-6 status and neutrophil recovery, but does not give raw data for either. Perhaps reach out</t>
  </si>
  <si>
    <t>10.1111/bcp.14354</t>
  </si>
  <si>
    <t>Has HHV-6 status and engraftment data, but not raw data. Perhaps reach out</t>
  </si>
  <si>
    <t>10.5144/0256-4947.2014.6</t>
  </si>
  <si>
    <t>10.1182/bloodadvances.2022009274</t>
  </si>
  <si>
    <t>Has N delayed engraftment for HHV-6 pos, but not neg. Perhaps reach out</t>
  </si>
  <si>
    <t>10.1086/498531</t>
  </si>
  <si>
    <t>10.1016/j.bbmt.2018.02.008</t>
  </si>
  <si>
    <t>10.3892/ijmm.6.4.427</t>
  </si>
  <si>
    <t>10.1016/j.bbmt.2014.02.010</t>
  </si>
  <si>
    <t>10.1016/j.bbmt.2020.01.013</t>
  </si>
  <si>
    <t>10.1111/tid.13453</t>
  </si>
  <si>
    <t>10.1177/1078155213519837</t>
  </si>
  <si>
    <t>Has HHV-6 status and N HHV-6 pos with delayed engraftment, but not neg. Perhaps reach out</t>
  </si>
  <si>
    <t>10.1016/j.bbmt.2018.07.033</t>
  </si>
  <si>
    <t>10.1111/j.1600-6143.2009.02685.x</t>
  </si>
  <si>
    <t>Has HHV-6 status and N pos with thrombocytopenia, but not neg</t>
  </si>
  <si>
    <t>10.1016/j.jinf.2015.09.039</t>
  </si>
  <si>
    <t>10.1111/j.1365-2141.2005.05788.x</t>
  </si>
  <si>
    <t>10.1186/s12985-023-01980-w</t>
  </si>
  <si>
    <t>10.1034/j.1399-3062.2002.040101.x</t>
  </si>
  <si>
    <t>10.1002/pbc.20337</t>
  </si>
  <si>
    <t>10.1016/j.bbmt.2010.04.008</t>
  </si>
  <si>
    <t>10.1093/infdis/171.2.273</t>
  </si>
  <si>
    <t>Has HHV-6 status and N pos with "poor engraftment", but not neg</t>
  </si>
  <si>
    <t>10.1111/tid.13580</t>
  </si>
  <si>
    <t>Has HHV-6 status and engraftment data, but not raw data. Perhaps raw data</t>
  </si>
  <si>
    <t>10.1016/j.bbmt.2018.07.016</t>
  </si>
  <si>
    <t>10.1080/10245332.2001.11746541</t>
  </si>
  <si>
    <t>Has HHV-6 status and describes 2 cases of possible delayed engraftment, but does not explicitly daignose delayed engraftment. Does not include this for HHV-6 neg</t>
  </si>
  <si>
    <t>10.1016/j.bbmt.2019.10.031</t>
  </si>
  <si>
    <t>10.1016/j.bbmt.2009.12.003</t>
  </si>
  <si>
    <t>10.1097/INF.0000000000000824</t>
  </si>
  <si>
    <t>10.1111/petr.12572</t>
  </si>
  <si>
    <t>10.1016/j.jtct.2023.02.022</t>
  </si>
  <si>
    <t>10.1111/j.1365-2141.2004.05101.x</t>
  </si>
  <si>
    <t>Has N delayed engraftment for HHV-6 pos and does not explicitly say no delayed engraftment for HHV-6 neg but in context that might be a reasonable interpretation</t>
  </si>
  <si>
    <t>10.1038/sj.bmt.1705666</t>
  </si>
  <si>
    <t>10.1038/sj.bmt.1702058</t>
  </si>
  <si>
    <t>Labeled as 1999b in FTR. Has HHV-6 status and engraftment data, but not raw data. Perhaps reach out (20+)</t>
  </si>
  <si>
    <t>88(9):3615-20</t>
  </si>
  <si>
    <t>Gives raw data for delayed engraftment for HHV-6 pos and neg, but gives as per sample instead of per patient</t>
  </si>
  <si>
    <t>10.1016/j.bbmt.2006.06.001</t>
  </si>
  <si>
    <t>Labeled as 2006a in FTR</t>
  </si>
  <si>
    <t>10.1111/petr.13084</t>
  </si>
  <si>
    <t>Has N HHV-6 pos with delayed engraftment, but not neg. Perhaps reach out</t>
  </si>
  <si>
    <t>10.1086/339411</t>
  </si>
  <si>
    <t>Has HHV-6 status and engraftment data, but not raw data. Perhaps reach out (20+ years old)</t>
  </si>
  <si>
    <t>10.1086/428060</t>
  </si>
  <si>
    <t>10.1016/j.jtct.2024.03.018</t>
  </si>
  <si>
    <t>Added 7/7/24</t>
  </si>
  <si>
    <t>10.46989/001c.92525</t>
  </si>
  <si>
    <t>Abidi MZ</t>
  </si>
  <si>
    <t>10.1038/s41409-019-0457-9</t>
  </si>
  <si>
    <t>https://pubmed.ncbi.nlm.nih.gov/30696997</t>
  </si>
  <si>
    <t>Yes</t>
  </si>
  <si>
    <t xml:space="preserve">Article does not describe at least one type of delayed or failed engraftment for the number of HCT recipients with and without HHV-6 </t>
  </si>
  <si>
    <t>Admiraal R</t>
  </si>
  <si>
    <t>10.1016/j.jaci.2016.12.992</t>
  </si>
  <si>
    <t>https://pubmed.ncbi.nlm.nih.gov/28392330</t>
  </si>
  <si>
    <t xml:space="preserve">Update - this does not have the data we need. 
Circle back. This is super close but does not appear to have the raw data we would need. Perhaps reach out to author. </t>
  </si>
  <si>
    <t>Alexandersson A</t>
  </si>
  <si>
    <t>10.1080/23744235.2019.1650198</t>
  </si>
  <si>
    <t>https://pubmed.ncbi.nlm.nih.gov/31380705</t>
  </si>
  <si>
    <t>Update - this does not have the data we need.
Circle back. This is super close but does not appear to have the raw data we would need. Perhaps reach out to author</t>
  </si>
  <si>
    <t>Allen UD</t>
  </si>
  <si>
    <t>10.1038/sj.bmt.1703153</t>
  </si>
  <si>
    <t>https://pubmed.ncbi.nlm.nih.gov/11593320</t>
  </si>
  <si>
    <t>Update - this does not have the data we need.
Touches on BM suppression, but not delayed engraftment. Maybe useful?</t>
  </si>
  <si>
    <t>Aoki J</t>
  </si>
  <si>
    <t>10.1016/j.bbmt.2015.07.022</t>
  </si>
  <si>
    <t>https://pubmed.ncbi.nlm.nih.gov/26226409</t>
  </si>
  <si>
    <t>Provides HR for neutrophil and platelet engraftment by HHV-6 detection. Perhaps reach out to authors for raw data</t>
  </si>
  <si>
    <t>Appleton AL</t>
  </si>
  <si>
    <t>16(6):777-82</t>
  </si>
  <si>
    <t>https://pubmed.ncbi.nlm.nih.gov/8750269</t>
  </si>
  <si>
    <t>No full text available</t>
  </si>
  <si>
    <t>Asano Y</t>
  </si>
  <si>
    <t>10.1056/NEJM199102283240915</t>
  </si>
  <si>
    <t>https://pubmed.ncbi.nlm.nih.gov/1846942</t>
  </si>
  <si>
    <t>Atay D</t>
  </si>
  <si>
    <t>10.1111/petr.13109</t>
  </si>
  <si>
    <t>https://pubmed.ncbi.nlm.nih.gov/29297965</t>
  </si>
  <si>
    <t>Provides general engraftment data not given by HHV-6 pos and neg</t>
  </si>
  <si>
    <t>Baker M</t>
  </si>
  <si>
    <t>10.1016/j.bbmt.2016.08.003</t>
  </si>
  <si>
    <t>https://pubmed.ncbi.nlm.nih.gov/27522040</t>
  </si>
  <si>
    <t>Bartelink IH</t>
  </si>
  <si>
    <t>10.1016/j.bbmt.2013.11.027</t>
  </si>
  <si>
    <t>https://pubmed.ncbi.nlm.nih.gov/24315842</t>
  </si>
  <si>
    <t>Has number of patients with delayed engraftment and HHV-6 pos and neg, but not together. Maybe reach out</t>
  </si>
  <si>
    <t>Behzad-Behbahani A</t>
  </si>
  <si>
    <t>10.4103/0255-0857.42038</t>
  </si>
  <si>
    <t>https://pubmed.ncbi.nlm.nih.gov/18695326</t>
  </si>
  <si>
    <t>10.1016/j.transproceed.2005.07.007</t>
  </si>
  <si>
    <t>https://pubmed.ncbi.nlm.nih.gov/16213350</t>
  </si>
  <si>
    <t>Bejanyan N</t>
  </si>
  <si>
    <t>10.1016/j.jtct.2020.11.014</t>
  </si>
  <si>
    <t>https://pubmed.ncbi.nlm.nih.gov/33718897</t>
  </si>
  <si>
    <t>Gives engraftment data but not by HHV-6 pos and neg</t>
  </si>
  <si>
    <t>Berneking L</t>
  </si>
  <si>
    <t>10.1111/tid.13836</t>
  </si>
  <si>
    <t>https://pubmed.ncbi.nlm.nih.gov/35389547</t>
  </si>
  <si>
    <t>Gives HHV-6 viral load and after engraftment. I don't think we can get much from that</t>
  </si>
  <si>
    <t>Berzero G</t>
  </si>
  <si>
    <t>10.1212/NXI.0000000000000942</t>
  </si>
  <si>
    <t>https://pubmed.ncbi.nlm.nih.gov/33587722</t>
  </si>
  <si>
    <t>Bhanushali MJ</t>
  </si>
  <si>
    <t>10.1212/WNL.0b013e31828cf8a2</t>
  </si>
  <si>
    <t>https://pubmed.ncbi.nlm.nih.gov/23516318</t>
  </si>
  <si>
    <t>Bogunia-Kubik K</t>
  </si>
  <si>
    <t>10.1016/j.cyto.2015.05.001</t>
  </si>
  <si>
    <t>https://pubmed.ncbi.nlm.nih.gov/25982843</t>
  </si>
  <si>
    <t>Boutolleau D</t>
  </si>
  <si>
    <t>10.1086/367677</t>
  </si>
  <si>
    <t>https://pubmed.ncbi.nlm.nih.gov/12552442</t>
  </si>
  <si>
    <t>Gives HHV-6 median load for patients with delayed engraftment, but not delayed engraftment for HHV-6 pos and neg</t>
  </si>
  <si>
    <t>Brands-Nijenhuis AV</t>
  </si>
  <si>
    <t>10.1038/bmt.2010.245</t>
  </si>
  <si>
    <t>https://pubmed.ncbi.nlm.nih.gov/20956957</t>
  </si>
  <si>
    <t>Article does not describe primary data for a cohort of HCT recipients</t>
  </si>
  <si>
    <t>Buchbinder S</t>
  </si>
  <si>
    <t>10.1038/sj.bmt.1702569</t>
  </si>
  <si>
    <t>https://pubmed.ncbi.nlm.nih.gov/11035370</t>
  </si>
  <si>
    <t>Gives median time to engrfatment for HHV-6 pos, no HHV-6 neg. Maybe reach out to authors</t>
  </si>
  <si>
    <t>Carrigan DR</t>
  </si>
  <si>
    <t>84(10):3307-10</t>
  </si>
  <si>
    <t>https://pubmed.ncbi.nlm.nih.gov/7949085</t>
  </si>
  <si>
    <t>Gives BM suppression by HHV-6 pos and neg, but not engraftment. Does this article use these terms interchangably? Unsure</t>
  </si>
  <si>
    <t>Castagna L</t>
  </si>
  <si>
    <t>10.1016/j.jtct.2021.03.010</t>
  </si>
  <si>
    <t>https://pubmed.ncbi.nlm.nih.gov/33819481</t>
  </si>
  <si>
    <t>Has general engraftment data, not seperated by HHV-6 pos and neg</t>
  </si>
  <si>
    <t>10.1002/jmv.20032</t>
  </si>
  <si>
    <t>https://pubmed.ncbi.nlm.nih.gov/14981771</t>
  </si>
  <si>
    <t xml:space="preserve">Gives engraftment data by HHV-7 pos and neg, but not HHV-6 </t>
  </si>
  <si>
    <t>Chapenko S</t>
  </si>
  <si>
    <t>10.1002/jmv.23412</t>
  </si>
  <si>
    <t>https://pubmed.ncbi.nlm.nih.gov/23080502</t>
  </si>
  <si>
    <t xml:space="preserve">Gives febrile neutropenia data, but not engraftment by HHV-6 pos and neg </t>
  </si>
  <si>
    <t>Cheng FW</t>
  </si>
  <si>
    <t>10.1111/j.1399-3046.2010.01333.x</t>
  </si>
  <si>
    <t>https://pubmed.ncbi.nlm.nih.gov/20534025</t>
  </si>
  <si>
    <t>Labeled 2010a in FTR</t>
  </si>
  <si>
    <t>10.1111/j.1399-3046.2009.01253.x</t>
  </si>
  <si>
    <t>https://pubmed.ncbi.nlm.nih.gov/19843234</t>
  </si>
  <si>
    <t xml:space="preserve">HHV-6 positivity or disease was criteria for inclusion, percluding analysis </t>
  </si>
  <si>
    <t>Labeled 2010b in FTR</t>
  </si>
  <si>
    <t>Colombier MA</t>
  </si>
  <si>
    <t>10.1016/j.jinf.2017.05.011</t>
  </si>
  <si>
    <t>https://pubmed.ncbi.nlm.nih.gov/28551368</t>
  </si>
  <si>
    <t>Cone RW</t>
  </si>
  <si>
    <t>10.1128/jcm.34.4.877-881.1996</t>
  </si>
  <si>
    <t>https://pubmed.ncbi.nlm.nih.gov/8815100</t>
  </si>
  <si>
    <t>Costa ALF</t>
  </si>
  <si>
    <t>10.1111/odi.13690</t>
  </si>
  <si>
    <t>https://pubmed.ncbi.nlm.nih.gov/33085827</t>
  </si>
  <si>
    <t>Costa C</t>
  </si>
  <si>
    <t>10.1097/TP.0b013e3181890415</t>
  </si>
  <si>
    <t>https://pubmed.ncbi.nlm.nih.gov/19034008</t>
  </si>
  <si>
    <t>Cox K</t>
  </si>
  <si>
    <t>10.1016/j.bbmt.2017.03.028</t>
  </si>
  <si>
    <t>https://pubmed.ncbi.nlm.nih.gov/28390986</t>
  </si>
  <si>
    <t>Crocchiolo R</t>
  </si>
  <si>
    <t>10.1016/j.jcv.2016.09.008</t>
  </si>
  <si>
    <t>https://pubmed.ncbi.nlm.nih.gov/27669362</t>
  </si>
  <si>
    <t>de Pagter PJ</t>
  </si>
  <si>
    <t>10.1016/j.clim.2013.02.023</t>
  </si>
  <si>
    <t>https://pubmed.ncbi.nlm.nih.gov/23669455</t>
  </si>
  <si>
    <t>Noted as 2013a in FTR. Has BM suppression for HHV-6 pos, but not neg</t>
  </si>
  <si>
    <t>10.1038/bmt.2013.78</t>
  </si>
  <si>
    <t>https://pubmed.ncbi.nlm.nih.gov/23771003</t>
  </si>
  <si>
    <t>Noted as 2013b in FTR</t>
  </si>
  <si>
    <t>10.1016/j.bbmt.2008.04.016</t>
  </si>
  <si>
    <t>https://pubmed.ncbi.nlm.nih.gov/18541204</t>
  </si>
  <si>
    <t>Gives median time to engraftment and compares patients with different levels of HHV-6 reactivation, but does not give rate data for HHV-6 pos and neg. Maybe reach out</t>
  </si>
  <si>
    <t>Debaugnies F</t>
  </si>
  <si>
    <t>10.1128/JCM.00061-14</t>
  </si>
  <si>
    <t>https://pubmed.ncbi.nlm.nih.gov/24829249</t>
  </si>
  <si>
    <t>Dzieciatkowski T</t>
  </si>
  <si>
    <t>10.1007/s00005-008-0021-6</t>
  </si>
  <si>
    <t>https://pubmed.ncbi.nlm.nih.gov/18512026</t>
  </si>
  <si>
    <t>10.1016/j.jcv.2016.01.005</t>
  </si>
  <si>
    <t>https://pubmed.ncbi.nlm.nih.gov/26809130</t>
  </si>
  <si>
    <t>Fan J</t>
  </si>
  <si>
    <t>10.1016/j.ijid.2016.03.025</t>
  </si>
  <si>
    <t>https://pubmed.ncbi.nlm.nih.gov/27057748</t>
  </si>
  <si>
    <t>Fida M</t>
  </si>
  <si>
    <t>10.1093/ofid/ofz269</t>
  </si>
  <si>
    <t>https://pubmed.ncbi.nlm.nih.gov/31334297</t>
  </si>
  <si>
    <t>Finny GJ</t>
  </si>
  <si>
    <t>114:39-46</t>
  </si>
  <si>
    <t>https://pubmed.ncbi.nlm.nih.gov/11785448</t>
  </si>
  <si>
    <t>Foster GG</t>
  </si>
  <si>
    <t>10.1016/j.bbmt.2020.05.007</t>
  </si>
  <si>
    <t>https://pubmed.ncbi.nlm.nih.gov/32450288</t>
  </si>
  <si>
    <t>Fujimaki K</t>
  </si>
  <si>
    <t>10.1532/IJH97.06072</t>
  </si>
  <si>
    <t>https://pubmed.ncbi.nlm.nih.gov/17189225</t>
  </si>
  <si>
    <t>Fujita A</t>
  </si>
  <si>
    <t>10.1016/j.jinf.2008.06.014</t>
  </si>
  <si>
    <t>https://pubmed.ncbi.nlm.nih.gov/18662831</t>
  </si>
  <si>
    <t>Galarraga MC</t>
  </si>
  <si>
    <t>10.1111/j.1432-2277.2005.00105.x</t>
  </si>
  <si>
    <t>https://pubmed.ncbi.nlm.nih.gov/16008754</t>
  </si>
  <si>
    <t>Galieni P</t>
  </si>
  <si>
    <t>Vol. 86 No. 7 (2001): July, 2001</t>
  </si>
  <si>
    <t>https://haematologica.org/article/view/2090</t>
  </si>
  <si>
    <t>Gautheret-Dejean A</t>
  </si>
  <si>
    <t>10.1016/j.jcv.2009.05.020</t>
  </si>
  <si>
    <t>https://pubmed.ncbi.nlm.nih.gov/19505844</t>
  </si>
  <si>
    <t>10.1097/00007890-200004270-00032</t>
  </si>
  <si>
    <t>https://pubmed.ncbi.nlm.nih.gov/10836387</t>
  </si>
  <si>
    <t>Gerdemann U</t>
  </si>
  <si>
    <t>10.1182/blood-2012-05-430413</t>
  </si>
  <si>
    <t>https://pubmed.ncbi.nlm.nih.gov/23152545</t>
  </si>
  <si>
    <t>Goloshchapov OV</t>
  </si>
  <si>
    <t>10.3390/microorganisms10112128</t>
  </si>
  <si>
    <t>https://pubmed.ncbi.nlm.nih.gov/36363720</t>
  </si>
  <si>
    <t>Hall CB</t>
  </si>
  <si>
    <t>10.1016/j.jpeds.2004.06.017</t>
  </si>
  <si>
    <t>https://pubmed.ncbi.nlm.nih.gov/15480369</t>
  </si>
  <si>
    <t>Hanajiri R</t>
  </si>
  <si>
    <t>10.1016/j.hemonc.2016.08.008</t>
  </si>
  <si>
    <t>https://pubmed.ncbi.nlm.nih.gov/27664550</t>
  </si>
  <si>
    <t>Handley G</t>
  </si>
  <si>
    <t>10.1016/j.jcv.2021.104740</t>
  </si>
  <si>
    <t>https://pubmed.ncbi.nlm.nih.gov/33548682</t>
  </si>
  <si>
    <t>Hanson DJ</t>
  </si>
  <si>
    <t>10.1093/infdis/jiaa422</t>
  </si>
  <si>
    <t>https://pubmed.ncbi.nlm.nih.gov/32663845</t>
  </si>
  <si>
    <t>Heldman MR</t>
  </si>
  <si>
    <t>10.1016/j.jtct.2021.05.029</t>
  </si>
  <si>
    <t>https://pubmed.ncbi.nlm.nih.gov/34111575</t>
  </si>
  <si>
    <t>10.1200/JCO.19.00908</t>
  </si>
  <si>
    <t>https://pubmed.ncbi.nlm.nih.gov/31449472</t>
  </si>
  <si>
    <t>10.1038/bmt.2015.154</t>
  </si>
  <si>
    <t>https://pubmed.ncbi.nlm.nih.gov/26121112</t>
  </si>
  <si>
    <t>Labeled as Hill 2015a in FTR</t>
  </si>
  <si>
    <t>10.1016/j.bbmt.2014.09.015</t>
  </si>
  <si>
    <t>https://pubmed.ncbi.nlm.nih.gov/25255164</t>
  </si>
  <si>
    <t>Labeled as Hill 2015b in FTR</t>
  </si>
  <si>
    <t>10.1016/j.jcv.2016.02.016</t>
  </si>
  <si>
    <t>https://pubmed.ncbi.nlm.nih.gov/26921738</t>
  </si>
  <si>
    <t>10.1016/j.jcv.2014.07.001</t>
  </si>
  <si>
    <t>https://pubmed.ncbi.nlm.nih.gov/25066883</t>
  </si>
  <si>
    <t>10.1182/blood-2016-10-748426</t>
  </si>
  <si>
    <t>https://pubmed.ncbi.nlm.nih.gov/28209721</t>
  </si>
  <si>
    <t>Chromosomally integrated HHV-6 was criteria for inclusion, precluding analysis</t>
  </si>
  <si>
    <t>10.1016/j.jtct.2022.06.016</t>
  </si>
  <si>
    <t>https://pubmed.ncbi.nlm.nih.gov/35764288</t>
  </si>
  <si>
    <t>10.1182/blood-2017-03-775759</t>
  </si>
  <si>
    <t>https://pubmed.ncbi.nlm.nih.gov/28596425</t>
  </si>
  <si>
    <t>10.1182/blood.2019004315</t>
  </si>
  <si>
    <t>https://pubmed.ncbi.nlm.nih.gov/32076716</t>
  </si>
  <si>
    <t>10.1016/j.bbmt.2012.04.016</t>
  </si>
  <si>
    <t>https://pubmed.ncbi.nlm.nih.gov/22564265</t>
  </si>
  <si>
    <t>Huang YT</t>
  </si>
  <si>
    <t>10.1016/j.bbmt.2017.06.008</t>
  </si>
  <si>
    <t>https://pubmed.ncbi.nlm.nih.gov/28668490</t>
  </si>
  <si>
    <t>Hudspeth M</t>
  </si>
  <si>
    <t>10.1038/bmt.2011.25</t>
  </si>
  <si>
    <t>https://pubmed.ncbi.nlm.nih.gov/21358680</t>
  </si>
  <si>
    <t>Humar A</t>
  </si>
  <si>
    <t>10.1111/j.1600-6143.2008.02501.x</t>
  </si>
  <si>
    <t>https://pubmed.ncbi.nlm.nih.gov/19120074</t>
  </si>
  <si>
    <t>Ihira M</t>
  </si>
  <si>
    <t>10.1111/j.1348-0421.2002.tb02754.x</t>
  </si>
  <si>
    <t>https://pubmed.ncbi.nlm.nih.gov/12477249</t>
  </si>
  <si>
    <t>10.1002/jmv.23350</t>
  </si>
  <si>
    <t>https://pubmed.ncbi.nlm.nih.gov/22825817</t>
  </si>
  <si>
    <t>10.1002/jmv.24340</t>
  </si>
  <si>
    <t>https://pubmed.ncbi.nlm.nih.gov/26241219</t>
  </si>
  <si>
    <t>10.1002/jmv.24161</t>
  </si>
  <si>
    <t>https://pubmed.ncbi.nlm.nih.gov/25946433</t>
  </si>
  <si>
    <t>Inui Y</t>
  </si>
  <si>
    <t>10.1111/tid.13024</t>
  </si>
  <si>
    <t>https://pubmed.ncbi.nlm.nih.gov/30414316</t>
  </si>
  <si>
    <t>Article does not describe the number of HCT recipients with and without HHV-6</t>
  </si>
  <si>
    <t>10.1111/j.1399-3062.2011.00662.x</t>
  </si>
  <si>
    <t>https://pubmed.ncbi.nlm.nih.gov/21794043</t>
  </si>
  <si>
    <t>Jacobs U</t>
  </si>
  <si>
    <t>28(6):3238</t>
  </si>
  <si>
    <t>https://pubmed.ncbi.nlm.nih.gov/8962253</t>
  </si>
  <si>
    <t>Jaskula E</t>
  </si>
  <si>
    <t>10.1016/j.transproceed.2010.07.027</t>
  </si>
  <si>
    <t>https://pubmed.ncbi.nlm.nih.gov/20970670</t>
  </si>
  <si>
    <t>10.3390/v7031391</t>
  </si>
  <si>
    <t>https://pubmed.ncbi.nlm.nih.gov/25807050</t>
  </si>
  <si>
    <t>10.1016/j.jcv.2009.02.006</t>
  </si>
  <si>
    <t>https://pubmed.ncbi.nlm.nih.gov/19321385</t>
  </si>
  <si>
    <t>Kampouri E</t>
  </si>
  <si>
    <t>10.1016/j.cmi.2023.07.026</t>
  </si>
  <si>
    <t>https://pubmed.ncbi.nlm.nih.gov/37532126</t>
  </si>
  <si>
    <t>Need full text access</t>
  </si>
  <si>
    <t>Kato K</t>
  </si>
  <si>
    <t>10.1016/j.ymgmr.2018.11.001</t>
  </si>
  <si>
    <t>https://pubmed.ncbi.nlm.nih.gov/30519529</t>
  </si>
  <si>
    <t>Kawamura Y</t>
  </si>
  <si>
    <t>10.1016/j.jcv.2011.02.002</t>
  </si>
  <si>
    <t>https://pubmed.ncbi.nlm.nih.gov/21376661</t>
  </si>
  <si>
    <t>Kim YJ</t>
  </si>
  <si>
    <t>10.1038/sj.leu.2402403</t>
  </si>
  <si>
    <t>https://pubmed.ncbi.nlm.nih.gov/11986964</t>
  </si>
  <si>
    <t>Kitamura K</t>
  </si>
  <si>
    <t>10.1016/j.jaad.2008.01.005</t>
  </si>
  <si>
    <t>https://pubmed.ncbi.nlm.nih.gov/18367292</t>
  </si>
  <si>
    <t>Koidl C</t>
  </si>
  <si>
    <t>10.1016/j.jviromet.2008.08.012</t>
  </si>
  <si>
    <t>https://pubmed.ncbi.nlm.nih.gov/18789976</t>
  </si>
  <si>
    <t>Kullberg-Lindh C</t>
  </si>
  <si>
    <t>10.1111/j.1399-3062.2010.00564.x</t>
  </si>
  <si>
    <t>https://pubmed.ncbi.nlm.nih.gov/21457420</t>
  </si>
  <si>
    <t>Lang P</t>
  </si>
  <si>
    <t>10.1182/blood-2002-04-1203</t>
  </si>
  <si>
    <t>https://pubmed.ncbi.nlm.nih.gov/12393439</t>
  </si>
  <si>
    <t>Lindahl JK</t>
  </si>
  <si>
    <t>10.3109/00365548.2013.773069</t>
  </si>
  <si>
    <t>https://pubmed.ncbi.nlm.nih.gov/23461659</t>
  </si>
  <si>
    <t>10.1038/sj.bmt.1705617</t>
  </si>
  <si>
    <t>https://pubmed.ncbi.nlm.nih.gov/17334385</t>
  </si>
  <si>
    <t>Maecker-Kolhoff B</t>
  </si>
  <si>
    <t>10.3978/j.issn.2305-5839.2015.01.30</t>
  </si>
  <si>
    <t>https://pubmed.ncbi.nlm.nih.gov/26046087</t>
  </si>
  <si>
    <t>10.3109/10428190009065823</t>
  </si>
  <si>
    <t>https://pubmed.ncbi.nlm.nih.gov/11342304</t>
  </si>
  <si>
    <t>Mariotte E</t>
  </si>
  <si>
    <t>10.1007/s15010-011-0114-8</t>
  </si>
  <si>
    <t>https://pubmed.ncbi.nlm.nih.gov/21538037</t>
  </si>
  <si>
    <t>Marsh RA</t>
  </si>
  <si>
    <t>10.1016/j.bbmt.2014.06.003</t>
  </si>
  <si>
    <t>https://pubmed.ncbi.nlm.nih.gov/24923536</t>
  </si>
  <si>
    <t>Martelius T</t>
  </si>
  <si>
    <t>10.1186/1471-2334-11-281</t>
  </si>
  <si>
    <t>https://pubmed.ncbi.nlm.nih.gov/22018204</t>
  </si>
  <si>
    <t>Martin LK</t>
  </si>
  <si>
    <t>10.1371/journal.ppat.1006991</t>
  </si>
  <si>
    <t>https://pubmed.ncbi.nlm.nih.gov/29698478</t>
  </si>
  <si>
    <t>Matà S</t>
  </si>
  <si>
    <t>10.1038/bmt.2008.233</t>
  </si>
  <si>
    <t>https://pubmed.ncbi.nlm.nih.gov/18679368</t>
  </si>
  <si>
    <t>Mehta P</t>
  </si>
  <si>
    <t>10.1007/s10875-023-01549-w</t>
  </si>
  <si>
    <t>https://pubmed.ncbi.nlm.nih.gov/37452206</t>
  </si>
  <si>
    <t>Need full access</t>
  </si>
  <si>
    <t>Meng J</t>
  </si>
  <si>
    <t>10.2147/IDR.S379439</t>
  </si>
  <si>
    <t>https://pubmed.ncbi.nlm.nih.gov/36110128</t>
  </si>
  <si>
    <t>10.1007/s00784-020-03234-3</t>
  </si>
  <si>
    <t>https://pubmed.ncbi.nlm.nih.gov/32036434</t>
  </si>
  <si>
    <t>10.1111/tid.12916</t>
  </si>
  <si>
    <t>https://pubmed.ncbi.nlm.nih.gov/29797616</t>
  </si>
  <si>
    <t>10.1111/tid.13203</t>
  </si>
  <si>
    <t>https://pubmed.ncbi.nlm.nih.gov/31650671</t>
  </si>
  <si>
    <t>Miyake M</t>
  </si>
  <si>
    <t>10.3390/microorganisms9040776</t>
  </si>
  <si>
    <t>https://pubmed.ncbi.nlm.nih.gov/33917715</t>
  </si>
  <si>
    <t>Miyashita N</t>
  </si>
  <si>
    <t>10.1111/tid.12682</t>
  </si>
  <si>
    <t>https://pubmed.ncbi.nlm.nih.gov/28207973</t>
  </si>
  <si>
    <t>Miyoshi H</t>
  </si>
  <si>
    <t>10.1038/sj.bmt.1703033</t>
  </si>
  <si>
    <t>https://pubmed.ncbi.nlm.nih.gov/11438822</t>
  </si>
  <si>
    <t>Morales-Sánchez A</t>
  </si>
  <si>
    <t>10.1155/2014/548097</t>
  </si>
  <si>
    <t>https://pubmed.ncbi.nlm.nih.gov/25309913</t>
  </si>
  <si>
    <t>Mori T</t>
  </si>
  <si>
    <t>10.1007/s00520-021-06474-5</t>
  </si>
  <si>
    <t>https://pubmed.ncbi.nlm.nih.gov/34347179</t>
  </si>
  <si>
    <t>Mori Y</t>
  </si>
  <si>
    <t>10.1016/j.bbmt.2010.05.009</t>
  </si>
  <si>
    <t>https://pubmed.ncbi.nlm.nih.gov/20685258</t>
  </si>
  <si>
    <t>Moschettini D</t>
  </si>
  <si>
    <t>10.1007/BF01682168</t>
  </si>
  <si>
    <t>https://pubmed.ncbi.nlm.nih.gov/9629978</t>
  </si>
  <si>
    <t>Murakami K</t>
  </si>
  <si>
    <t>10.1007/s12185-017-2254-9</t>
  </si>
  <si>
    <t>https://pubmed.ncbi.nlm.nih.gov/28501929</t>
  </si>
  <si>
    <t>Muta T</t>
  </si>
  <si>
    <t>10.1038/bmt.2008.359</t>
  </si>
  <si>
    <t>https://pubmed.ncbi.nlm.nih.gov/18978824</t>
  </si>
  <si>
    <t>Nagamata S</t>
  </si>
  <si>
    <t>10.1016/j.jcv.2018.02.011</t>
  </si>
  <si>
    <t>https://pubmed.ncbi.nlm.nih.gov/29494951</t>
  </si>
  <si>
    <t>Naik S</t>
  </si>
  <si>
    <t>10.1016/j.jaci.2015.12.1311</t>
  </si>
  <si>
    <t>https://pubmed.ncbi.nlm.nih.gov/26920464</t>
  </si>
  <si>
    <t>Nakayama H</t>
  </si>
  <si>
    <t>10.1016/j.jtct.2020.10.011</t>
  </si>
  <si>
    <t>https://pubmed.ncbi.nlm.nih.gov/33830031</t>
  </si>
  <si>
    <t>10.1093/infdis/jiz237</t>
  </si>
  <si>
    <t>https://pubmed.ncbi.nlm.nih.gov/31063196</t>
  </si>
  <si>
    <t>Neumann T</t>
  </si>
  <si>
    <t>10.1111/tid.12822</t>
  </si>
  <si>
    <t>https://pubmed.ncbi.nlm.nih.gov/29178248</t>
  </si>
  <si>
    <t>Nishimaki K</t>
  </si>
  <si>
    <t>10.1038/sj.bmt.1704269</t>
  </si>
  <si>
    <t>https://pubmed.ncbi.nlm.nih.gov/14625584</t>
  </si>
  <si>
    <t>Nitsche A</t>
  </si>
  <si>
    <t>10.1086/317651</t>
  </si>
  <si>
    <t>https://pubmed.ncbi.nlm.nih.gov/11076708</t>
  </si>
  <si>
    <t>Noguchi T</t>
  </si>
  <si>
    <t>27(10):2191-5</t>
  </si>
  <si>
    <t>https://pubmed.ncbi.nlm.nih.gov/17110691</t>
  </si>
  <si>
    <t>10.1038/sj.bmt.1705907</t>
  </si>
  <si>
    <t>https://pubmed.ncbi.nlm.nih.gov/18037945</t>
  </si>
  <si>
    <t>10.1111/tid.13512</t>
  </si>
  <si>
    <t>https://pubmed.ncbi.nlm.nih.gov/33217174</t>
  </si>
  <si>
    <t>10.1093/cid/cit358</t>
  </si>
  <si>
    <t>https://pubmed.ncbi.nlm.nih.gov/23723198</t>
  </si>
  <si>
    <t>Labeled 2013a in FTR</t>
  </si>
  <si>
    <t>10.1038/bmt.2017.175</t>
  </si>
  <si>
    <t>https://pubmed.ncbi.nlm.nih.gov/28783148</t>
  </si>
  <si>
    <t>10.1038/bmt.2012.121</t>
  </si>
  <si>
    <t>https://pubmed.ncbi.nlm.nih.gov/22750998</t>
  </si>
  <si>
    <t>Labeled 2013b in FTR</t>
  </si>
  <si>
    <t>10.1038/bmt.2009.116</t>
  </si>
  <si>
    <t>https://pubmed.ncbi.nlm.nih.gov/19465942</t>
  </si>
  <si>
    <t>10.1002/jmv.22013</t>
  </si>
  <si>
    <t>https://pubmed.ncbi.nlm.nih.gov/21328386</t>
  </si>
  <si>
    <t>Papadopoulou A</t>
  </si>
  <si>
    <t>10.1126/scitranslmed.3008825</t>
  </si>
  <si>
    <t>https://pubmed.ncbi.nlm.nih.gov/24964991</t>
  </si>
  <si>
    <t>Patel DA</t>
  </si>
  <si>
    <t>10.1111/tid.13222</t>
  </si>
  <si>
    <t>https://pubmed.ncbi.nlm.nih.gov/31782875</t>
  </si>
  <si>
    <t>Pereira CM</t>
  </si>
  <si>
    <t>10.1111/j.1601-0825.2006.01294.x</t>
  </si>
  <si>
    <t>https://pubmed.ncbi.nlm.nih.gov/17448218</t>
  </si>
  <si>
    <t>Pichereau C</t>
  </si>
  <si>
    <t>10.1016/j.bbmt.2011.07.018</t>
  </si>
  <si>
    <t>https://pubmed.ncbi.nlm.nih.gov/21801705</t>
  </si>
  <si>
    <t>Pinkel D</t>
  </si>
  <si>
    <t>91(1):365-7</t>
  </si>
  <si>
    <t>https://pubmed.ncbi.nlm.nih.gov/9414312</t>
  </si>
  <si>
    <t>Piukovics K</t>
  </si>
  <si>
    <t>28(6):1113-7</t>
  </si>
  <si>
    <t>https://pubmed.ncbi.nlm.nih.gov/25398808</t>
  </si>
  <si>
    <t>Pradeau K</t>
  </si>
  <si>
    <t>10.1016/j.jviromet.2005.09.001</t>
  </si>
  <si>
    <t>https://pubmed.ncbi.nlm.nih.gov/16300835</t>
  </si>
  <si>
    <t>10.1016/j.jviromet.2005.11.015</t>
  </si>
  <si>
    <t>https://pubmed.ncbi.nlm.nih.gov/16417932</t>
  </si>
  <si>
    <t>Labeled as 2006b in FTR</t>
  </si>
  <si>
    <t>Qiang P</t>
  </si>
  <si>
    <t>10.1016/j.jinf.2020.08.038</t>
  </si>
  <si>
    <t>https://pubmed.ncbi.nlm.nih.gov/32860815</t>
  </si>
  <si>
    <t>Ramanathan S</t>
  </si>
  <si>
    <t>10.1016/j.jtct.2023.05.019</t>
  </si>
  <si>
    <t>https://pubmed.ncbi.nlm.nih.gov/37279857</t>
  </si>
  <si>
    <t>Need access to article</t>
  </si>
  <si>
    <t>Ramgopal A</t>
  </si>
  <si>
    <t>10.3390/jpm11060467</t>
  </si>
  <si>
    <t>https://pubmed.ncbi.nlm.nih.gov/34070379</t>
  </si>
  <si>
    <t>Rashidi A</t>
  </si>
  <si>
    <t>10.1002/ajh.25141</t>
  </si>
  <si>
    <t>https://pubmed.ncbi.nlm.nih.gov/29756385</t>
  </si>
  <si>
    <t>Revest M</t>
  </si>
  <si>
    <t>10.1016/j.jcv.2011.02.001</t>
  </si>
  <si>
    <t>https://pubmed.ncbi.nlm.nih.gov/21376662</t>
  </si>
  <si>
    <t>Rieger CT</t>
  </si>
  <si>
    <t>10.1111/j.1399-3062.2009.00379.x</t>
  </si>
  <si>
    <t>https://pubmed.ncbi.nlm.nih.gov/19298239</t>
  </si>
  <si>
    <t>Rojas-Rechy MH</t>
  </si>
  <si>
    <t>10.3390/microorganisms10081685</t>
  </si>
  <si>
    <t>https://pubmed.ncbi.nlm.nih.gov/36014102</t>
  </si>
  <si>
    <t>Russell SJ</t>
  </si>
  <si>
    <t>10.1016/j.clml.2019.03.010</t>
  </si>
  <si>
    <t>https://pubmed.ncbi.nlm.nih.gov/31053550</t>
  </si>
  <si>
    <t>Sakai R</t>
  </si>
  <si>
    <t>10.1016/j.bbmt.2011.01.014</t>
  </si>
  <si>
    <t>https://pubmed.ncbi.nlm.nih.gov/21296175</t>
  </si>
  <si>
    <t>Santoro JD</t>
  </si>
  <si>
    <t>10.1111/tid.13003</t>
  </si>
  <si>
    <t>https://pubmed.ncbi.nlm.nih.gov/30256500</t>
  </si>
  <si>
    <t>Sashihara J</t>
  </si>
  <si>
    <t>100(6):2005-11</t>
  </si>
  <si>
    <t>https://pubmed.ncbi.nlm.nih.gov/12200359</t>
  </si>
  <si>
    <t>Sassenscheidt J</t>
  </si>
  <si>
    <t>10.1016/j.jviromet.2006.07.015</t>
  </si>
  <si>
    <t>https://pubmed.ncbi.nlm.nih.gov/16956672</t>
  </si>
  <si>
    <t>Sawada A</t>
  </si>
  <si>
    <t>10.1111/j.1442-200X.2011.03437.x</t>
  </si>
  <si>
    <t>https://pubmed.ncbi.nlm.nih.gov/21810148</t>
  </si>
  <si>
    <t>Schmidt-Hieber M</t>
  </si>
  <si>
    <t>10.3324/haematol.2010.029876</t>
  </si>
  <si>
    <t>https://pubmed.ncbi.nlm.nih.gov/20851868</t>
  </si>
  <si>
    <t>Scordo M</t>
  </si>
  <si>
    <t>10.1016/j.bbmt.2018.04.013</t>
  </si>
  <si>
    <t>https://pubmed.ncbi.nlm.nih.gov/29679773</t>
  </si>
  <si>
    <t>Seeley WW</t>
  </si>
  <si>
    <t>10.1212/01.wnl.0000265591.10200.d7</t>
  </si>
  <si>
    <t>https://pubmed.ncbi.nlm.nih.gov/17620548</t>
  </si>
  <si>
    <t>Seo S</t>
  </si>
  <si>
    <t>10.1182/blood-2014-12-617035</t>
  </si>
  <si>
    <t>https://pubmed.ncbi.nlm.nih.gov/25918347</t>
  </si>
  <si>
    <t>Shachor-Meyouhas Y</t>
  </si>
  <si>
    <t>17(5):302-5</t>
  </si>
  <si>
    <t>https://pubmed.ncbi.nlm.nih.gov/26137657</t>
  </si>
  <si>
    <t>Shargian-Alon L</t>
  </si>
  <si>
    <t>10.1080/10428194.2019.1576869</t>
  </si>
  <si>
    <t>https://pubmed.ncbi.nlm.nih.gov/30773083</t>
  </si>
  <si>
    <t>Shimazu Y</t>
  </si>
  <si>
    <t>10.1111/tid.12049</t>
  </si>
  <si>
    <t>https://pubmed.ncbi.nlm.nih.gov/23331378</t>
  </si>
  <si>
    <t>Shiroshita K</t>
  </si>
  <si>
    <t>10.1038/s41409-019-0755-2</t>
  </si>
  <si>
    <t>https://pubmed.ncbi.nlm.nih.gov/31754252</t>
  </si>
  <si>
    <t>Singh A</t>
  </si>
  <si>
    <t>10.1016/j.jtct.2021.09.015</t>
  </si>
  <si>
    <t>https://pubmed.ncbi.nlm.nih.gov/34587551</t>
  </si>
  <si>
    <t>Styczynski J</t>
  </si>
  <si>
    <t>10.1016/j.cmi.2015.10.017</t>
  </si>
  <si>
    <t>https://pubmed.ncbi.nlm.nih.gov/26493843</t>
  </si>
  <si>
    <t>Sun HY</t>
  </si>
  <si>
    <t>10.1517/14656566.9.14.2409</t>
  </si>
  <si>
    <t>https://pubmed.ncbi.nlm.nih.gov/18778180</t>
  </si>
  <si>
    <t>Takano K</t>
  </si>
  <si>
    <t>10.1111/tid.13172</t>
  </si>
  <si>
    <t>https://pubmed.ncbi.nlm.nih.gov/31520510</t>
  </si>
  <si>
    <t>10.1007/s12185-018-2498-z</t>
  </si>
  <si>
    <t>https://pubmed.ncbi.nlm.nih.gov/30014227</t>
  </si>
  <si>
    <t>10.1038/sj.bmt.1703879</t>
  </si>
  <si>
    <t>https://pubmed.ncbi.nlm.nih.gov/12665843</t>
  </si>
  <si>
    <t>Takemoto Y</t>
  </si>
  <si>
    <t>10.1038/sj.bmt.1702459</t>
  </si>
  <si>
    <t>https://pubmed.ncbi.nlm.nih.gov/10918408</t>
  </si>
  <si>
    <t>Tamaki H</t>
  </si>
  <si>
    <t>10.1111/tid.13073</t>
  </si>
  <si>
    <t>https://pubmed.ncbi.nlm.nih.gov/30875143</t>
  </si>
  <si>
    <t>Tanizawa N</t>
  </si>
  <si>
    <t>10.1016/j.jtct.2021.01.021</t>
  </si>
  <si>
    <t>https://pubmed.ncbi.nlm.nih.gov/33965190</t>
  </si>
  <si>
    <t>Tokimasa S</t>
  </si>
  <si>
    <t>10.1038/sj.bmt.1703423</t>
  </si>
  <si>
    <t>https://pubmed.ncbi.nlm.nih.gov/11979309</t>
  </si>
  <si>
    <t>Tomonari A</t>
  </si>
  <si>
    <t>10.1532/IJH97.04183</t>
  </si>
  <si>
    <t>https://pubmed.ncbi.nlm.nih.gov/15914369</t>
  </si>
  <si>
    <t>Toriumi N</t>
  </si>
  <si>
    <t>10.1097/MPH.0b013e3182a11676</t>
  </si>
  <si>
    <t>https://pubmed.ncbi.nlm.nih.gov/23929317</t>
  </si>
  <si>
    <t>Triplett BM</t>
  </si>
  <si>
    <t>10.1111/tid.12823</t>
  </si>
  <si>
    <t>https://pubmed.ncbi.nlm.nih.gov/29178554</t>
  </si>
  <si>
    <t>Tzannou I</t>
  </si>
  <si>
    <t>10.1200/JCO.2017.73.0655</t>
  </si>
  <si>
    <t>https://pubmed.ncbi.nlm.nih.gov/28783452</t>
  </si>
  <si>
    <t>Ueki T</t>
  </si>
  <si>
    <t>10.1007/s12185-017-2347-5</t>
  </si>
  <si>
    <t>https://pubmed.ncbi.nlm.nih.gov/29022282</t>
  </si>
  <si>
    <t>Vasu S</t>
  </si>
  <si>
    <t>10.1182/bloodadvances.2021004933</t>
  </si>
  <si>
    <t>https://pubmed.ncbi.nlm.nih.gov/34932790</t>
  </si>
  <si>
    <t>Verdeguer A</t>
  </si>
  <si>
    <t>10.1038/bmt.2010.52</t>
  </si>
  <si>
    <t>https://pubmed.ncbi.nlm.nih.gov/20228849</t>
  </si>
  <si>
    <t>Vu DL</t>
  </si>
  <si>
    <t>10.1016/j.cmi.2018.05.004</t>
  </si>
  <si>
    <t>https://pubmed.ncbi.nlm.nih.gov/29787887</t>
  </si>
  <si>
    <t>Wade AW</t>
  </si>
  <si>
    <t>10.1016/s0041-1345(98)00548-x</t>
  </si>
  <si>
    <t>https://pubmed.ncbi.nlm.nih.gov/9723401</t>
  </si>
  <si>
    <t>10.1086/515142</t>
  </si>
  <si>
    <t>https://pubmed.ncbi.nlm.nih.gov/10194079</t>
  </si>
  <si>
    <t>Labeled as 1999a in FTR</t>
  </si>
  <si>
    <t>10.1038/sj.bmt.1703657</t>
  </si>
  <si>
    <t>https://pubmed.ncbi.nlm.nih.gov/12379892</t>
  </si>
  <si>
    <t>10.1038/bmt.2008.238</t>
  </si>
  <si>
    <t>https://pubmed.ncbi.nlm.nih.gov/18695666</t>
  </si>
  <si>
    <t>10.1532/IJH97.A10607</t>
  </si>
  <si>
    <t>https://pubmed.ncbi.nlm.nih.gov/17050202</t>
  </si>
  <si>
    <t>Wang WJ</t>
  </si>
  <si>
    <t>10.3967/bes2022.052</t>
  </si>
  <si>
    <t>https://pubmed.ncbi.nlm.nih.gov/36189995</t>
  </si>
  <si>
    <t>Labeled as 2022a in FTR</t>
  </si>
  <si>
    <t>10.1155/2022/2786841</t>
  </si>
  <si>
    <t>https://pubmed.ncbi.nlm.nih.gov/36300166</t>
  </si>
  <si>
    <t>Labeled as 2022b in FTR</t>
  </si>
  <si>
    <t>Wang X</t>
  </si>
  <si>
    <t>10.1177/20499361211018027</t>
  </si>
  <si>
    <t>https://pubmed.ncbi.nlm.nih.gov/34104434</t>
  </si>
  <si>
    <t>Watanabe M</t>
  </si>
  <si>
    <t>10.1016/j.bbmt.2018.10.014</t>
  </si>
  <si>
    <t>https://pubmed.ncbi.nlm.nih.gov/30359733</t>
  </si>
  <si>
    <t>Weber T</t>
  </si>
  <si>
    <t>10.1159/000509739</t>
  </si>
  <si>
    <t>https://pubmed.ncbi.nlm.nih.gov/32906131</t>
  </si>
  <si>
    <t>Weschke DP</t>
  </si>
  <si>
    <t>10.1016/j.bbmt.2019.10.023</t>
  </si>
  <si>
    <t>https://pubmed.ncbi.nlm.nih.gov/31678540</t>
  </si>
  <si>
    <t>Wilborn F</t>
  </si>
  <si>
    <t>83(10):3052-8</t>
  </si>
  <si>
    <t>https://pubmed.ncbi.nlm.nih.gov/8180402</t>
  </si>
  <si>
    <t>Yamamoto W</t>
  </si>
  <si>
    <t>10.1111/ctr.12342</t>
  </si>
  <si>
    <t>https://pubmed.ncbi.nlm.nih.gov/24579822</t>
  </si>
  <si>
    <t>Yamane A</t>
  </si>
  <si>
    <t>10.1016/j.bbmt.2006.09.003</t>
  </si>
  <si>
    <t>https://pubmed.ncbi.nlm.nih.gov/17222758</t>
  </si>
  <si>
    <t>Yassin A</t>
  </si>
  <si>
    <t>10.1016/j.amsu.2020.10.022</t>
  </si>
  <si>
    <t>https://pubmed.ncbi.nlm.nih.gov/33133590</t>
  </si>
  <si>
    <t>Yigit N</t>
  </si>
  <si>
    <t>10.1111/bjh.13573</t>
  </si>
  <si>
    <t>https://pubmed.ncbi.nlm.nih.gov/26105089</t>
  </si>
  <si>
    <t>Yoshida S</t>
  </si>
  <si>
    <t>10.1038/s41409-022-01843-y</t>
  </si>
  <si>
    <t>https://pubmed.ncbi.nlm.nih.gov/36243759</t>
  </si>
  <si>
    <t>10.1182/blood.V78.5.1381.1381</t>
  </si>
  <si>
    <t>https://pubmed.ncbi.nlm.nih.gov/1652312</t>
  </si>
  <si>
    <t>92(7):2597-9</t>
  </si>
  <si>
    <t>https://pubmed.ncbi.nlm.nih.gov/9746806</t>
  </si>
  <si>
    <t>10.1038/sj.bmt.1703099</t>
  </si>
  <si>
    <t>https://pubmed.ncbi.nlm.nih.gov/11498748</t>
  </si>
  <si>
    <t>Yoshimasu T</t>
  </si>
  <si>
    <t>10.1038/sj.bmt.1704128</t>
  </si>
  <si>
    <t>https://pubmed.ncbi.nlm.nih.gov/12858204</t>
  </si>
  <si>
    <t>Yoshimoto G</t>
  </si>
  <si>
    <t>10.1016/j.bbmt.2018.07.017</t>
  </si>
  <si>
    <t>https://pubmed.ncbi.nlm.nih.gov/30026111</t>
  </si>
  <si>
    <t>Zawilinska B</t>
  </si>
  <si>
    <t>10.12659/msm.881904</t>
  </si>
  <si>
    <t>https://pubmed.ncbi.nlm.nih.gov/21804462</t>
  </si>
  <si>
    <t>10.1086/338044</t>
  </si>
  <si>
    <t>https://pubmed.ncbi.nlm.nih.gov/11774077</t>
  </si>
  <si>
    <t>10.1086/322642</t>
  </si>
  <si>
    <t>https://pubmed.ncbi.nlm.nih.gov/11512080</t>
  </si>
  <si>
    <t>10.1182/blood-2010-10-316083</t>
  </si>
  <si>
    <t>https://pubmed.ncbi.nlm.nih.gov/21389320</t>
  </si>
  <si>
    <t>10.1016/j.bbmt.2012.05.012</t>
  </si>
  <si>
    <t>https://pubmed.ncbi.nlm.nih.gov/22641196</t>
  </si>
  <si>
    <t>Zhang XH</t>
  </si>
  <si>
    <t>10.1111/ejh.12855</t>
  </si>
  <si>
    <t>https://pubmed.ncbi.nlm.nih.gov/28129450</t>
  </si>
  <si>
    <t>Zhou X</t>
  </si>
  <si>
    <t>10.1164/rccm.201809-1635OC</t>
  </si>
  <si>
    <t>https://pubmed.ncbi.nlm.nih.gov/30742492</t>
  </si>
  <si>
    <t>10.1007/s12185-024-03714-2</t>
  </si>
  <si>
    <t>https://pubmed.ncbi.nlm.nih.gov/38407786</t>
  </si>
  <si>
    <t>Dadwal SS</t>
  </si>
  <si>
    <t>10.1182/bloodadvances.2023011562</t>
  </si>
  <si>
    <t>https://pubmed.ncbi.nlm.nih.gov/38593233</t>
  </si>
  <si>
    <t>10.1182/blood.2024024145</t>
  </si>
  <si>
    <t>https://pubmed.ncbi.nlm.nih.gov/38635788</t>
  </si>
  <si>
    <t>Added 7/7/24. DT requested library access 7/8/24, received 7/8/24</t>
  </si>
  <si>
    <t>Terao T</t>
  </si>
  <si>
    <t>10.1038/s41409-024-02313-3</t>
  </si>
  <si>
    <t>https://pubmed.ncbi.nlm.nih.gov/38796633</t>
  </si>
  <si>
    <t>Added 7/7/24. DT requested library access 7/8/24, recieved 7/9/24</t>
  </si>
  <si>
    <t>Yu Y</t>
  </si>
  <si>
    <t>10.1038/s41409-024-02332-0</t>
  </si>
  <si>
    <t>https://pubmed.ncbi.nlm.nih.gov/38937612</t>
  </si>
  <si>
    <t>Added 7/7/24. DT requested library access 7/8/24, received 7/9/24</t>
  </si>
  <si>
    <t>Figure 1 caption</t>
  </si>
  <si>
    <t>n results</t>
  </si>
  <si>
    <t>n screened</t>
  </si>
  <si>
    <t>n excluded in screening</t>
  </si>
  <si>
    <t>Brief reasons for exclusion in screening:</t>
  </si>
  <si>
    <t xml:space="preserve">Not in Engish </t>
  </si>
  <si>
    <t>Retracted article</t>
  </si>
  <si>
    <t>n full text review</t>
  </si>
  <si>
    <t>n excluded in full text revew</t>
  </si>
  <si>
    <t>Brief reasons for exclusion in full text review:</t>
  </si>
  <si>
    <t>n met inclusion criteria</t>
  </si>
  <si>
    <t>n excluded from analysis</t>
  </si>
  <si>
    <t>Reasons for exclusion from analysis:</t>
  </si>
  <si>
    <t>Study discussed HHV-6 status and engraftment after HSCT, but did not provide data required for inclusion in statistical analyses</t>
  </si>
  <si>
    <t>N included in analyses</t>
  </si>
  <si>
    <t>Abdel Massih RC</t>
  </si>
  <si>
    <t>10.3748/wjg.15.2561</t>
  </si>
  <si>
    <t>https://pubmed.ncbi.nlm.nih.gov/19496184</t>
  </si>
  <si>
    <t>Abdel-Haq NM</t>
  </si>
  <si>
    <t>10.1007/BF02725664</t>
  </si>
  <si>
    <t>https://pubmed.ncbi.nlm.nih.gov/14979393</t>
  </si>
  <si>
    <t>Ablashi DV</t>
  </si>
  <si>
    <t>10.1177/135245859800400606</t>
  </si>
  <si>
    <t>https://pubmed.ncbi.nlm.nih.gov/9987758</t>
  </si>
  <si>
    <t>https://pubmed.ncbi.nlm.nih.gov/1654146</t>
  </si>
  <si>
    <t>10.1002/jmv.21860</t>
  </si>
  <si>
    <t>https://pubmed.ncbi.nlm.nih.gov/20872717</t>
  </si>
  <si>
    <t>10.1016/0042-6822(91)90424-a</t>
  </si>
  <si>
    <t>https://pubmed.ncbi.nlm.nih.gov/1653487</t>
  </si>
  <si>
    <t>https://pubmed.ncbi.nlm.nih.gov/7893986</t>
  </si>
  <si>
    <t>https://pubmed.ncbi.nlm.nih.gov/7893985</t>
  </si>
  <si>
    <t>https://pubmed.ncbi.nlm.nih.gov/7893982</t>
  </si>
  <si>
    <t>https://pubmed.ncbi.nlm.nih.gov/2759346</t>
  </si>
  <si>
    <t>10.1002/ijc.2910420526</t>
  </si>
  <si>
    <t>https://pubmed.ncbi.nlm.nih.gov/3053468</t>
  </si>
  <si>
    <t>10.1016/0928-0197(95)00005-s</t>
  </si>
  <si>
    <t>https://pubmed.ncbi.nlm.nih.gov/15566823</t>
  </si>
  <si>
    <t>10.1038/329207a0</t>
  </si>
  <si>
    <t>https://pubmed.ncbi.nlm.nih.gov/3627265</t>
  </si>
  <si>
    <t>10.1016/s0166-0934(98)00037-8</t>
  </si>
  <si>
    <t>https://pubmed.ncbi.nlm.nih.gov/9766884</t>
  </si>
  <si>
    <t>Abu Sitta E</t>
  </si>
  <si>
    <t>10.1136/bcr-2020-234303</t>
  </si>
  <si>
    <t>https://pubmed.ncbi.nlm.nih.gov/32188617</t>
  </si>
  <si>
    <t>Acott PD</t>
  </si>
  <si>
    <t>10.1016/j.transproceed.2003.12.041</t>
  </si>
  <si>
    <t>https://pubmed.ncbi.nlm.nih.gov/15041393</t>
  </si>
  <si>
    <t>10.1016/s0041-1345(01)02354-5</t>
  </si>
  <si>
    <t>https://pubmed.ncbi.nlm.nih.gov/11750365</t>
  </si>
  <si>
    <t>10.1097/00007890-199609150-00026</t>
  </si>
  <si>
    <t>https://pubmed.ncbi.nlm.nih.gov/8830838</t>
  </si>
  <si>
    <t>10.1016/j.transproceed.2004.09.081</t>
  </si>
  <si>
    <t>https://pubmed.ncbi.nlm.nih.gov/15621108</t>
  </si>
  <si>
    <t>Adams O</t>
  </si>
  <si>
    <t>10.1086/517470</t>
  </si>
  <si>
    <t>https://pubmed.ncbi.nlm.nih.gov/9697740</t>
  </si>
  <si>
    <t>Agarwal L</t>
  </si>
  <si>
    <t>10.1016/j.rmcr.2022.101672</t>
  </si>
  <si>
    <t>https://pubmed.ncbi.nlm.nih.gov/35651518</t>
  </si>
  <si>
    <t>Agnihotri SP</t>
  </si>
  <si>
    <t>10.1055/s-0039-1687842</t>
  </si>
  <si>
    <t>https://pubmed.ncbi.nlm.nih.gov/31378873</t>
  </si>
  <si>
    <t>Agostini S</t>
  </si>
  <si>
    <t>10.3233/JAD-150464</t>
  </si>
  <si>
    <t>https://pubmed.ncbi.nlm.nih.gov/26444787</t>
  </si>
  <si>
    <t>10.3390/vaccines9070686</t>
  </si>
  <si>
    <t>https://pubmed.ncbi.nlm.nih.gov/34206597</t>
  </si>
  <si>
    <t>Aguayo-Hiraldo PI</t>
  </si>
  <si>
    <t>10.1093/infdis/jix203</t>
  </si>
  <si>
    <t>https://pubmed.ncbi.nlm.nih.gov/28472480</t>
  </si>
  <si>
    <t>Agudelo-Hernandez A</t>
  </si>
  <si>
    <t>10.1097/QAD.0000000000001602</t>
  </si>
  <si>
    <t>https://pubmed.ncbi.nlm.nih.gov/28723708</t>
  </si>
  <si>
    <t>Agulnick AD</t>
  </si>
  <si>
    <t>10.1128/JVI.68.5.2970-2977.1994</t>
  </si>
  <si>
    <t>https://pubmed.ncbi.nlm.nih.gov/8151767</t>
  </si>
  <si>
    <t>Agut H</t>
  </si>
  <si>
    <t>10.1128/microbiolspec.DMIH2-0007-2015</t>
  </si>
  <si>
    <t>https://pubmed.ncbi.nlm.nih.gov/27337451</t>
  </si>
  <si>
    <t>10.1128/CMR.00122-14</t>
  </si>
  <si>
    <t>https://pubmed.ncbi.nlm.nih.gov/25762531</t>
  </si>
  <si>
    <t>10.1016/j.medmal.2016.09.004</t>
  </si>
  <si>
    <t>https://pubmed.ncbi.nlm.nih.gov/27773488</t>
  </si>
  <si>
    <t>10.1016/j.jcv.2011.06.008</t>
  </si>
  <si>
    <t>https://pubmed.ncbi.nlm.nih.gov/21782505</t>
  </si>
  <si>
    <t>https://pubmed.ncbi.nlm.nih.gov/7939295</t>
  </si>
  <si>
    <t>10.1016/j.patbio.2010.07.015</t>
  </si>
  <si>
    <t>https://pubmed.ncbi.nlm.nih.gov/20832191</t>
  </si>
  <si>
    <t>10.1016/s1246-7820(98)80109-2</t>
  </si>
  <si>
    <t>https://pubmed.ncbi.nlm.nih.gov/9577878</t>
  </si>
  <si>
    <t>Ahlqvist J</t>
  </si>
  <si>
    <t>10.1080/13550280591002379</t>
  </si>
  <si>
    <t>https://pubmed.ncbi.nlm.nih.gov/16162481</t>
  </si>
  <si>
    <t>10.1002/jmv.20737</t>
  </si>
  <si>
    <t>https://pubmed.ncbi.nlm.nih.gov/17063514</t>
  </si>
  <si>
    <t>Akhyani N</t>
  </si>
  <si>
    <t>10.1080/13550280600880772</t>
  </si>
  <si>
    <t>https://pubmed.ncbi.nlm.nih.gov/16966219</t>
  </si>
  <si>
    <t>Al Fawaz T</t>
  </si>
  <si>
    <t>10.1111/petr.12176</t>
  </si>
  <si>
    <t>https://pubmed.ncbi.nlm.nih.gov/24384048</t>
  </si>
  <si>
    <t>al-Khaldi N</t>
  </si>
  <si>
    <t>10.1007/BF00866361</t>
  </si>
  <si>
    <t>https://pubmed.ncbi.nlm.nih.gov/7917866</t>
  </si>
  <si>
    <t>Al-Sadeq DW</t>
  </si>
  <si>
    <t>10.1016/j.ijregi.2021.12.005</t>
  </si>
  <si>
    <t>https://pubmed.ncbi.nlm.nih.gov/35757074</t>
  </si>
  <si>
    <t>Alari-Pahissa E</t>
  </si>
  <si>
    <t>10.1111/ene.13622</t>
  </si>
  <si>
    <t>https://pubmed.ncbi.nlm.nih.gov/29528545</t>
  </si>
  <si>
    <t>Alazzam MB</t>
  </si>
  <si>
    <t>10.1155/2022/1422963</t>
  </si>
  <si>
    <t>https://pubmed.ncbi.nlm.nih.gov/35035452</t>
  </si>
  <si>
    <t>Alfson ED</t>
  </si>
  <si>
    <t>10.1016/j.psym.2012.03.003</t>
  </si>
  <si>
    <t>https://pubmed.ncbi.nlm.nih.gov/22705183</t>
  </si>
  <si>
    <t>Allory Y</t>
  </si>
  <si>
    <t>10.1097/00000478-200107000-00004</t>
  </si>
  <si>
    <t>https://pubmed.ncbi.nlm.nih.gov/11420457</t>
  </si>
  <si>
    <t>Almazán NM</t>
  </si>
  <si>
    <t>10.1016/j.isci.2023.108441</t>
  </si>
  <si>
    <t>https://pubmed.ncbi.nlm.nih.gov/38144451</t>
  </si>
  <si>
    <t>Altay M</t>
  </si>
  <si>
    <t>10.3747/pdi.2010.00093</t>
  </si>
  <si>
    <t>https://pubmed.ncbi.nlm.nih.gov/21282374</t>
  </si>
  <si>
    <t>Alvarez-Lafuente R</t>
  </si>
  <si>
    <t>10.1016/j.forsciint.2008.02.007</t>
  </si>
  <si>
    <t>https://pubmed.ncbi.nlm.nih.gov/18424026</t>
  </si>
  <si>
    <t>10.1111/j.1750-3639.2006.tb00558.x</t>
  </si>
  <si>
    <t>https://pubmed.ncbi.nlm.nih.gov/16612979</t>
  </si>
  <si>
    <t>Amo K</t>
  </si>
  <si>
    <t>10.1086/345464</t>
  </si>
  <si>
    <t>https://pubmed.ncbi.nlm.nih.gov/12491213</t>
  </si>
  <si>
    <t>Ando T</t>
  </si>
  <si>
    <t>10.1111/j.1399-3062.2010.00503.x</t>
  </si>
  <si>
    <t>https://pubmed.ncbi.nlm.nih.gov/20487415</t>
  </si>
  <si>
    <t>Andre-Garnier E</t>
  </si>
  <si>
    <t>10.1099/vir.0.80319-0</t>
  </si>
  <si>
    <t>https://pubmed.ncbi.nlm.nih.gov/15483248</t>
  </si>
  <si>
    <t>Andréoletti L</t>
  </si>
  <si>
    <t>10.1016/j.acvd.2009.04.010</t>
  </si>
  <si>
    <t>https://pubmed.ncbi.nlm.nih.gov/19664576</t>
  </si>
  <si>
    <t>Antón A</t>
  </si>
  <si>
    <t>10.1097/TP.0b013e3181601413</t>
  </si>
  <si>
    <t>https://pubmed.ncbi.nlm.nih.gov/18212637</t>
  </si>
  <si>
    <t>Aoki K</t>
  </si>
  <si>
    <t>10.1007/s00277-012-1444-z</t>
  </si>
  <si>
    <t>https://pubmed.ncbi.nlm.nih.gov/22415068</t>
  </si>
  <si>
    <t>https://pubmed.ncbi.nlm.nih.gov/8232499</t>
  </si>
  <si>
    <t>10.1016/s0140-6736(94)90718-8</t>
  </si>
  <si>
    <t>https://pubmed.ncbi.nlm.nih.gov/7832888</t>
  </si>
  <si>
    <t>Arasaratnam RJ</t>
  </si>
  <si>
    <t>10.1111/ajt.14967</t>
  </si>
  <si>
    <t>https://pubmed.ncbi.nlm.nih.gov/29900673</t>
  </si>
  <si>
    <t>Araujo A</t>
  </si>
  <si>
    <t>10.1016/j.arcped.2011.01.006</t>
  </si>
  <si>
    <t>https://pubmed.ncbi.nlm.nih.gov/21397473</t>
  </si>
  <si>
    <t>Arena A</t>
  </si>
  <si>
    <t>https://pubmed.ncbi.nlm.nih.gov/12173776</t>
  </si>
  <si>
    <t>https://pubmed.ncbi.nlm.nih.gov/10872679</t>
  </si>
  <si>
    <t>https://pubmed.ncbi.nlm.nih.gov/10555198</t>
  </si>
  <si>
    <t>https://pubmed.ncbi.nlm.nih.gov/8841033</t>
  </si>
  <si>
    <t>https://pubmed.ncbi.nlm.nih.gov/9037664</t>
  </si>
  <si>
    <t>Aritaki K</t>
  </si>
  <si>
    <t>10.1038/sj.bmt.1703266</t>
  </si>
  <si>
    <t>https://pubmed.ncbi.nlm.nih.gov/11753554</t>
  </si>
  <si>
    <t>Arribas Anta J</t>
  </si>
  <si>
    <t>10.1016/j.gastrohep.2015.09.003</t>
  </si>
  <si>
    <t>https://pubmed.ncbi.nlm.nih.gov/26596368</t>
  </si>
  <si>
    <t>Arroyo HA</t>
  </si>
  <si>
    <t>https://pubmed.ncbi.nlm.nih.gov/9244628</t>
  </si>
  <si>
    <t>Asada H</t>
  </si>
  <si>
    <t>10.1128/jcm.27.10.2204-2207.1989</t>
  </si>
  <si>
    <t>https://pubmed.ncbi.nlm.nih.gov/2555389</t>
  </si>
  <si>
    <t>Asadi-Pooya AA</t>
  </si>
  <si>
    <t>10.1080/00207454.2020.1730370</t>
  </si>
  <si>
    <t>https://pubmed.ncbi.nlm.nih.gov/32053411</t>
  </si>
  <si>
    <t>10.1016/s0140-6736(89)91993-4</t>
  </si>
  <si>
    <t>https://pubmed.ncbi.nlm.nih.gov/2574324</t>
  </si>
  <si>
    <t>10.1002/jmv.1890320209</t>
  </si>
  <si>
    <t>https://pubmed.ncbi.nlm.nih.gov/2177773</t>
  </si>
  <si>
    <t>10.1097/00008480-199302000-00003</t>
  </si>
  <si>
    <t>https://pubmed.ncbi.nlm.nih.gov/8397041</t>
  </si>
  <si>
    <t>Astier AL</t>
  </si>
  <si>
    <t>10.1016/j.jneuroim.2007.09.018</t>
  </si>
  <si>
    <t>https://pubmed.ncbi.nlm.nih.gov/17936368</t>
  </si>
  <si>
    <t>Atedzoe BN</t>
  </si>
  <si>
    <t>https://pubmed.ncbi.nlm.nih.gov/9366423</t>
  </si>
  <si>
    <t>Aubin JT</t>
  </si>
  <si>
    <t>10.1016/0140-6736(92)91801-e</t>
  </si>
  <si>
    <t>https://pubmed.ncbi.nlm.nih.gov/1354806</t>
  </si>
  <si>
    <t>Augusto JF</t>
  </si>
  <si>
    <t>10.1093/ndt/gfp277</t>
  </si>
  <si>
    <t>https://pubmed.ncbi.nlm.nih.gov/19509026</t>
  </si>
  <si>
    <t>Avanzi S</t>
  </si>
  <si>
    <t>10.1371/journal.pone.0071412</t>
  </si>
  <si>
    <t>https://pubmed.ncbi.nlm.nih.gov/23940750</t>
  </si>
  <si>
    <t>Avery RK</t>
  </si>
  <si>
    <t>10.3949/ccjm.61.5.386</t>
  </si>
  <si>
    <t>https://pubmed.ncbi.nlm.nih.gov/7955311</t>
  </si>
  <si>
    <t>Azzi JM</t>
  </si>
  <si>
    <t>10.2991/chi.d.191123.001</t>
  </si>
  <si>
    <t>https://pubmed.ncbi.nlm.nih.gov/34595440</t>
  </si>
  <si>
    <t>Baez CF</t>
  </si>
  <si>
    <t>10.1002/jmv.23687</t>
  </si>
  <si>
    <t>https://pubmed.ncbi.nlm.nih.gov/23852888</t>
  </si>
  <si>
    <t>Bahramian E</t>
  </si>
  <si>
    <t>10.3389/fimmu.2022.847106</t>
  </si>
  <si>
    <t>https://pubmed.ncbi.nlm.nih.gov/35911725</t>
  </si>
  <si>
    <t>Bai X</t>
  </si>
  <si>
    <t>https://pubmed.ncbi.nlm.nih.gov/9342002</t>
  </si>
  <si>
    <t>Bakran A</t>
  </si>
  <si>
    <t>10.1097/TP.0b013e3181b4452b</t>
  </si>
  <si>
    <t>https://pubmed.ncbi.nlm.nih.gov/19920771</t>
  </si>
  <si>
    <t>Balachandran N</t>
  </si>
  <si>
    <t>10.1128/JVI.63.6.2835-2840.1989</t>
  </si>
  <si>
    <t>https://pubmed.ncbi.nlm.nih.gov/2786090</t>
  </si>
  <si>
    <t>Balakrishna JP</t>
  </si>
  <si>
    <t>10.1097/PAS.0000000000001121</t>
  </si>
  <si>
    <t>https://pubmed.ncbi.nlm.nih.gov/29975251</t>
  </si>
  <si>
    <t>Baldwin K</t>
  </si>
  <si>
    <t>10.1007/s13365-011-0019-4</t>
  </si>
  <si>
    <t>https://pubmed.ncbi.nlm.nih.gov/21287317</t>
  </si>
  <si>
    <t>Baleguli V</t>
  </si>
  <si>
    <t>10.7759/cureus.19314</t>
  </si>
  <si>
    <t>https://pubmed.ncbi.nlm.nih.gov/34900488</t>
  </si>
  <si>
    <t>Bandobashi K</t>
  </si>
  <si>
    <t>https://pubmed.ncbi.nlm.nih.gov/9242553</t>
  </si>
  <si>
    <t>Bansal R</t>
  </si>
  <si>
    <t>10.2165/00002512-200219070-00004</t>
  </si>
  <si>
    <t>https://pubmed.ncbi.nlm.nih.gov/12182687</t>
  </si>
  <si>
    <t>Barozzi P</t>
  </si>
  <si>
    <t>10.1016/j.cmi.2016.07.006</t>
  </si>
  <si>
    <t>https://pubmed.ncbi.nlm.nih.gov/27404369</t>
  </si>
  <si>
    <t>Barzon L</t>
  </si>
  <si>
    <t>10.1086/596053</t>
  </si>
  <si>
    <t>https://pubmed.ncbi.nlm.nih.gov/19099488</t>
  </si>
  <si>
    <t>Bataille V</t>
  </si>
  <si>
    <t>https://pubmed.ncbi.nlm.nih.gov/9155970</t>
  </si>
  <si>
    <t>Bauer CC</t>
  </si>
  <si>
    <t>10.1128/JCM.01173-06</t>
  </si>
  <si>
    <t>https://pubmed.ncbi.nlm.nih.gov/17151208</t>
  </si>
  <si>
    <t>Baumer T</t>
  </si>
  <si>
    <t>10.1007/s13365-017-0517-0</t>
  </si>
  <si>
    <t>https://pubmed.ncbi.nlm.nih.gov/28224486</t>
  </si>
  <si>
    <t>Baurmann H</t>
  </si>
  <si>
    <t>10.1016/s0002-9343(88)80035-4</t>
  </si>
  <si>
    <t>https://pubmed.ncbi.nlm.nih.gov/2904225</t>
  </si>
  <si>
    <t>Becerra A</t>
  </si>
  <si>
    <t>10.1016/j.coviro.2014.10.001</t>
  </si>
  <si>
    <t>https://pubmed.ncbi.nlm.nih.gov/25462448</t>
  </si>
  <si>
    <t>Becerra-Artiles A</t>
  </si>
  <si>
    <t>10.1186/s12985-017-0917-z</t>
  </si>
  <si>
    <t>https://pubmed.ncbi.nlm.nih.gov/29304865</t>
  </si>
  <si>
    <t>10.1371/journal.pone.0142871</t>
  </si>
  <si>
    <t>https://pubmed.ncbi.nlm.nih.gov/26599878</t>
  </si>
  <si>
    <t>10.1002/eji.201948126</t>
  </si>
  <si>
    <t>https://pubmed.ncbi.nlm.nih.gov/31020640</t>
  </si>
  <si>
    <t>Belford A</t>
  </si>
  <si>
    <t>10.1002/ajh.20068</t>
  </si>
  <si>
    <t>https://pubmed.ncbi.nlm.nih.gov/15164383</t>
  </si>
  <si>
    <t>Benito N</t>
  </si>
  <si>
    <t>10.1016/s0213-005x(03)72980-2</t>
  </si>
  <si>
    <t>https://pubmed.ncbi.nlm.nih.gov/14525708</t>
  </si>
  <si>
    <t>10.1111/j.1600-6143.2004.00449.x</t>
  </si>
  <si>
    <t>https://pubmed.ncbi.nlm.nih.gov/15196082</t>
  </si>
  <si>
    <t>Bergström T</t>
  </si>
  <si>
    <t>https://pubmed.ncbi.nlm.nih.gov/10423975</t>
  </si>
  <si>
    <t>https://pubmed.ncbi.nlm.nih.gov/10827485</t>
  </si>
  <si>
    <t>Berini CA</t>
  </si>
  <si>
    <t>10.1136/sextrans-2012-050594</t>
  </si>
  <si>
    <t>https://pubmed.ncbi.nlm.nih.gov/23220782</t>
  </si>
  <si>
    <t>Berneman ZN</t>
  </si>
  <si>
    <t>10.1073/pnas.89.21.10552</t>
  </si>
  <si>
    <t>https://pubmed.ncbi.nlm.nih.gov/1332051</t>
  </si>
  <si>
    <t>Bertelsen LB</t>
  </si>
  <si>
    <t>10.1111/j.1365-3083.2010.02389.x</t>
  </si>
  <si>
    <t>https://pubmed.ncbi.nlm.nih.gov/20500695</t>
  </si>
  <si>
    <t>Berthold F</t>
  </si>
  <si>
    <t>https://pubmed.ncbi.nlm.nih.gov/2560619</t>
  </si>
  <si>
    <t>Bertz S</t>
  </si>
  <si>
    <t>10.1038/s41379-020-0489-0</t>
  </si>
  <si>
    <t>https://pubmed.ncbi.nlm.nih.gov/32047230</t>
  </si>
  <si>
    <t>Bethge W</t>
  </si>
  <si>
    <t>10.1038/sj.bmt.1702065</t>
  </si>
  <si>
    <t>https://pubmed.ncbi.nlm.nih.gov/10642816</t>
  </si>
  <si>
    <t>Bhattarakosol P</t>
  </si>
  <si>
    <t>https://pubmed.ncbi.nlm.nih.gov/12971497</t>
  </si>
  <si>
    <t>Biberfeld P</t>
  </si>
  <si>
    <t>https://pubmed.ncbi.nlm.nih.gov/2824914</t>
  </si>
  <si>
    <t>Binstock T</t>
  </si>
  <si>
    <t>10.1054/mehy.2000.1247</t>
  </si>
  <si>
    <t>https://pubmed.ncbi.nlm.nih.gov/11339860</t>
  </si>
  <si>
    <t>Bissinger AL</t>
  </si>
  <si>
    <t>10.1016/j.diagmicrobio.2005.03.005</t>
  </si>
  <si>
    <t>https://pubmed.ncbi.nlm.nih.gov/15936168</t>
  </si>
  <si>
    <t>Biswas P</t>
  </si>
  <si>
    <t>10.1182/blood-2002-10-3056</t>
  </si>
  <si>
    <t>https://pubmed.ncbi.nlm.nih.gov/12531788</t>
  </si>
  <si>
    <t>Black JB</t>
  </si>
  <si>
    <t>10.1016/0168-1702(92)90086-o</t>
  </si>
  <si>
    <t>https://pubmed.ncbi.nlm.nih.gov/1311135</t>
  </si>
  <si>
    <t>10.1128/cdli.3.1.79-83.1996</t>
  </si>
  <si>
    <t>https://pubmed.ncbi.nlm.nih.gov/8770508</t>
  </si>
  <si>
    <t>10.1385/1-59259-245-7:129</t>
  </si>
  <si>
    <t>https://pubmed.ncbi.nlm.nih.gov/21331905</t>
  </si>
  <si>
    <t>10.1016/0166-0934(89)90143-2</t>
  </si>
  <si>
    <t>https://pubmed.ncbi.nlm.nih.gov/2693479</t>
  </si>
  <si>
    <t>10.1016/s0168-1702(97)00102-0</t>
  </si>
  <si>
    <t>https://pubmed.ncbi.nlm.nih.gov/9453142</t>
  </si>
  <si>
    <t>10.1016/0168-1702(93)90128-a</t>
  </si>
  <si>
    <t>https://pubmed.ncbi.nlm.nih.gov/8212853</t>
  </si>
  <si>
    <t>Blackwell Munksgaard</t>
  </si>
  <si>
    <t>10.1111/j.1600-6135.2004.00697.x</t>
  </si>
  <si>
    <t>https://pubmed.ncbi.nlm.nih.gov/15504215</t>
  </si>
  <si>
    <t>Blasco F</t>
  </si>
  <si>
    <t>10.1157/13074976</t>
  </si>
  <si>
    <t>https://pubmed.ncbi.nlm.nih.gov/15899185</t>
  </si>
  <si>
    <t>Boeckh M</t>
  </si>
  <si>
    <t>10.1111/j.1399-3046.2005.00442.x</t>
  </si>
  <si>
    <t>https://pubmed.ncbi.nlm.nih.gov/16305617</t>
  </si>
  <si>
    <t>Bogdanovic G</t>
  </si>
  <si>
    <t>10.1038/bjc.2016.261</t>
  </si>
  <si>
    <t>https://pubmed.ncbi.nlm.nih.gov/27552439</t>
  </si>
  <si>
    <t>Bollen AE</t>
  </si>
  <si>
    <t>10.1007/s004150170142</t>
  </si>
  <si>
    <t>https://pubmed.ncbi.nlm.nih.gov/11518006</t>
  </si>
  <si>
    <t>Bommer M</t>
  </si>
  <si>
    <t>10.1186/1743-422X-6-111</t>
  </si>
  <si>
    <t>https://pubmed.ncbi.nlm.nih.gov/19619326</t>
  </si>
  <si>
    <t>Bonnafous P</t>
  </si>
  <si>
    <t>10.1002/jmv.25600</t>
  </si>
  <si>
    <t>https://pubmed.ncbi.nlm.nih.gov/31579937</t>
  </si>
  <si>
    <t>10.1111/ajt.14657</t>
  </si>
  <si>
    <t>https://pubmed.ncbi.nlm.nih.gov/29316259</t>
  </si>
  <si>
    <t>10.1111/ajt.15013</t>
  </si>
  <si>
    <t>https://pubmed.ncbi.nlm.nih.gov/29985560</t>
  </si>
  <si>
    <t>Bonura F</t>
  </si>
  <si>
    <t>https://pubmed.ncbi.nlm.nih.gov/10423733</t>
  </si>
  <si>
    <t>Borenstein R</t>
  </si>
  <si>
    <t>10.1128/JVI.01951-09</t>
  </si>
  <si>
    <t>https://pubmed.ncbi.nlm.nih.gov/20053742</t>
  </si>
  <si>
    <t>10.1128/jvi.78.9.4730-4743.2004</t>
  </si>
  <si>
    <t>https://pubmed.ncbi.nlm.nih.gov/15078955</t>
  </si>
  <si>
    <t>Bortolotti D</t>
  </si>
  <si>
    <t>10.1111/aji.13174</t>
  </si>
  <si>
    <t>https://pubmed.ncbi.nlm.nih.gov/31338899</t>
  </si>
  <si>
    <t>10.3389/fmicb.2020.00226</t>
  </si>
  <si>
    <t>https://pubmed.ncbi.nlm.nih.gov/32140147</t>
  </si>
  <si>
    <t>10.3390/microorganisms10030494</t>
  </si>
  <si>
    <t>https://pubmed.ncbi.nlm.nih.gov/35336070</t>
  </si>
  <si>
    <t>Bosi A</t>
  </si>
  <si>
    <t>10.1038/sj.bmt.1701326</t>
  </si>
  <si>
    <t>https://pubmed.ncbi.nlm.nih.gov/9720744</t>
  </si>
  <si>
    <t>Bounaadja L</t>
  </si>
  <si>
    <t>10.1016/j.jcv.2013.06.024</t>
  </si>
  <si>
    <t>https://pubmed.ncbi.nlm.nih.gov/23871165</t>
  </si>
  <si>
    <t>10.1016/j.jcv.2005.08.002</t>
  </si>
  <si>
    <t>https://pubmed.ncbi.nlm.nih.gov/16183328</t>
  </si>
  <si>
    <t>10.1086/506951</t>
  </si>
  <si>
    <t>https://pubmed.ncbi.nlm.nih.gov/16960791</t>
  </si>
  <si>
    <t>10.1016/j.patbio.2009.06.006</t>
  </si>
  <si>
    <t>https://pubmed.ncbi.nlm.nih.gov/19892483</t>
  </si>
  <si>
    <t>Bozon A</t>
  </si>
  <si>
    <t>10.3748/wjg.v23.i48.8660</t>
  </si>
  <si>
    <t>https://pubmed.ncbi.nlm.nih.gov/29358873</t>
  </si>
  <si>
    <t>Bransfield RC</t>
  </si>
  <si>
    <t>10.3390/healthcare12010083</t>
  </si>
  <si>
    <t>https://pubmed.ncbi.nlm.nih.gov/38200989</t>
  </si>
  <si>
    <t>Braun DK</t>
  </si>
  <si>
    <t>10.1093/infdis/171.5.1351</t>
  </si>
  <si>
    <t>https://pubmed.ncbi.nlm.nih.gov/7751716</t>
  </si>
  <si>
    <t>Breddemann A</t>
  </si>
  <si>
    <t>https://pubmed.ncbi.nlm.nih.gov/17939902</t>
  </si>
  <si>
    <t>Brennan DC</t>
  </si>
  <si>
    <t>10.1002/rmv.1733</t>
  </si>
  <si>
    <t>https://pubmed.ncbi.nlm.nih.gov/23165654</t>
  </si>
  <si>
    <t>Brennan Y</t>
  </si>
  <si>
    <t>10.1016/j.jcv.2015.09.013</t>
  </si>
  <si>
    <t>https://pubmed.ncbi.nlm.nih.gov/26465970</t>
  </si>
  <si>
    <t>Bressollette-Bodin C</t>
  </si>
  <si>
    <t>10.1016/j.jcv.2013.11.014</t>
  </si>
  <si>
    <t>https://pubmed.ncbi.nlm.nih.gov/24380721</t>
  </si>
  <si>
    <t>Breuer S</t>
  </si>
  <si>
    <t>10.1007/BF03256431</t>
  </si>
  <si>
    <t>https://pubmed.ncbi.nlm.nih.gov/22497528</t>
  </si>
  <si>
    <t>Brice SL</t>
  </si>
  <si>
    <t>10.1111/j.1600-0560.1993.tb01266.x</t>
  </si>
  <si>
    <t>https://pubmed.ncbi.nlm.nih.gov/8227605</t>
  </si>
  <si>
    <t>Brion A</t>
  </si>
  <si>
    <t>https://pubmed.ncbi.nlm.nih.gov/8907621</t>
  </si>
  <si>
    <t>Brissot E</t>
  </si>
  <si>
    <t>10.1016/j.bulcan.2017.10.022</t>
  </si>
  <si>
    <t>https://pubmed.ncbi.nlm.nih.gov/29169653</t>
  </si>
  <si>
    <t>Brodin-Sartorius A</t>
  </si>
  <si>
    <t>10.1016/j.nephro.2011.06.001</t>
  </si>
  <si>
    <t>https://pubmed.ncbi.nlm.nih.gov/21757415</t>
  </si>
  <si>
    <t>Brody JP</t>
  </si>
  <si>
    <t>10.1002/1097-0142(19950515)75:10&lt;2474::aid-cncr2820751013&gt;3.0.co;2-y</t>
  </si>
  <si>
    <t>https://pubmed.ncbi.nlm.nih.gov/7736391</t>
  </si>
  <si>
    <t>Bruehl FK</t>
  </si>
  <si>
    <t>10.1111/his.15038</t>
  </si>
  <si>
    <t>https://pubmed.ncbi.nlm.nih.gov/37661776</t>
  </si>
  <si>
    <t>Brüning T</t>
  </si>
  <si>
    <t>10.1111/j.1365-2249.1997.268-ce1165.x</t>
  </si>
  <si>
    <t>https://pubmed.ncbi.nlm.nih.gov/9030868</t>
  </si>
  <si>
    <t>Brüssow H</t>
  </si>
  <si>
    <t>10.1111/1751-7915.14329</t>
  </si>
  <si>
    <t>https://pubmed.ncbi.nlm.nih.gov/37602673</t>
  </si>
  <si>
    <t>Bucciol G</t>
  </si>
  <si>
    <t>10.1212/WNL.0000000000201124</t>
  </si>
  <si>
    <t>https://pubmed.ncbi.nlm.nih.gov/36216522</t>
  </si>
  <si>
    <t>Buchwald D</t>
  </si>
  <si>
    <t>10.7326/0003-4819-116-2-103</t>
  </si>
  <si>
    <t>https://pubmed.ncbi.nlm.nih.gov/1309285</t>
  </si>
  <si>
    <t>10.1007/BF00917479</t>
  </si>
  <si>
    <t>https://pubmed.ncbi.nlm.nih.gov/1964694</t>
  </si>
  <si>
    <t>Burd EM</t>
  </si>
  <si>
    <t>https://pubmed.ncbi.nlm.nih.gov/8384028</t>
  </si>
  <si>
    <t>10.1016/0168-1702(93)90127-9</t>
  </si>
  <si>
    <t>https://pubmed.ncbi.nlm.nih.gov/8212852</t>
  </si>
  <si>
    <t>Butler LM</t>
  </si>
  <si>
    <t>10.1128/JVI.00021-11</t>
  </si>
  <si>
    <t>https://pubmed.ncbi.nlm.nih.gov/21543487</t>
  </si>
  <si>
    <t>Buyse S</t>
  </si>
  <si>
    <t>10.1309/AJCP0FWI2XAHECBJ</t>
  </si>
  <si>
    <t>https://pubmed.ncbi.nlm.nih.gov/23955460</t>
  </si>
  <si>
    <t>Cabalo E</t>
  </si>
  <si>
    <t>10.1080/15227950290112770</t>
  </si>
  <si>
    <t>https://pubmed.ncbi.nlm.nih.gov/12537769</t>
  </si>
  <si>
    <t>Cacheux W</t>
  </si>
  <si>
    <t>10.1111/j.1365-2796.2005.01567.x</t>
  </si>
  <si>
    <t>https://pubmed.ncbi.nlm.nih.gov/16313481</t>
  </si>
  <si>
    <t>Cainelli F</t>
  </si>
  <si>
    <t>10.1016/s1473-3099(02)00370-5</t>
  </si>
  <si>
    <t>https://pubmed.ncbi.nlm.nih.gov/12206970</t>
  </si>
  <si>
    <t>Caïola D</t>
  </si>
  <si>
    <t>10.1002/jmv.23206</t>
  </si>
  <si>
    <t>https://pubmed.ncbi.nlm.nih.gov/22246831</t>
  </si>
  <si>
    <t>Calvario A</t>
  </si>
  <si>
    <t>10.2174/1871530318666181106153758</t>
  </si>
  <si>
    <t>https://pubmed.ncbi.nlm.nih.gov/30398125</t>
  </si>
  <si>
    <t>Campadelli-Fiume G</t>
  </si>
  <si>
    <t>10.3201/eid0503.990306</t>
  </si>
  <si>
    <t>https://pubmed.ncbi.nlm.nih.gov/10341172</t>
  </si>
  <si>
    <t>Campbell A</t>
  </si>
  <si>
    <t>10.1038/s41598-017-04432-y</t>
  </si>
  <si>
    <t>https://pubmed.ncbi.nlm.nih.gov/28638124</t>
  </si>
  <si>
    <t>Campbell ME</t>
  </si>
  <si>
    <t>10.1099/0022-1317-72-5-1123</t>
  </si>
  <si>
    <t>https://pubmed.ncbi.nlm.nih.gov/1851812</t>
  </si>
  <si>
    <t>Campioni D</t>
  </si>
  <si>
    <t>10.1111/ejh.12872</t>
  </si>
  <si>
    <t>https://pubmed.ncbi.nlm.nih.gov/28244148</t>
  </si>
  <si>
    <t>Camus V</t>
  </si>
  <si>
    <t>10.1038/bmt.2015.159</t>
  </si>
  <si>
    <t>https://pubmed.ncbi.nlm.nih.gov/26146808</t>
  </si>
  <si>
    <t>Canali A</t>
  </si>
  <si>
    <t>10.1002/ajh.26655</t>
  </si>
  <si>
    <t>https://pubmed.ncbi.nlm.nih.gov/35802798</t>
  </si>
  <si>
    <t>Cao W</t>
  </si>
  <si>
    <t>10.1093/infdis/166.2.446</t>
  </si>
  <si>
    <t>https://pubmed.ncbi.nlm.nih.gov/1353104</t>
  </si>
  <si>
    <t>Carbo EC</t>
  </si>
  <si>
    <t>10.3390/pathogens11020236</t>
  </si>
  <si>
    <t>https://pubmed.ncbi.nlm.nih.gov/35215180</t>
  </si>
  <si>
    <t>Cardinali G</t>
  </si>
  <si>
    <t>10.1128/JVI.72.12.9738-9746.1998</t>
  </si>
  <si>
    <t>https://pubmed.ncbi.nlm.nih.gov/9811708</t>
  </si>
  <si>
    <t>Carlson JA</t>
  </si>
  <si>
    <t>10.1097/01.dad.0000164604.56650.26</t>
  </si>
  <si>
    <t>https://pubmed.ncbi.nlm.nih.gov/16456326</t>
  </si>
  <si>
    <t>Carpenter ML</t>
  </si>
  <si>
    <t>10.1128/JCM.01113-19</t>
  </si>
  <si>
    <t>https://pubmed.ncbi.nlm.nih.gov/31554674</t>
  </si>
  <si>
    <t>Carratalà J</t>
  </si>
  <si>
    <t>10.1016/S0213-005X(12)70084-8</t>
  </si>
  <si>
    <t>https://pubmed.ncbi.nlm.nih.gov/22542037</t>
  </si>
  <si>
    <t>Carricart SE</t>
  </si>
  <si>
    <t>10.1016/j.jcv.2004.05.013</t>
  </si>
  <si>
    <t>https://pubmed.ncbi.nlm.nih.gov/15494267</t>
  </si>
  <si>
    <t>https://pubmed.ncbi.nlm.nih.gov/7803806</t>
  </si>
  <si>
    <t>https://pubmed.ncbi.nlm.nih.gov/7606018</t>
  </si>
  <si>
    <t>https://pubmed.ncbi.nlm.nih.gov/11317413</t>
  </si>
  <si>
    <t>10.1212/wnl.47.1.145</t>
  </si>
  <si>
    <t>https://pubmed.ncbi.nlm.nih.gov/8710068</t>
  </si>
  <si>
    <t>10.1016/0140-6736(91)90137-e</t>
  </si>
  <si>
    <t>https://pubmed.ncbi.nlm.nih.gov/1677066</t>
  </si>
  <si>
    <t>Carvajal E</t>
  </si>
  <si>
    <t>10.1097/00043426-200112000-00016</t>
  </si>
  <si>
    <t>https://pubmed.ncbi.nlm.nih.gov/11902311</t>
  </si>
  <si>
    <t>Caselli E</t>
  </si>
  <si>
    <t>https://pubmed.ncbi.nlm.nih.gov/17802896</t>
  </si>
  <si>
    <t>10.1186/s12985-016-0672-6</t>
  </si>
  <si>
    <t>https://pubmed.ncbi.nlm.nih.gov/28081700</t>
  </si>
  <si>
    <t>10.1371/journal.ppat.1002951</t>
  </si>
  <si>
    <t>https://pubmed.ncbi.nlm.nih.gov/23055929</t>
  </si>
  <si>
    <t>10.3390/microorganisms8010039</t>
  </si>
  <si>
    <t>https://pubmed.ncbi.nlm.nih.gov/31878218</t>
  </si>
  <si>
    <t>10.3389/fmicb.2017.02525</t>
  </si>
  <si>
    <t>https://pubmed.ncbi.nlm.nih.gov/29326672</t>
  </si>
  <si>
    <t>Caserta MT</t>
  </si>
  <si>
    <t>10.1146/annurev.me.44.020193.002113</t>
  </si>
  <si>
    <t>https://pubmed.ncbi.nlm.nih.gov/8386499</t>
  </si>
  <si>
    <t>10.1016/j.jcv.2010.02.007</t>
  </si>
  <si>
    <t>https://pubmed.ncbi.nlm.nih.gov/20211581</t>
  </si>
  <si>
    <t>10.1086/522430</t>
  </si>
  <si>
    <t>https://pubmed.ncbi.nlm.nih.gov/17922393</t>
  </si>
  <si>
    <t>10.1016/j.bbi.2008.01.007</t>
  </si>
  <si>
    <t>https://pubmed.ncbi.nlm.nih.gov/18308510</t>
  </si>
  <si>
    <t>10.1086/322691</t>
  </si>
  <si>
    <t>https://pubmed.ncbi.nlm.nih.gov/11512088</t>
  </si>
  <si>
    <t>10.1016/j.coviro.2014.10.005</t>
  </si>
  <si>
    <t>https://pubmed.ncbi.nlm.nih.gov/25462450</t>
  </si>
  <si>
    <t>Cassiani-Ingoni R</t>
  </si>
  <si>
    <t>10.1002/glia.20219</t>
  </si>
  <si>
    <t>https://pubmed.ncbi.nlm.nih.gov/15920733</t>
  </si>
  <si>
    <t>Cassina G</t>
  </si>
  <si>
    <t>10.1016/j.jviromet.2013.01.018</t>
  </si>
  <si>
    <t>https://pubmed.ncbi.nlm.nih.gov/23391825</t>
  </si>
  <si>
    <t>Catusse J</t>
  </si>
  <si>
    <t>10.1002/eji.200737618</t>
  </si>
  <si>
    <t>https://pubmed.ncbi.nlm.nih.gov/18286574</t>
  </si>
  <si>
    <t>Cavallo R</t>
  </si>
  <si>
    <t>https://pubmed.ncbi.nlm.nih.gov/1668969</t>
  </si>
  <si>
    <t>Čavčić A</t>
  </si>
  <si>
    <t>10.3325/cmj.2023.64.67</t>
  </si>
  <si>
    <t>https://pubmed.ncbi.nlm.nih.gov/37131308</t>
  </si>
  <si>
    <t>Cermelli C</t>
  </si>
  <si>
    <t>10.1016/s0168-1702(96)01364-0</t>
  </si>
  <si>
    <t>https://pubmed.ncbi.nlm.nih.gov/8896242</t>
  </si>
  <si>
    <t>https://pubmed.ncbi.nlm.nih.gov/9258937</t>
  </si>
  <si>
    <t>https://pubmed.ncbi.nlm.nih.gov/1313531</t>
  </si>
  <si>
    <t>https://pubmed.ncbi.nlm.nih.gov/8673847</t>
  </si>
  <si>
    <t>10.1099/jmm.0.46496-0</t>
  </si>
  <si>
    <t>https://pubmed.ncbi.nlm.nih.gov/16687586</t>
  </si>
  <si>
    <t>Cervera C</t>
  </si>
  <si>
    <t>10.1097/01.tp.0000229938.12722.ee</t>
  </si>
  <si>
    <t>https://pubmed.ncbi.nlm.nih.gov/17038915</t>
  </si>
  <si>
    <t>Chamberlain MC</t>
  </si>
  <si>
    <t>10.1212/01.wnl.0000304028.19061.46</t>
  </si>
  <si>
    <t>https://pubmed.ncbi.nlm.nih.gov/18250297</t>
  </si>
  <si>
    <t>Chan S</t>
  </si>
  <si>
    <t>10.3389/fimmu.2022.815193</t>
  </si>
  <si>
    <t>https://pubmed.ncbi.nlm.nih.gov/35242131</t>
  </si>
  <si>
    <t>Chang CK</t>
  </si>
  <si>
    <t>10.1128/JVI.65.6.2884-2894.1991</t>
  </si>
  <si>
    <t>https://pubmed.ncbi.nlm.nih.gov/1851860</t>
  </si>
  <si>
    <t>Chang FY</t>
  </si>
  <si>
    <t>10.1086/516265</t>
  </si>
  <si>
    <t>https://pubmed.ncbi.nlm.nih.gov/9455510</t>
  </si>
  <si>
    <t>Chaouat AE</t>
  </si>
  <si>
    <t>10.3389/fimmu.2021.714799</t>
  </si>
  <si>
    <t>https://pubmed.ncbi.nlm.nih.gov/34721381</t>
  </si>
  <si>
    <t>10.1016/j.jcv.2009.05.018</t>
  </si>
  <si>
    <t>https://pubmed.ncbi.nlm.nih.gov/19497784</t>
  </si>
  <si>
    <t>10.1016/s0041-1345(01)02048-6</t>
  </si>
  <si>
    <t>https://pubmed.ncbi.nlm.nih.gov/11406212</t>
  </si>
  <si>
    <t>Chapuis A</t>
  </si>
  <si>
    <t>10.1016/j.ijid.2016.04.002</t>
  </si>
  <si>
    <t>https://pubmed.ncbi.nlm.nih.gov/27060193</t>
  </si>
  <si>
    <t>Chatzidimitriou D</t>
  </si>
  <si>
    <t>10.1002/jmv.21696</t>
  </si>
  <si>
    <t>https://pubmed.ncbi.nlm.nih.gov/20087928</t>
  </si>
  <si>
    <t>Chemaly RF</t>
  </si>
  <si>
    <t>10.3324/haematol.11638</t>
  </si>
  <si>
    <t>https://pubmed.ncbi.nlm.nih.gov/18166808</t>
  </si>
  <si>
    <t>Chen JY</t>
  </si>
  <si>
    <t>https://pubmed.ncbi.nlm.nih.gov/1657544</t>
  </si>
  <si>
    <t>Chen T</t>
  </si>
  <si>
    <t>10.1038/modpathol.3800584</t>
  </si>
  <si>
    <t>https://pubmed.ncbi.nlm.nih.gov/16528368</t>
  </si>
  <si>
    <t>Cheng W</t>
  </si>
  <si>
    <t>10.2741/4010</t>
  </si>
  <si>
    <t>https://pubmed.ncbi.nlm.nih.gov/22201827</t>
  </si>
  <si>
    <t>10.1016/j.jcv.2012.12.005</t>
  </si>
  <si>
    <t>https://pubmed.ncbi.nlm.nih.gov/23287444</t>
  </si>
  <si>
    <t>Chevret L</t>
  </si>
  <si>
    <t>10.1002/jmv.21143</t>
  </si>
  <si>
    <t>https://pubmed.ncbi.nlm.nih.gov/18428148</t>
  </si>
  <si>
    <t>Chi J</t>
  </si>
  <si>
    <t>10.1016/j.virol.2011.09.026</t>
  </si>
  <si>
    <t>https://pubmed.ncbi.nlm.nih.gov/22055432</t>
  </si>
  <si>
    <t>Chiba H</t>
  </si>
  <si>
    <t>https://pubmed.ncbi.nlm.nih.gov/15287524</t>
  </si>
  <si>
    <t>Chidiac C</t>
  </si>
  <si>
    <t>10.1016/s0369-8114(02)00330-9</t>
  </si>
  <si>
    <t>https://pubmed.ncbi.nlm.nih.gov/12360701</t>
  </si>
  <si>
    <t>Chik KW</t>
  </si>
  <si>
    <t>10.1038/sj.bmt.1703596</t>
  </si>
  <si>
    <t>https://pubmed.ncbi.nlm.nih.gov/12098068</t>
  </si>
  <si>
    <t>Chitlur M</t>
  </si>
  <si>
    <t>10.1111/j.1399-3046.2004.00233.x</t>
  </si>
  <si>
    <t>https://pubmed.ncbi.nlm.nih.gov/15667619</t>
  </si>
  <si>
    <t>Chordia P</t>
  </si>
  <si>
    <t>10.4084/MJHID.2014.008</t>
  </si>
  <si>
    <t>https://pubmed.ncbi.nlm.nih.gov/24455117</t>
  </si>
  <si>
    <t>Chou SW</t>
  </si>
  <si>
    <t>10.1128/jcm.28.5.851-854.1990</t>
  </si>
  <si>
    <t>https://pubmed.ncbi.nlm.nih.gov/2161867</t>
  </si>
  <si>
    <t>Christensen T</t>
  </si>
  <si>
    <t>10.1002/rmv.465</t>
  </si>
  <si>
    <t>https://pubmed.ncbi.nlm.nih.gov/15782388</t>
  </si>
  <si>
    <t>Chua GT</t>
  </si>
  <si>
    <t>10.23822/EurAnnACI.1764-1489.47</t>
  </si>
  <si>
    <t>https://pubmed.ncbi.nlm.nih.gov/29384118</t>
  </si>
  <si>
    <t>Chua KB</t>
  </si>
  <si>
    <t>https://pubmed.ncbi.nlm.nih.gov/10972002</t>
  </si>
  <si>
    <t>https://pubmed.ncbi.nlm.nih.gov/10968172</t>
  </si>
  <si>
    <t>Cinatl J Jr</t>
  </si>
  <si>
    <t>10.1016/0923-2516(96)81081-8</t>
  </si>
  <si>
    <t>https://pubmed.ncbi.nlm.nih.gov/7638436</t>
  </si>
  <si>
    <t>Cirone M</t>
  </si>
  <si>
    <t>10.1002/jmv.10190</t>
  </si>
  <si>
    <t>https://pubmed.ncbi.nlm.nih.gov/12210418</t>
  </si>
  <si>
    <t>10.1089/aid.1992.8.2031</t>
  </si>
  <si>
    <t>https://pubmed.ncbi.nlm.nih.gov/1337259</t>
  </si>
  <si>
    <t>10.1089/aid.1996.12.1629</t>
  </si>
  <si>
    <t>https://pubmed.ncbi.nlm.nih.gov/8947298</t>
  </si>
  <si>
    <t>Cisneros-Herreros JM</t>
  </si>
  <si>
    <t>10.1157/13089695</t>
  </si>
  <si>
    <t>https://pubmed.ncbi.nlm.nih.gov/16792943</t>
  </si>
  <si>
    <t>Clark DA</t>
  </si>
  <si>
    <t>10.1002/(sici)1099-1654(200005/06)10:3&lt;155::aid-rmv277&gt;3.0.co;2-6</t>
  </si>
  <si>
    <t>https://pubmed.ncbi.nlm.nih.gov/10815027</t>
  </si>
  <si>
    <t>10.1016/j.cmi.2015.12.022</t>
  </si>
  <si>
    <t>https://pubmed.ncbi.nlm.nih.gov/26802216</t>
  </si>
  <si>
    <t>10.1007/BF03165124</t>
  </si>
  <si>
    <t>https://pubmed.ncbi.nlm.nih.gov/12430932</t>
  </si>
  <si>
    <t>10.1086/500838</t>
  </si>
  <si>
    <t>https://pubmed.ncbi.nlm.nih.gov/16518751</t>
  </si>
  <si>
    <t>10.1046/j.1365-2141.2003.04048.x</t>
  </si>
  <si>
    <t>https://pubmed.ncbi.nlm.nih.gov/12580952</t>
  </si>
  <si>
    <t>https://pubmed.ncbi.nlm.nih.gov/19856545</t>
  </si>
  <si>
    <t>10.1053/shem.2003.50015</t>
  </si>
  <si>
    <t>https://pubmed.ncbi.nlm.nih.gov/12704592</t>
  </si>
  <si>
    <t>Clark DJ</t>
  </si>
  <si>
    <t>10.1099/vir.0.050153-0</t>
  </si>
  <si>
    <t>https://pubmed.ncbi.nlm.nih.gov/23535574</t>
  </si>
  <si>
    <t>Clark NM</t>
  </si>
  <si>
    <t>10.1055/s-0033-1348473</t>
  </si>
  <si>
    <t>https://pubmed.ncbi.nlm.nih.gov/23821512</t>
  </si>
  <si>
    <t>Cocchi F</t>
  </si>
  <si>
    <t>10.1126/science.270.5243.1811</t>
  </si>
  <si>
    <t>https://pubmed.ncbi.nlm.nih.gov/8525373</t>
  </si>
  <si>
    <t>Cole PD</t>
  </si>
  <si>
    <t>10.1086/517145</t>
  </si>
  <si>
    <t>https://pubmed.ncbi.nlm.nih.gov/9770176</t>
  </si>
  <si>
    <t>Collot S</t>
  </si>
  <si>
    <t>10.1128/JCM.40.7.2445-2451.2002</t>
  </si>
  <si>
    <t>https://pubmed.ncbi.nlm.nih.gov/12089260</t>
  </si>
  <si>
    <t>Comar M</t>
  </si>
  <si>
    <t>10.1128/JCM.43.4.2002-2003.2005</t>
  </si>
  <si>
    <t>https://pubmed.ncbi.nlm.nih.gov/15815044</t>
  </si>
  <si>
    <t>10.1002/jmv.21786</t>
  </si>
  <si>
    <t>https://pubmed.ncbi.nlm.nih.gov/20513090</t>
  </si>
  <si>
    <t>10.1136/jcp.2008.059568</t>
  </si>
  <si>
    <t>https://pubmed.ncbi.nlm.nih.gov/18818265</t>
  </si>
  <si>
    <t>https://pubmed.ncbi.nlm.nih.gov/8668853</t>
  </si>
  <si>
    <t>10.1056/NEJM199307153290302</t>
  </si>
  <si>
    <t>https://pubmed.ncbi.nlm.nih.gov/8390614</t>
  </si>
  <si>
    <t>10.1086/314581</t>
  </si>
  <si>
    <t>https://pubmed.ncbi.nlm.nih.gov/9878013</t>
  </si>
  <si>
    <t>10.3109/10428199409049719</t>
  </si>
  <si>
    <t>https://pubmed.ncbi.nlm.nih.gov/7866272</t>
  </si>
  <si>
    <t>Contreras A</t>
  </si>
  <si>
    <t>10.1034/j.1399-302x.1999.140402.x</t>
  </si>
  <si>
    <t>https://pubmed.ncbi.nlm.nih.gov/10551163</t>
  </si>
  <si>
    <t>Correa Sierra CB</t>
  </si>
  <si>
    <t>10.1111/tid.12771</t>
  </si>
  <si>
    <t>https://pubmed.ncbi.nlm.nih.gov/28834054</t>
  </si>
  <si>
    <t>Cosme I</t>
  </si>
  <si>
    <t>10.1097/INF.0000000000002896</t>
  </si>
  <si>
    <t>https://pubmed.ncbi.nlm.nih.gov/32925539</t>
  </si>
  <si>
    <t>https://pubmed.ncbi.nlm.nih.gov/21811747</t>
  </si>
  <si>
    <t>10.1016/j.transproceed.2010.03.086</t>
  </si>
  <si>
    <t>https://pubmed.ncbi.nlm.nih.gov/20534278</t>
  </si>
  <si>
    <t>https://pubmed.ncbi.nlm.nih.gov/19845116</t>
  </si>
  <si>
    <t>10.1016/j.jviromet.2011.02.004</t>
  </si>
  <si>
    <t>https://pubmed.ncbi.nlm.nih.gov/21300108</t>
  </si>
  <si>
    <t>Costa FA</t>
  </si>
  <si>
    <t>10.1590/s1807-59322011000600005</t>
  </si>
  <si>
    <t>https://pubmed.ncbi.nlm.nih.gov/21808857</t>
  </si>
  <si>
    <t>Coulam CB</t>
  </si>
  <si>
    <t>10.1111/aji.12862</t>
  </si>
  <si>
    <t>https://pubmed.ncbi.nlm.nih.gov/29667291</t>
  </si>
  <si>
    <t>Coumbe A</t>
  </si>
  <si>
    <t>10.3109/15513819009067137</t>
  </si>
  <si>
    <t>https://pubmed.ncbi.nlm.nih.gov/1695370</t>
  </si>
  <si>
    <t>Cox BS</t>
  </si>
  <si>
    <t>10.1172/jci.insight.158193</t>
  </si>
  <si>
    <t>https://pubmed.ncbi.nlm.nih.gov/35482424</t>
  </si>
  <si>
    <t>Crawford LB</t>
  </si>
  <si>
    <t>10.3389/fcimb.2023.1189805</t>
  </si>
  <si>
    <t>https://pubmed.ncbi.nlm.nih.gov/37346032</t>
  </si>
  <si>
    <t>Crawford SW</t>
  </si>
  <si>
    <t>https://pubmed.ncbi.nlm.nih.gov/8016478</t>
  </si>
  <si>
    <t>Cruysmans C</t>
  </si>
  <si>
    <t>10.1097/TP.0000000000001131</t>
  </si>
  <si>
    <t>https://pubmed.ncbi.nlm.nih.gov/26950725</t>
  </si>
  <si>
    <t>Csoma E</t>
  </si>
  <si>
    <t>10.1186/1743-422X-8-403</t>
  </si>
  <si>
    <t>https://pubmed.ncbi.nlm.nih.gov/21843348</t>
  </si>
  <si>
    <t>Cunningham AL</t>
  </si>
  <si>
    <t>10.1111/imcb.12724</t>
  </si>
  <si>
    <t>https://pubmed.ncbi.nlm.nih.gov/38238927</t>
  </si>
  <si>
    <t>Cury RG</t>
  </si>
  <si>
    <t>10.1016/j.jns.2015.10.015</t>
  </si>
  <si>
    <t>https://pubmed.ncbi.nlm.nih.gov/26474793</t>
  </si>
  <si>
    <t>D'Agaro P</t>
  </si>
  <si>
    <t>10.2174/157016208785861122</t>
  </si>
  <si>
    <t>https://pubmed.ncbi.nlm.nih.gov/18855654</t>
  </si>
  <si>
    <t>10.1182/blood.2021014676</t>
  </si>
  <si>
    <t>https://pubmed.ncbi.nlm.nih.gov/36493341</t>
  </si>
  <si>
    <t>10.1016/j.idc.2019.02.012</t>
  </si>
  <si>
    <t>https://pubmed.ncbi.nlm.nih.gov/31005137</t>
  </si>
  <si>
    <t>Dagna L</t>
  </si>
  <si>
    <t>10.2217/fvl.13.7</t>
  </si>
  <si>
    <t>https://pubmed.ncbi.nlm.nih.gov/24163703</t>
  </si>
  <si>
    <t>Dahl H</t>
  </si>
  <si>
    <t>10.1086/315115</t>
  </si>
  <si>
    <t>https://pubmed.ncbi.nlm.nih.gov/10558965</t>
  </si>
  <si>
    <t>Daibata M</t>
  </si>
  <si>
    <t>10.1086/314687</t>
  </si>
  <si>
    <t>https://pubmed.ncbi.nlm.nih.gov/10068608</t>
  </si>
  <si>
    <t>10.1038/sj.leu.2400671</t>
  </si>
  <si>
    <t>https://pubmed.ncbi.nlm.nih.gov/9177444</t>
  </si>
  <si>
    <t>Dandamudi R</t>
  </si>
  <si>
    <t>10.1097/MOP.0000000000000728</t>
  </si>
  <si>
    <t>https://pubmed.ncbi.nlm.nih.gov/30562175</t>
  </si>
  <si>
    <t>Das BB</t>
  </si>
  <si>
    <t>10.1016/j.healun.2017.01.004</t>
  </si>
  <si>
    <t>https://pubmed.ncbi.nlm.nih.gov/28162933</t>
  </si>
  <si>
    <t>10.1016/j.healun.2016.08.009</t>
  </si>
  <si>
    <t>https://pubmed.ncbi.nlm.nih.gov/27646062</t>
  </si>
  <si>
    <t>10.4103/apc.APC_124_19</t>
  </si>
  <si>
    <t>https://pubmed.ncbi.nlm.nih.gov/33311918</t>
  </si>
  <si>
    <t>Davies JOJ</t>
  </si>
  <si>
    <t>10.1002/ajh.24995</t>
  </si>
  <si>
    <t>https://pubmed.ncbi.nlm.nih.gov/29197110</t>
  </si>
  <si>
    <t>De Almeida Rodrigues G</t>
  </si>
  <si>
    <t>10.1080/00365549950163644</t>
  </si>
  <si>
    <t>https://pubmed.ncbi.nlm.nih.gov/10482064</t>
  </si>
  <si>
    <t>de Almeida SGS</t>
  </si>
  <si>
    <t>10.1111/iji.12601</t>
  </si>
  <si>
    <t>https://pubmed.ncbi.nlm.nih.gov/36193010</t>
  </si>
  <si>
    <t>De Bolle L</t>
  </si>
  <si>
    <t>10.1128/CMR.18.1.217-245.2005</t>
  </si>
  <si>
    <t>https://pubmed.ncbi.nlm.nih.gov/15653828</t>
  </si>
  <si>
    <t>10.1002/jmv.20240</t>
  </si>
  <si>
    <t>https://pubmed.ncbi.nlm.nih.gov/15543581</t>
  </si>
  <si>
    <t>10.1124/mol.62.3.714</t>
  </si>
  <si>
    <t>https://pubmed.ncbi.nlm.nih.gov/12181449</t>
  </si>
  <si>
    <t>10.1016/S0014-5793(04)00035-3</t>
  </si>
  <si>
    <t>https://pubmed.ncbi.nlm.nih.gov/14987992</t>
  </si>
  <si>
    <t>de Campos FPF</t>
  </si>
  <si>
    <t>10.4322/acr.2012.029</t>
  </si>
  <si>
    <t>https://pubmed.ncbi.nlm.nih.gov/31528583</t>
  </si>
  <si>
    <t>De Filippis L</t>
  </si>
  <si>
    <t>10.1016/S1386-6532(06)70008-7</t>
  </si>
  <si>
    <t>https://pubmed.ncbi.nlm.nih.gov/17276364</t>
  </si>
  <si>
    <t>de la Villa S</t>
  </si>
  <si>
    <t>10.1111/tid.13797</t>
  </si>
  <si>
    <t>https://pubmed.ncbi.nlm.nih.gov/35060253</t>
  </si>
  <si>
    <t>de Labarthe A</t>
  </si>
  <si>
    <t>10.1097/01.tp.0000168339.08246.73</t>
  </si>
  <si>
    <t>https://pubmed.ncbi.nlm.nih.gov/16123732</t>
  </si>
  <si>
    <t>de Oña M</t>
  </si>
  <si>
    <t>10.1016/s0041-1345(01)02672-0</t>
  </si>
  <si>
    <t>https://pubmed.ncbi.nlm.nih.gov/11959192</t>
  </si>
  <si>
    <t>10.1016/j.bbmt.2009.05.009</t>
  </si>
  <si>
    <t>https://pubmed.ncbi.nlm.nih.gov/20053335</t>
  </si>
  <si>
    <t>10.1016/j.jcv.2008.08.008</t>
  </si>
  <si>
    <t>https://pubmed.ncbi.nlm.nih.gov/18829379</t>
  </si>
  <si>
    <t>de Souza Franceschi FL</t>
  </si>
  <si>
    <t>10.1155/2014/392720</t>
  </si>
  <si>
    <t>https://pubmed.ncbi.nlm.nih.gov/25285115</t>
  </si>
  <si>
    <t>De Vlaminck I</t>
  </si>
  <si>
    <t>10.1073/pnas.1517494112</t>
  </si>
  <si>
    <t>https://pubmed.ncbi.nlm.nih.gov/26460048</t>
  </si>
  <si>
    <t>Deback C</t>
  </si>
  <si>
    <t>10.1016/j.jviromet.2008.01.026</t>
  </si>
  <si>
    <t>https://pubmed.ncbi.nlm.nih.gov/18329730</t>
  </si>
  <si>
    <t>10.1016/j.jviromet.2009.03.027</t>
  </si>
  <si>
    <t>https://pubmed.ncbi.nlm.nih.gov/19490982</t>
  </si>
  <si>
    <t>Deborska D</t>
  </si>
  <si>
    <t>10.1016/s0041-1345(03)00792-9</t>
  </si>
  <si>
    <t>https://pubmed.ncbi.nlm.nih.gov/14529887</t>
  </si>
  <si>
    <t>10.1016/s0041-1345(01)02883-4</t>
  </si>
  <si>
    <t>https://pubmed.ncbi.nlm.nih.gov/12009660</t>
  </si>
  <si>
    <t>Deborska-Materkowska D</t>
  </si>
  <si>
    <t>10.1093/ndt/gfh992</t>
  </si>
  <si>
    <t>https://pubmed.ncbi.nlm.nih.gov/16030042</t>
  </si>
  <si>
    <t>https://pubmed.ncbi.nlm.nih.gov/16758753</t>
  </si>
  <si>
    <t>10.1016/j.transproceed.2005.11.093</t>
  </si>
  <si>
    <t>https://pubmed.ncbi.nlm.nih.gov/16504686</t>
  </si>
  <si>
    <t>Deconinck E</t>
  </si>
  <si>
    <t>10.1016/j.patbio.2013.07.012</t>
  </si>
  <si>
    <t>https://pubmed.ncbi.nlm.nih.gov/24011959</t>
  </si>
  <si>
    <t>Delbridge MS</t>
  </si>
  <si>
    <t>10.1111/j.1399-3062.2006.00143.x</t>
  </si>
  <si>
    <t>https://pubmed.ncbi.nlm.nih.gov/17116137</t>
  </si>
  <si>
    <t>Delsol G</t>
  </si>
  <si>
    <t>https://pubmed.ncbi.nlm.nih.gov/8303178</t>
  </si>
  <si>
    <t>Demarchi F</t>
  </si>
  <si>
    <t>10.1159/000150523</t>
  </si>
  <si>
    <t>https://pubmed.ncbi.nlm.nih.gov/9078464</t>
  </si>
  <si>
    <t>Denner J</t>
  </si>
  <si>
    <t>10.3390/v11121108</t>
  </si>
  <si>
    <t>https://pubmed.ncbi.nlm.nih.gov/31801268</t>
  </si>
  <si>
    <t>Descamps V</t>
  </si>
  <si>
    <t>10.1097/TP.0000000000001768</t>
  </si>
  <si>
    <t>https://pubmed.ncbi.nlm.nih.gov/28617304</t>
  </si>
  <si>
    <t>10.1016/j.jbspin.2013.05.002</t>
  </si>
  <si>
    <t>https://pubmed.ncbi.nlm.nih.gov/23816504</t>
  </si>
  <si>
    <t>DesJardin JA</t>
  </si>
  <si>
    <t>10.1086/323336</t>
  </si>
  <si>
    <t>https://pubmed.ncbi.nlm.nih.gov/11565077</t>
  </si>
  <si>
    <t>10.1086/314510</t>
  </si>
  <si>
    <t>https://pubmed.ncbi.nlm.nih.gov/9815234</t>
  </si>
  <si>
    <t>Dewhurst S</t>
  </si>
  <si>
    <t>10.1016/0042-6822(92)91240-u</t>
  </si>
  <si>
    <t>https://pubmed.ncbi.nlm.nih.gov/1326815</t>
  </si>
  <si>
    <t>Dewin DR</t>
  </si>
  <si>
    <t>10.4049/jimmunol.176.1.544</t>
  </si>
  <si>
    <t>https://pubmed.ncbi.nlm.nih.gov/16365449</t>
  </si>
  <si>
    <t>Dharancy S</t>
  </si>
  <si>
    <t>10.1016/j.transproceed.2008.05.083</t>
  </si>
  <si>
    <t>https://pubmed.ncbi.nlm.nih.gov/19100492</t>
  </si>
  <si>
    <t>Di Benedetto F</t>
  </si>
  <si>
    <t>10.1016/j.transproceed.2008.05.067</t>
  </si>
  <si>
    <t>https://pubmed.ncbi.nlm.nih.gov/18675102</t>
  </si>
  <si>
    <t>Di Luca D</t>
  </si>
  <si>
    <t>https://pubmed.ncbi.nlm.nih.gov/8884365</t>
  </si>
  <si>
    <t>Dietrich J</t>
  </si>
  <si>
    <t>10.1523/JNEUROSCI.5584-03.2004</t>
  </si>
  <si>
    <t>https://pubmed.ncbi.nlm.nih.gov/15152048</t>
  </si>
  <si>
    <t>Dockrell DH</t>
  </si>
  <si>
    <t>10.4065/74.2.163</t>
  </si>
  <si>
    <t>https://pubmed.ncbi.nlm.nih.gov/10069356</t>
  </si>
  <si>
    <t>10.1099/jmm.0.05074-0</t>
  </si>
  <si>
    <t>https://pubmed.ncbi.nlm.nih.gov/12488560</t>
  </si>
  <si>
    <t>10.1086/514104</t>
  </si>
  <si>
    <t>https://pubmed.ncbi.nlm.nih.gov/9359710</t>
  </si>
  <si>
    <t>10.1097/00007890-199902150-00010</t>
  </si>
  <si>
    <t>https://pubmed.ncbi.nlm.nih.gov/10030285</t>
  </si>
  <si>
    <t>10.1002/rmv.299</t>
  </si>
  <si>
    <t>https://pubmed.ncbi.nlm.nih.gov/11241800</t>
  </si>
  <si>
    <t>Dohna-Schwake C</t>
  </si>
  <si>
    <t>10.1111/j.1399-3046.2010.01310.x</t>
  </si>
  <si>
    <t>https://pubmed.ncbi.nlm.nih.gov/20331520</t>
  </si>
  <si>
    <t>Dominguez G</t>
  </si>
  <si>
    <t>10.1128/JVI.73.10.8040-8052.1999</t>
  </si>
  <si>
    <t>https://pubmed.ncbi.nlm.nih.gov/10482553</t>
  </si>
  <si>
    <t>Doniger J</t>
  </si>
  <si>
    <t>10.1128/CMR.12.3.367</t>
  </si>
  <si>
    <t>https://pubmed.ncbi.nlm.nih.gov/10398670</t>
  </si>
  <si>
    <t>Dougherty A</t>
  </si>
  <si>
    <t>10.1016/j.idcr.2023.e01863</t>
  </si>
  <si>
    <t>https://pubmed.ncbi.nlm.nih.gov/37559972</t>
  </si>
  <si>
    <t>Draborg AH</t>
  </si>
  <si>
    <t>10.1371/journal.pone.0193244</t>
  </si>
  <si>
    <t>https://pubmed.ncbi.nlm.nih.gov/29499037</t>
  </si>
  <si>
    <t>Drago F</t>
  </si>
  <si>
    <t>10.1016/j.jinf.2017.07.011</t>
  </si>
  <si>
    <t>https://pubmed.ncbi.nlm.nih.gov/28782564</t>
  </si>
  <si>
    <t>10.1111/tid.12543</t>
  </si>
  <si>
    <t>https://pubmed.ncbi.nlm.nih.gov/27145489</t>
  </si>
  <si>
    <t>10.1016/j.jaad.2007.05.030</t>
  </si>
  <si>
    <t>https://pubmed.ncbi.nlm.nih.gov/18489054</t>
  </si>
  <si>
    <t>10.1016/j.jcv.2015.09.005</t>
  </si>
  <si>
    <t>https://pubmed.ncbi.nlm.nih.gov/26489402</t>
  </si>
  <si>
    <t>10.1159/000245991</t>
  </si>
  <si>
    <t>https://pubmed.ncbi.nlm.nih.gov/9529560</t>
  </si>
  <si>
    <t>10.1159/000356176</t>
  </si>
  <si>
    <t>https://pubmed.ncbi.nlm.nih.gov/24335203</t>
  </si>
  <si>
    <t>10.1159/000489879</t>
  </si>
  <si>
    <t>https://pubmed.ncbi.nlm.nih.gov/29936509</t>
  </si>
  <si>
    <t>10.1155/2015/438963</t>
  </si>
  <si>
    <t>https://pubmed.ncbi.nlm.nih.gov/26451078</t>
  </si>
  <si>
    <t>10.1128/jcm.31.6.1515-1520.1993</t>
  </si>
  <si>
    <t>https://pubmed.ncbi.nlm.nih.gov/8391023</t>
  </si>
  <si>
    <t>10.1056/NEJM199405123301905</t>
  </si>
  <si>
    <t>https://pubmed.ncbi.nlm.nih.gov/8152447</t>
  </si>
  <si>
    <t>Dunne WM Jr</t>
  </si>
  <si>
    <t>https://pubmed.ncbi.nlm.nih.gov/1351995</t>
  </si>
  <si>
    <t>Durno C</t>
  </si>
  <si>
    <t>10.1016/s0041-1345(00)01204-5</t>
  </si>
  <si>
    <t>https://pubmed.ncbi.nlm.nih.gov/10995927</t>
  </si>
  <si>
    <t>Dytrych P</t>
  </si>
  <si>
    <t>10.1016/j.molimm.2015.01.004</t>
  </si>
  <si>
    <t>https://pubmed.ncbi.nlm.nih.gov/25656804</t>
  </si>
  <si>
    <t>Dzhumabaeva BT</t>
  </si>
  <si>
    <t>10.26442/00403660.2021.11.201164</t>
  </si>
  <si>
    <t>https://pubmed.ncbi.nlm.nih.gov/36286647</t>
  </si>
  <si>
    <t>https://pubmed.ncbi.nlm.nih.gov/19522223</t>
  </si>
  <si>
    <t>https://pubmed.ncbi.nlm.nih.gov/25007510</t>
  </si>
  <si>
    <t>Ebadi M</t>
  </si>
  <si>
    <t>10.1111/tid.13555</t>
  </si>
  <si>
    <t>https://pubmed.ncbi.nlm.nih.gov/33378595</t>
  </si>
  <si>
    <t>Ebens CL</t>
  </si>
  <si>
    <t>10.1111/petr.12929</t>
  </si>
  <si>
    <t>https://pubmed.ncbi.nlm.nih.gov/28452096</t>
  </si>
  <si>
    <t>Edinger JW</t>
  </si>
  <si>
    <t>https://pubmed.ncbi.nlm.nih.gov/10092832</t>
  </si>
  <si>
    <t>Eichler F</t>
  </si>
  <si>
    <t>https://pubmed.ncbi.nlm.nih.gov/7534493</t>
  </si>
  <si>
    <t>Eizuru Y</t>
  </si>
  <si>
    <t>10.1099/0022-1317-73-8-2161</t>
  </si>
  <si>
    <t>https://pubmed.ncbi.nlm.nih.gov/1322964</t>
  </si>
  <si>
    <t>El-Jawahri AR</t>
  </si>
  <si>
    <t>10.1056/NEJMcpc1707556</t>
  </si>
  <si>
    <t>https://pubmed.ncbi.nlm.nih.gov/29443669</t>
  </si>
  <si>
    <t>Eliassen E</t>
  </si>
  <si>
    <t>10.3390/v9120367</t>
  </si>
  <si>
    <t>https://pubmed.ncbi.nlm.nih.gov/29194419</t>
  </si>
  <si>
    <t>Emery VC</t>
  </si>
  <si>
    <t>10.1086/320000</t>
  </si>
  <si>
    <t>https://pubmed.ncbi.nlm.nih.gov/11303272</t>
  </si>
  <si>
    <t>Endo A</t>
  </si>
  <si>
    <t>10.1093/cid/ciu323</t>
  </si>
  <si>
    <t>https://pubmed.ncbi.nlm.nih.gov/24803376</t>
  </si>
  <si>
    <t>Endo Y</t>
  </si>
  <si>
    <t>10.1097/TP.0000000000002904</t>
  </si>
  <si>
    <t>https://pubmed.ncbi.nlm.nih.gov/31397803</t>
  </si>
  <si>
    <t>Engdahl E</t>
  </si>
  <si>
    <t>10.1016/j.virusres.2018.08.014</t>
  </si>
  <si>
    <t>https://pubmed.ncbi.nlm.nih.gov/30130603</t>
  </si>
  <si>
    <t>10.1016/j.jviromet.2015.10.011</t>
  </si>
  <si>
    <t>https://pubmed.ncbi.nlm.nih.gov/26542463</t>
  </si>
  <si>
    <t>Enomoto M</t>
  </si>
  <si>
    <t>10.1345/aph.1D528</t>
  </si>
  <si>
    <t>https://pubmed.ncbi.nlm.nih.gov/15010521</t>
  </si>
  <si>
    <t>Ensoli B</t>
  </si>
  <si>
    <t>10.1002/j.1460-2075.1989.tb08452.x</t>
  </si>
  <si>
    <t>https://pubmed.ncbi.nlm.nih.gov/2573513</t>
  </si>
  <si>
    <t>Epstein DJ</t>
  </si>
  <si>
    <t>10.1111/ajt.14983</t>
  </si>
  <si>
    <t>https://pubmed.ncbi.nlm.nih.gov/29939480</t>
  </si>
  <si>
    <t>Eriksson BM</t>
  </si>
  <si>
    <t>10.3109/00365549609037944</t>
  </si>
  <si>
    <t>https://pubmed.ncbi.nlm.nih.gov/8953678</t>
  </si>
  <si>
    <t>Erkek E</t>
  </si>
  <si>
    <t>10.1046/j.1468-3083.2001.00309.x</t>
  </si>
  <si>
    <t>https://pubmed.ncbi.nlm.nih.gov/11763382</t>
  </si>
  <si>
    <t>Ernst J</t>
  </si>
  <si>
    <t>10.1111/j.1399-3062.2012.00778.x</t>
  </si>
  <si>
    <t>https://pubmed.ncbi.nlm.nih.gov/22862952</t>
  </si>
  <si>
    <t>Ertilav M</t>
  </si>
  <si>
    <t>10.5578/mb.8212</t>
  </si>
  <si>
    <t>https://pubmed.ncbi.nlm.nih.gov/25492663</t>
  </si>
  <si>
    <t>Fairfax MR</t>
  </si>
  <si>
    <t>10.1093/infdis/169.6.1342</t>
  </si>
  <si>
    <t>https://pubmed.ncbi.nlm.nih.gov/7910837</t>
  </si>
  <si>
    <t>Fantry LE</t>
  </si>
  <si>
    <t>https://pubmed.ncbi.nlm.nih.gov/12728905</t>
  </si>
  <si>
    <t>Fappani C</t>
  </si>
  <si>
    <t>10.1002/jmv.29141</t>
  </si>
  <si>
    <t>https://pubmed.ncbi.nlm.nih.gov/37796084</t>
  </si>
  <si>
    <t>Farr TJ</t>
  </si>
  <si>
    <t>10.1017/s095026880004824x</t>
  </si>
  <si>
    <t>https://pubmed.ncbi.nlm.nih.gov/2174371</t>
  </si>
  <si>
    <t>Fastenackels S</t>
  </si>
  <si>
    <t>10.1128/JVI.02321-18</t>
  </si>
  <si>
    <t>https://pubmed.ncbi.nlm.nih.gov/30996090</t>
  </si>
  <si>
    <t>Faten N</t>
  </si>
  <si>
    <t>10.1186/1750-9378-7-31</t>
  </si>
  <si>
    <t>https://pubmed.ncbi.nlm.nih.gov/23146098</t>
  </si>
  <si>
    <t>Fatic A</t>
  </si>
  <si>
    <t>10.1111/trf.15501</t>
  </si>
  <si>
    <t>https://pubmed.ncbi.nlm.nih.gov/31469438</t>
  </si>
  <si>
    <t>Faulkner GC</t>
  </si>
  <si>
    <t>10.1128/JVI.73.2.1555-1564.1999</t>
  </si>
  <si>
    <t>https://pubmed.ncbi.nlm.nih.gov/9882361</t>
  </si>
  <si>
    <t>Favacho AR</t>
  </si>
  <si>
    <t>10.1016/j.biologicals.2006.09.005</t>
  </si>
  <si>
    <t>https://pubmed.ncbi.nlm.nih.gov/17254798</t>
  </si>
  <si>
    <t>Fazakas A</t>
  </si>
  <si>
    <t>10.1080/10428190903162743</t>
  </si>
  <si>
    <t>https://pubmed.ncbi.nlm.nih.gov/19863339</t>
  </si>
  <si>
    <t>Feldstein AE</t>
  </si>
  <si>
    <t>10.1034/j.1399-3046.2003.00028.x</t>
  </si>
  <si>
    <t>https://pubmed.ncbi.nlm.nih.gov/12654053</t>
  </si>
  <si>
    <t>Fernández-Ruiz M</t>
  </si>
  <si>
    <t>10.1097/TP.0000000000000306</t>
  </si>
  <si>
    <t>https://pubmed.ncbi.nlm.nih.gov/25073037</t>
  </si>
  <si>
    <t>Ferraccioli GF</t>
  </si>
  <si>
    <t>https://pubmed.ncbi.nlm.nih.gov/8737717</t>
  </si>
  <si>
    <t>Ferreira O</t>
  </si>
  <si>
    <t>10.3109/15569527.2010.536797</t>
  </si>
  <si>
    <t>https://pubmed.ncbi.nlm.nih.gov/21121877</t>
  </si>
  <si>
    <t>Fiala M</t>
  </si>
  <si>
    <t>10.1016/0923-2494(91)90016-c</t>
  </si>
  <si>
    <t>https://pubmed.ncbi.nlm.nih.gov/1650955</t>
  </si>
  <si>
    <t>Fiebig U</t>
  </si>
  <si>
    <t>10.3390/v9110317</t>
  </si>
  <si>
    <t>https://pubmed.ncbi.nlm.nih.gov/29143761</t>
  </si>
  <si>
    <t>Fierz W</t>
  </si>
  <si>
    <t>10.1186/s12985-017-0719-3</t>
  </si>
  <si>
    <t>https://pubmed.ncbi.nlm.nih.gov/28241767</t>
  </si>
  <si>
    <t>Filippova A</t>
  </si>
  <si>
    <t>10.1016/j.jcyt.2017.12.006</t>
  </si>
  <si>
    <t>https://pubmed.ncbi.nlm.nih.gov/29434005</t>
  </si>
  <si>
    <t>Fischer SA</t>
  </si>
  <si>
    <t>10.1097/TP.0b013e31818b6548</t>
  </si>
  <si>
    <t>https://pubmed.ncbi.nlm.nih.gov/19033999</t>
  </si>
  <si>
    <t>Fishman JA</t>
  </si>
  <si>
    <t>10.1002/lt.22378</t>
  </si>
  <si>
    <t>https://pubmed.ncbi.nlm.nih.gov/21748845</t>
  </si>
  <si>
    <t>Flamand L</t>
  </si>
  <si>
    <t>10.1128/JVI.72.11.8797-8805.1998</t>
  </si>
  <si>
    <t>https://pubmed.ncbi.nlm.nih.gov/9765424</t>
  </si>
  <si>
    <t>10.1128/JCM.00370-08</t>
  </si>
  <si>
    <t>https://pubmed.ncbi.nlm.nih.gov/18550745</t>
  </si>
  <si>
    <t>https://pubmed.ncbi.nlm.nih.gov/7858257</t>
  </si>
  <si>
    <t>10.1128/JVI.70.3.1784-1791.1996</t>
  </si>
  <si>
    <t>https://pubmed.ncbi.nlm.nih.gov/8627701</t>
  </si>
  <si>
    <t>10.1172/JCI118557</t>
  </si>
  <si>
    <t>https://pubmed.ncbi.nlm.nih.gov/8617868</t>
  </si>
  <si>
    <t>Foà-Tomasi L</t>
  </si>
  <si>
    <t>10.1128/JVI.65.8.4124-4129.1991</t>
  </si>
  <si>
    <t>https://pubmed.ncbi.nlm.nih.gov/1649319</t>
  </si>
  <si>
    <t>10.1099/0022-1317-77-3-511</t>
  </si>
  <si>
    <t>https://pubmed.ncbi.nlm.nih.gov/8601789</t>
  </si>
  <si>
    <t>10.1016/0166-0934(94)00120-6</t>
  </si>
  <si>
    <t>https://pubmed.ncbi.nlm.nih.gov/7738149</t>
  </si>
  <si>
    <t>10.1099/0022-1317-75-10-2719</t>
  </si>
  <si>
    <t>https://pubmed.ncbi.nlm.nih.gov/7931158</t>
  </si>
  <si>
    <t>Fontan J</t>
  </si>
  <si>
    <t>https://pubmed.ncbi.nlm.nih.gov/10026725</t>
  </si>
  <si>
    <t>Forest F</t>
  </si>
  <si>
    <t>10.1111/j.1399-3062.2011.00642.x</t>
  </si>
  <si>
    <t>https://pubmed.ncbi.nlm.nih.gov/21883755</t>
  </si>
  <si>
    <t>Forni D</t>
  </si>
  <si>
    <t>10.1093/ve/vez043</t>
  </si>
  <si>
    <t>https://pubmed.ncbi.nlm.nih.gov/31649826</t>
  </si>
  <si>
    <t>10.1093/ve/veaa035</t>
  </si>
  <si>
    <t>https://pubmed.ncbi.nlm.nih.gov/32551136</t>
  </si>
  <si>
    <t>10.1093/ve/vez054</t>
  </si>
  <si>
    <t>https://pubmed.ncbi.nlm.nih.gov/31798967</t>
  </si>
  <si>
    <t>Fortman D</t>
  </si>
  <si>
    <t>10.1097/CMR.0000000000000871</t>
  </si>
  <si>
    <t>https://pubmed.ncbi.nlm.nih.gov/36806616</t>
  </si>
  <si>
    <t>Fotheringham J</t>
  </si>
  <si>
    <t>10.1086/510757</t>
  </si>
  <si>
    <t>https://pubmed.ncbi.nlm.nih.gov/17205485</t>
  </si>
  <si>
    <t>Fox RI</t>
  </si>
  <si>
    <t>10.1016/0896-8411(89)90174-1</t>
  </si>
  <si>
    <t>https://pubmed.ncbi.nlm.nih.gov/2571338</t>
  </si>
  <si>
    <t>French C</t>
  </si>
  <si>
    <t>10.1006/viro.1999.9875</t>
  </si>
  <si>
    <t>https://pubmed.ncbi.nlm.nih.gov/10489348</t>
  </si>
  <si>
    <t>Frenkel N</t>
  </si>
  <si>
    <t>https://pubmed.ncbi.nlm.nih.gov/1335933</t>
  </si>
  <si>
    <t>10.1007/978-1-4684-5853-4_1</t>
  </si>
  <si>
    <t>https://pubmed.ncbi.nlm.nih.gov/1963027</t>
  </si>
  <si>
    <t>https://pubmed.ncbi.nlm.nih.gov/7889017</t>
  </si>
  <si>
    <t>10.1128/JVI.64.9.4598-4602.1990</t>
  </si>
  <si>
    <t>https://pubmed.ncbi.nlm.nih.gov/2166835</t>
  </si>
  <si>
    <t>10.1073/pnas.87.2.748</t>
  </si>
  <si>
    <t>https://pubmed.ncbi.nlm.nih.gov/2153965</t>
  </si>
  <si>
    <t>Frey JW</t>
  </si>
  <si>
    <t>10.1111/tid.12756</t>
  </si>
  <si>
    <t>https://pubmed.ncbi.nlm.nih.gov/28746781</t>
  </si>
  <si>
    <t>Fuji S</t>
  </si>
  <si>
    <t>10.1016/j.beha.2011.06.003</t>
  </si>
  <si>
    <t>https://pubmed.ncbi.nlm.nih.gov/21925094</t>
  </si>
  <si>
    <t>https://pubmed.ncbi.nlm.nih.gov/16615520</t>
  </si>
  <si>
    <t>Fukuda T</t>
  </si>
  <si>
    <t>https://pubmed.ncbi.nlm.nih.gov/17432230</t>
  </si>
  <si>
    <t>Fullerton HJ</t>
  </si>
  <si>
    <t>10.1161/STROKEAHA.117.018272</t>
  </si>
  <si>
    <t>https://pubmed.ncbi.nlm.nih.gov/28864597</t>
  </si>
  <si>
    <t>Furlini G</t>
  </si>
  <si>
    <t>https://pubmed.ncbi.nlm.nih.gov/8639844</t>
  </si>
  <si>
    <t>Furukawa M</t>
  </si>
  <si>
    <t>https://pubmed.ncbi.nlm.nih.gov/7911490</t>
  </si>
  <si>
    <t>Galan A</t>
  </si>
  <si>
    <t>10.1111/j.1600-0560.2009.01291.x</t>
  </si>
  <si>
    <t>https://pubmed.ncbi.nlm.nih.gov/19522847</t>
  </si>
  <si>
    <t>10.1016/j.transproceed.2005.03.123</t>
  </si>
  <si>
    <t>https://pubmed.ncbi.nlm.nih.gov/15964357</t>
  </si>
  <si>
    <t>Gallegos-Orozco JF</t>
  </si>
  <si>
    <t>https://pubmed.ncbi.nlm.nih.gov/21279280</t>
  </si>
  <si>
    <t>Gallo RC</t>
  </si>
  <si>
    <t>https://pubmed.ncbi.nlm.nih.gov/15129646</t>
  </si>
  <si>
    <t>Gambarino S</t>
  </si>
  <si>
    <t>https://pubmed.ncbi.nlm.nih.gov/19910888</t>
  </si>
  <si>
    <t>Gannamani V</t>
  </si>
  <si>
    <t>10.1016/j.trim.2022.101742</t>
  </si>
  <si>
    <t>https://pubmed.ncbi.nlm.nih.gov/36372142</t>
  </si>
  <si>
    <t>Gardell JL</t>
  </si>
  <si>
    <t>10.1016/S1386-6532(06)70005-1</t>
  </si>
  <si>
    <t>https://pubmed.ncbi.nlm.nih.gov/17276360</t>
  </si>
  <si>
    <t>Garzino-Demo A</t>
  </si>
  <si>
    <t>10.1002/(SICI)1096-9071(199609)50:1&lt;20::AID-JMV5&gt;3.0.CO;2-V</t>
  </si>
  <si>
    <t>https://pubmed.ncbi.nlm.nih.gov/8890036</t>
  </si>
  <si>
    <t>10.1016/s0166-0934(01)00390-1</t>
  </si>
  <si>
    <t>https://pubmed.ncbi.nlm.nih.gov/11742650</t>
  </si>
  <si>
    <t>https://pubmed.ncbi.nlm.nih.gov/11715608</t>
  </si>
  <si>
    <t>Geng YQ</t>
  </si>
  <si>
    <t>10.1128/JVI.66.3.1564-1570.1992</t>
  </si>
  <si>
    <t>https://pubmed.ncbi.nlm.nih.gov/1310766</t>
  </si>
  <si>
    <t>Gentile G</t>
  </si>
  <si>
    <t>10.1097/01.tp.0000131221.36401.ec</t>
  </si>
  <si>
    <t>https://pubmed.ncbi.nlm.nih.gov/15223915</t>
  </si>
  <si>
    <t>https://pubmed.ncbi.nlm.nih.gov/11866997</t>
  </si>
  <si>
    <t>Géraudie B</t>
  </si>
  <si>
    <t>10.1016/j.jcv.2011.10.017</t>
  </si>
  <si>
    <t>https://pubmed.ncbi.nlm.nih.gov/22133730</t>
  </si>
  <si>
    <t>10.1038/mt.2012.130</t>
  </si>
  <si>
    <t>https://pubmed.ncbi.nlm.nih.gov/22801446</t>
  </si>
  <si>
    <t>Gervasi MT</t>
  </si>
  <si>
    <t>10.3109/14767058.2012.683899</t>
  </si>
  <si>
    <t>https://pubmed.ncbi.nlm.nih.gov/22524157</t>
  </si>
  <si>
    <t>Gewurz BE</t>
  </si>
  <si>
    <t>10.1007/s11908-008-0048-1</t>
  </si>
  <si>
    <t>https://pubmed.ncbi.nlm.nih.gov/18765102</t>
  </si>
  <si>
    <t>Ghedin E</t>
  </si>
  <si>
    <t>10.1186/1742-4690-1-10</t>
  </si>
  <si>
    <t>https://pubmed.ncbi.nlm.nih.gov/15169557</t>
  </si>
  <si>
    <t>Gies U</t>
  </si>
  <si>
    <t>10.1055/s-2004-836228</t>
  </si>
  <si>
    <t>https://pubmed.ncbi.nlm.nih.gov/16116557</t>
  </si>
  <si>
    <t>Giraudon P</t>
  </si>
  <si>
    <t>10.1016/j.neurol.2009.07.004</t>
  </si>
  <si>
    <t>https://pubmed.ncbi.nlm.nih.gov/19656540</t>
  </si>
  <si>
    <t>Gobbi A</t>
  </si>
  <si>
    <t>10.1084/jem.189.12.1953</t>
  </si>
  <si>
    <t>https://pubmed.ncbi.nlm.nih.gov/10377191</t>
  </si>
  <si>
    <t>10.1128/jvi.74.18.8726-8731.2000</t>
  </si>
  <si>
    <t>https://pubmed.ncbi.nlm.nih.gov/10954574</t>
  </si>
  <si>
    <t>Goel P</t>
  </si>
  <si>
    <t>10.1016/j.virusres.2013.02.006</t>
  </si>
  <si>
    <t>https://pubmed.ncbi.nlm.nih.gov/23454489</t>
  </si>
  <si>
    <t>Gold D</t>
  </si>
  <si>
    <t>10.1001/jama.264.1.48</t>
  </si>
  <si>
    <t>https://pubmed.ncbi.nlm.nih.gov/2162397</t>
  </si>
  <si>
    <t>Goldfarb J</t>
  </si>
  <si>
    <t>10.1002/jmv.24482</t>
  </si>
  <si>
    <t>https://pubmed.ncbi.nlm.nih.gov/26815906</t>
  </si>
  <si>
    <t>Golob S</t>
  </si>
  <si>
    <t>10.1016/j.jaccas.2023.101896</t>
  </si>
  <si>
    <t>https://pubmed.ncbi.nlm.nih.gov/37496724</t>
  </si>
  <si>
    <t>Gómez E</t>
  </si>
  <si>
    <t>10.1016/j.transproceed.2005.08.058</t>
  </si>
  <si>
    <t>https://pubmed.ncbi.nlm.nih.gov/16386530</t>
  </si>
  <si>
    <t>Gómez-Moreno J</t>
  </si>
  <si>
    <t>10.1056/NEJM199810223391713</t>
  </si>
  <si>
    <t>https://pubmed.ncbi.nlm.nih.gov/9786754</t>
  </si>
  <si>
    <t>10.1016/s0014-2565(02)71021-7</t>
  </si>
  <si>
    <t>https://pubmed.ncbi.nlm.nih.gov/11996753</t>
  </si>
  <si>
    <t>Gompels UA</t>
  </si>
  <si>
    <t>10.1099/0022-1317-74-4-613</t>
  </si>
  <si>
    <t>https://pubmed.ncbi.nlm.nih.gov/8385692</t>
  </si>
  <si>
    <t>10.1016/s0140-6736(94)91619-5</t>
  </si>
  <si>
    <t>https://pubmed.ncbi.nlm.nih.gov/7907709</t>
  </si>
  <si>
    <t>Gorniak RJ</t>
  </si>
  <si>
    <t>https://pubmed.ncbi.nlm.nih.gov/16611785</t>
  </si>
  <si>
    <t>Gosselin J</t>
  </si>
  <si>
    <t>https://pubmed.ncbi.nlm.nih.gov/10590066</t>
  </si>
  <si>
    <t>Grand RJ</t>
  </si>
  <si>
    <t>10.1099/jgv.0.001783</t>
  </si>
  <si>
    <t>https://pubmed.ncbi.nlm.nih.gov/36367762</t>
  </si>
  <si>
    <t>Gravel A</t>
  </si>
  <si>
    <t>10.1093/infdis/jit060</t>
  </si>
  <si>
    <t>https://pubmed.ncbi.nlm.nih.gov/23408849</t>
  </si>
  <si>
    <t>10.1684/vir.2011.7729</t>
  </si>
  <si>
    <t>https://pubmed.ncbi.nlm.nih.gov/37012846</t>
  </si>
  <si>
    <t>Greninger AL</t>
  </si>
  <si>
    <t>10.1128/JVI.00135-18</t>
  </si>
  <si>
    <t>https://pubmed.ncbi.nlm.nih.gov/29491155</t>
  </si>
  <si>
    <t>Griffiths PD</t>
  </si>
  <si>
    <t>10.1093/jac/45.suppl_4.29</t>
  </si>
  <si>
    <t>https://pubmed.ncbi.nlm.nih.gov/10855769</t>
  </si>
  <si>
    <t>10.1002/(sici)1096-9071(199912)59:4&lt;496::aid-jmv12&gt;3.0.co;2-u</t>
  </si>
  <si>
    <t>https://pubmed.ncbi.nlm.nih.gov/10534732</t>
  </si>
  <si>
    <t>10.1086/342960</t>
  </si>
  <si>
    <t>https://pubmed.ncbi.nlm.nih.gov/12353198</t>
  </si>
  <si>
    <t>Grivel JC</t>
  </si>
  <si>
    <t>10.1128/jvi.77.15.8280-8289.2003</t>
  </si>
  <si>
    <t>https://pubmed.ncbi.nlm.nih.gov/12857897</t>
  </si>
  <si>
    <t>10.1038/nm1101-1232</t>
  </si>
  <si>
    <t>https://pubmed.ncbi.nlm.nih.gov/11689888</t>
  </si>
  <si>
    <t>Grose C</t>
  </si>
  <si>
    <t>https://pubmed.ncbi.nlm.nih.gov/9033979</t>
  </si>
  <si>
    <t>Guan M</t>
  </si>
  <si>
    <t>https://pubmed.ncbi.nlm.nih.gov/15619896</t>
  </si>
  <si>
    <t>Guardia AC</t>
  </si>
  <si>
    <t>10.1016/j.ijid.2011.10.008</t>
  </si>
  <si>
    <t>https://pubmed.ncbi.nlm.nih.gov/22178541</t>
  </si>
  <si>
    <t>10.1016/j.bjid.2013.07.007</t>
  </si>
  <si>
    <t>https://pubmed.ncbi.nlm.nih.gov/24275367</t>
  </si>
  <si>
    <t>Guardia-Silva AC</t>
  </si>
  <si>
    <t>10.1016/j.transproceed.2012.07.027</t>
  </si>
  <si>
    <t>https://pubmed.ncbi.nlm.nih.gov/23026615</t>
  </si>
  <si>
    <t>Guo Y</t>
  </si>
  <si>
    <t>10.3389/fimmu.2022.1003254</t>
  </si>
  <si>
    <t>https://pubmed.ncbi.nlm.nih.gov/36544772</t>
  </si>
  <si>
    <t>Gupta M</t>
  </si>
  <si>
    <t>10.1046/j.1399-3046.2003.00099.x</t>
  </si>
  <si>
    <t>https://pubmed.ncbi.nlm.nih.gov/14870894</t>
  </si>
  <si>
    <t>Gupta S</t>
  </si>
  <si>
    <t>10.1128/JVI.00106-09</t>
  </si>
  <si>
    <t>https://pubmed.ncbi.nlm.nih.gov/19297473</t>
  </si>
  <si>
    <t>10.1111/j.1365-3083.1991.tb01777.x</t>
  </si>
  <si>
    <t>https://pubmed.ncbi.nlm.nih.gov/1849315</t>
  </si>
  <si>
    <t>Gustafsson RK</t>
  </si>
  <si>
    <t>10.1371/journal.pone.0058122</t>
  </si>
  <si>
    <t>https://pubmed.ncbi.nlm.nih.gov/23526966</t>
  </si>
  <si>
    <t>Hagiwara H</t>
  </si>
  <si>
    <t>10.1016/j.braindev.2020.09.007</t>
  </si>
  <si>
    <t>https://pubmed.ncbi.nlm.nih.gov/33059947</t>
  </si>
  <si>
    <t>Hajeer AH</t>
  </si>
  <si>
    <t>10.1016/j.transproceed.2005.11.006</t>
  </si>
  <si>
    <t>https://pubmed.ncbi.nlm.nih.gov/16387127</t>
  </si>
  <si>
    <t>Halawi M</t>
  </si>
  <si>
    <t>10.1002/iid3.55</t>
  </si>
  <si>
    <t>https://pubmed.ncbi.nlm.nih.gov/26029371</t>
  </si>
  <si>
    <t>10.1542/peds.2007-2838</t>
  </si>
  <si>
    <t>https://pubmed.ncbi.nlm.nih.gov/18762520</t>
  </si>
  <si>
    <t>10.1086/650495</t>
  </si>
  <si>
    <t>https://pubmed.ncbi.nlm.nih.gov/20088693</t>
  </si>
  <si>
    <t>Halme L</t>
  </si>
  <si>
    <t>10.3109/00365521.2013.843200</t>
  </si>
  <si>
    <t>https://pubmed.ncbi.nlm.nih.gov/24099308</t>
  </si>
  <si>
    <t>10.1086/525264</t>
  </si>
  <si>
    <t>https://pubmed.ncbi.nlm.nih.gov/18181741</t>
  </si>
  <si>
    <t>Hama N</t>
  </si>
  <si>
    <t>10.1016/j.jaip.2022.02.004</t>
  </si>
  <si>
    <t>https://pubmed.ncbi.nlm.nih.gov/35176506</t>
  </si>
  <si>
    <t>Hammerling JA</t>
  </si>
  <si>
    <t>10.1136/jcp.49.10.802</t>
  </si>
  <si>
    <t>https://pubmed.ncbi.nlm.nih.gov/8943744</t>
  </si>
  <si>
    <t>10.3760/cma.j.issn.0253-2727.2017.08.008</t>
  </si>
  <si>
    <t>https://pubmed.ncbi.nlm.nih.gov/28954348</t>
  </si>
  <si>
    <t>10.1016/j.ijid.2021.09.061</t>
  </si>
  <si>
    <t>https://pubmed.ncbi.nlm.nih.gov/34600133</t>
  </si>
  <si>
    <t>10.1093/ofid/ofac398</t>
  </si>
  <si>
    <t>https://pubmed.ncbi.nlm.nih.gov/36004309</t>
  </si>
  <si>
    <t>10.1016/j.jtct.2023.08.002</t>
  </si>
  <si>
    <t>https://pubmed.ncbi.nlm.nih.gov/37543212</t>
  </si>
  <si>
    <t>Handous I</t>
  </si>
  <si>
    <t>10.1186/s12985-020-01302-4</t>
  </si>
  <si>
    <t>https://pubmed.ncbi.nlm.nih.gov/32183884</t>
  </si>
  <si>
    <t>Hansen AS</t>
  </si>
  <si>
    <t>10.1016/j.virol.2016.12.027</t>
  </si>
  <si>
    <t>https://pubmed.ncbi.nlm.nih.gov/28056415</t>
  </si>
  <si>
    <t>10.1128/JVI.00321-19</t>
  </si>
  <si>
    <t>https://pubmed.ncbi.nlm.nih.gov/31043533</t>
  </si>
  <si>
    <t>10.3389/fimmu.2018.01454</t>
  </si>
  <si>
    <t>https://pubmed.ncbi.nlm.nih.gov/29988505</t>
  </si>
  <si>
    <t>Härmä M</t>
  </si>
  <si>
    <t>10.1097/01.TP.0000069233.13409.DF</t>
  </si>
  <si>
    <t>https://pubmed.ncbi.nlm.nih.gov/12923440</t>
  </si>
  <si>
    <t>10.1097/01.tp.0000195771.83614.0b</t>
  </si>
  <si>
    <t>https://pubmed.ncbi.nlm.nih.gov/16477222</t>
  </si>
  <si>
    <t>10.1016/j.transproceed.2013.01.091</t>
  </si>
  <si>
    <t>https://pubmed.ncbi.nlm.nih.gov/23769070</t>
  </si>
  <si>
    <t>10.1016/j.transproceed.2004.12.004</t>
  </si>
  <si>
    <t>https://pubmed.ncbi.nlm.nih.gov/15848678</t>
  </si>
  <si>
    <t>10.1002/jmv.20626</t>
  </si>
  <si>
    <t>https://pubmed.ncbi.nlm.nih.gov/16628583</t>
  </si>
  <si>
    <t>Harnett GB</t>
  </si>
  <si>
    <t>10.1002/jmv.1890300209</t>
  </si>
  <si>
    <t>https://pubmed.ncbi.nlm.nih.gov/2156005</t>
  </si>
  <si>
    <t>Hasegawa A</t>
  </si>
  <si>
    <t>10.4049/jimmunol.166.2.1125</t>
  </si>
  <si>
    <t>https://pubmed.ncbi.nlm.nih.gov/11145693</t>
  </si>
  <si>
    <t>Hasegawa D</t>
  </si>
  <si>
    <t>https://pubmed.ncbi.nlm.nih.gov/10483141</t>
  </si>
  <si>
    <t>Hasegawa H</t>
  </si>
  <si>
    <t>10.1128/JVI.68.8.5326-5329.1994</t>
  </si>
  <si>
    <t>https://pubmed.ncbi.nlm.nih.gov/7913511</t>
  </si>
  <si>
    <t>Hasegawa T</t>
  </si>
  <si>
    <t>10.1034/j.1399-0012.2001.150310.x</t>
  </si>
  <si>
    <t>https://pubmed.ncbi.nlm.nih.gov/11389712</t>
  </si>
  <si>
    <t>Hashimoto H</t>
  </si>
  <si>
    <t>10.1097/00043426-200203000-00010</t>
  </si>
  <si>
    <t>https://pubmed.ncbi.nlm.nih.gov/11990308</t>
  </si>
  <si>
    <t>Hashizume H</t>
  </si>
  <si>
    <t>10.1111/all.12138</t>
  </si>
  <si>
    <t>https://pubmed.ncbi.nlm.nih.gov/23573902</t>
  </si>
  <si>
    <t>10.5415/apallergy.2012.2.3.203</t>
  </si>
  <si>
    <t>https://pubmed.ncbi.nlm.nih.gov/22872823</t>
  </si>
  <si>
    <t>Hatano Y</t>
  </si>
  <si>
    <t>10.3390/cancers13112625</t>
  </si>
  <si>
    <t>https://pubmed.ncbi.nlm.nih.gov/34071792</t>
  </si>
  <si>
    <t>Haveman LM</t>
  </si>
  <si>
    <t>10.1111/j.1365-2249.2010.04159.x</t>
  </si>
  <si>
    <t>https://pubmed.ncbi.nlm.nih.gov/20408855</t>
  </si>
  <si>
    <t>Hay KA</t>
  </si>
  <si>
    <t>10.1177/135245850000600202</t>
  </si>
  <si>
    <t>https://pubmed.ncbi.nlm.nih.gov/10773849</t>
  </si>
  <si>
    <t>Hayem F</t>
  </si>
  <si>
    <t>10.1016/j.mehy.2012.04.009</t>
  </si>
  <si>
    <t>https://pubmed.ncbi.nlm.nih.gov/22580050</t>
  </si>
  <si>
    <t>Helanterä I</t>
  </si>
  <si>
    <t>10.1111/j.1432-2277.2008.00716.x</t>
  </si>
  <si>
    <t>https://pubmed.ncbi.nlm.nih.gov/18564986</t>
  </si>
  <si>
    <t>10.1016/j.idc.2010.02.003</t>
  </si>
  <si>
    <t>https://pubmed.ncbi.nlm.nih.gov/20466274</t>
  </si>
  <si>
    <t>10.1016/j.cmi.2022.02.001</t>
  </si>
  <si>
    <t>https://pubmed.ncbi.nlm.nih.gov/35150885</t>
  </si>
  <si>
    <t>Henderson M</t>
  </si>
  <si>
    <t>10.1111/hiv.13471</t>
  </si>
  <si>
    <t>https://pubmed.ncbi.nlm.nih.gov/36895097</t>
  </si>
  <si>
    <t>Henderson TA</t>
  </si>
  <si>
    <t>https://pubmed.ncbi.nlm.nih.gov/24445302</t>
  </si>
  <si>
    <t>Herbein G</t>
  </si>
  <si>
    <t>10.1093/clinids/22.1.171</t>
  </si>
  <si>
    <t>https://pubmed.ncbi.nlm.nih.gov/8824991</t>
  </si>
  <si>
    <t>Hermouet S</t>
  </si>
  <si>
    <t>10.1038/sj.leu.2402748</t>
  </si>
  <si>
    <t>https://pubmed.ncbi.nlm.nih.gov/12529677</t>
  </si>
  <si>
    <t>Hicks J</t>
  </si>
  <si>
    <t>10.1080/019131201300004708</t>
  </si>
  <si>
    <t>https://pubmed.ncbi.nlm.nih.gov/11297322</t>
  </si>
  <si>
    <t>Higashimoto Y</t>
  </si>
  <si>
    <t>10.1128/JCM.05834-11</t>
  </si>
  <si>
    <t>https://pubmed.ncbi.nlm.nih.gov/22278837</t>
  </si>
  <si>
    <t>Hilgers A</t>
  </si>
  <si>
    <t>https://pubmed.ncbi.nlm.nih.gov/1893076</t>
  </si>
  <si>
    <t>10.1016/j.coviro.2014.09.006</t>
  </si>
  <si>
    <t>https://pubmed.ncbi.nlm.nih.gov/25285614</t>
  </si>
  <si>
    <t>10.1111/tid.12208</t>
  </si>
  <si>
    <t>https://pubmed.ncbi.nlm.nih.gov/24703390</t>
  </si>
  <si>
    <t>10.1097/QCO.0000000000000592</t>
  </si>
  <si>
    <t>https://pubmed.ncbi.nlm.nih.gov/31567413</t>
  </si>
  <si>
    <t>10.1128/JVI.01419-18</t>
  </si>
  <si>
    <t>https://pubmed.ncbi.nlm.nih.gov/30429336</t>
  </si>
  <si>
    <t>Hill W</t>
  </si>
  <si>
    <t>10.1111/ejh.14174</t>
  </si>
  <si>
    <t>https://pubmed.ncbi.nlm.nih.gov/38243840</t>
  </si>
  <si>
    <t>Hino Y</t>
  </si>
  <si>
    <t>10.1111/bjh.13826</t>
  </si>
  <si>
    <t>https://pubmed.ncbi.nlm.nih.gov/26525035</t>
  </si>
  <si>
    <t>Hirabayashi K</t>
  </si>
  <si>
    <t>10.1007/s15010-012-0329-3</t>
  </si>
  <si>
    <t>https://pubmed.ncbi.nlm.nih.gov/22971937</t>
  </si>
  <si>
    <t>Hiramatsu H</t>
  </si>
  <si>
    <t>10.1128/AAC.04692-14</t>
  </si>
  <si>
    <t>https://pubmed.ncbi.nlm.nih.gov/25691643</t>
  </si>
  <si>
    <t>Hisanaga K</t>
  </si>
  <si>
    <t>10.1001/archneur.58.10.1580</t>
  </si>
  <si>
    <t>https://pubmed.ncbi.nlm.nih.gov/11594915</t>
  </si>
  <si>
    <t>Hoang MP</t>
  </si>
  <si>
    <t>https://pubmed.ncbi.nlm.nih.gov/10097377</t>
  </si>
  <si>
    <t>10.1016/s0046-8177(98)90416-6</t>
  </si>
  <si>
    <t>https://pubmed.ncbi.nlm.nih.gov/9781644</t>
  </si>
  <si>
    <t>Hoffmann A</t>
  </si>
  <si>
    <t>https://pubmed.ncbi.nlm.nih.gov/7893989</t>
  </si>
  <si>
    <t>Hogestyn JM</t>
  </si>
  <si>
    <t>10.1016/j.mcn.2022.103770</t>
  </si>
  <si>
    <t>https://pubmed.ncbi.nlm.nih.gov/36055520</t>
  </si>
  <si>
    <t>Holden SR</t>
  </si>
  <si>
    <t>10.1016/j.jcv.2007.08.011</t>
  </si>
  <si>
    <t>https://pubmed.ncbi.nlm.nih.gov/17913577</t>
  </si>
  <si>
    <t>Hong J</t>
  </si>
  <si>
    <t>10.1191/1352458502ms794oa</t>
  </si>
  <si>
    <t>https://pubmed.ncbi.nlm.nih.gov/12120696</t>
  </si>
  <si>
    <t>Hori T</t>
  </si>
  <si>
    <t>10.11406/rinketsu.64.283</t>
  </si>
  <si>
    <t>https://pubmed.ncbi.nlm.nih.gov/37121773</t>
  </si>
  <si>
    <t>Horowitz N</t>
  </si>
  <si>
    <t>10.1155/2012/409765</t>
  </si>
  <si>
    <t>https://pubmed.ncbi.nlm.nih.gov/23243510</t>
  </si>
  <si>
    <t>Horvat B</t>
  </si>
  <si>
    <t>10.1016/j.coviro.2014.09.012</t>
  </si>
  <si>
    <t>https://pubmed.ncbi.nlm.nih.gov/25462440</t>
  </si>
  <si>
    <t>Horvat RT</t>
  </si>
  <si>
    <t>10.1093/infdis/167.6.1274</t>
  </si>
  <si>
    <t>https://pubmed.ncbi.nlm.nih.gov/8388898</t>
  </si>
  <si>
    <t>10.1128/JVI.65.6.2895-2902.1991</t>
  </si>
  <si>
    <t>https://pubmed.ncbi.nlm.nih.gov/1851861</t>
  </si>
  <si>
    <t>10.1128/JVI.63.2.970-973.1989</t>
  </si>
  <si>
    <t>https://pubmed.ncbi.nlm.nih.gov/2911127</t>
  </si>
  <si>
    <t>Horváth R</t>
  </si>
  <si>
    <t>10.1016/s1386-6532(99)00064-5</t>
  </si>
  <si>
    <t>https://pubmed.ncbi.nlm.nih.gov/10680737</t>
  </si>
  <si>
    <t>Hoshino K</t>
  </si>
  <si>
    <t>10.1007/BF00336532</t>
  </si>
  <si>
    <t>https://pubmed.ncbi.nlm.nih.gov/7626174</t>
  </si>
  <si>
    <t>Hosomi S</t>
  </si>
  <si>
    <t>10.3390/microorganisms9091870</t>
  </si>
  <si>
    <t>https://pubmed.ncbi.nlm.nih.gov/34576764</t>
  </si>
  <si>
    <t>Howell KB</t>
  </si>
  <si>
    <t>10.1111/j.1528-1167.2012.03494.x</t>
  </si>
  <si>
    <t>https://pubmed.ncbi.nlm.nih.gov/22554258</t>
  </si>
  <si>
    <t>Huang C</t>
  </si>
  <si>
    <t>10.1016/j.neulet.2014.12.063</t>
  </si>
  <si>
    <t>https://pubmed.ncbi.nlm.nih.gov/25576704</t>
  </si>
  <si>
    <t>Huang Y</t>
  </si>
  <si>
    <t>10.1093/nar/gkt840</t>
  </si>
  <si>
    <t>https://pubmed.ncbi.nlm.nih.gov/24057213</t>
  </si>
  <si>
    <t>Hubacek P</t>
  </si>
  <si>
    <t>10.1038/sj.bmt.1705813</t>
  </si>
  <si>
    <t>https://pubmed.ncbi.nlm.nih.gov/17704794</t>
  </si>
  <si>
    <t>10.3324/haematol.11592</t>
  </si>
  <si>
    <t>https://pubmed.ncbi.nlm.nih.gov/18024365</t>
  </si>
  <si>
    <t>10.1002/jmv.21371</t>
  </si>
  <si>
    <t>https://pubmed.ncbi.nlm.nih.gov/19107978</t>
  </si>
  <si>
    <t>10.1111/j.1365-2141.2009.07622.x</t>
  </si>
  <si>
    <t>https://pubmed.ncbi.nlm.nih.gov/19222466</t>
  </si>
  <si>
    <t>Hubele F</t>
  </si>
  <si>
    <t>10.1097/RLU.0b013e31824c5e2f</t>
  </si>
  <si>
    <t>https://pubmed.ncbi.nlm.nih.gov/22691524</t>
  </si>
  <si>
    <t>Hudson AW</t>
  </si>
  <si>
    <t>10.1016/j.coviro.2014.09.009</t>
  </si>
  <si>
    <t>https://pubmed.ncbi.nlm.nih.gov/25462451</t>
  </si>
  <si>
    <t>10.1097/00007890-200202270-00021</t>
  </si>
  <si>
    <t>https://pubmed.ncbi.nlm.nih.gov/11889438</t>
  </si>
  <si>
    <t>10.1086/315391</t>
  </si>
  <si>
    <t>https://pubmed.ncbi.nlm.nih.gov/10762575</t>
  </si>
  <si>
    <t>10.1034/j.1600-6143.2002.20511.x</t>
  </si>
  <si>
    <t>https://pubmed.ncbi.nlm.nih.gov/12123213</t>
  </si>
  <si>
    <t>10.1097/01.tp.0000230432.39447.8b</t>
  </si>
  <si>
    <t>https://pubmed.ncbi.nlm.nih.gov/16858271</t>
  </si>
  <si>
    <t>10.1002/lt.21266</t>
  </si>
  <si>
    <t>https://pubmed.ncbi.nlm.nih.gov/17902128</t>
  </si>
  <si>
    <t>Husain EH</t>
  </si>
  <si>
    <t>10.1097/INF.0b013e318250084a</t>
  </si>
  <si>
    <t>https://pubmed.ncbi.nlm.nih.gov/22414904</t>
  </si>
  <si>
    <t>Hüser D</t>
  </si>
  <si>
    <t>10.1128/JVI.02137-16</t>
  </si>
  <si>
    <t>https://pubmed.ncbi.nlm.nih.gov/27928011</t>
  </si>
  <si>
    <t>Hwang J</t>
  </si>
  <si>
    <t>10.12779/dnd.2016.15.3.88</t>
  </si>
  <si>
    <t>https://pubmed.ncbi.nlm.nih.gov/30906348</t>
  </si>
  <si>
    <t>Iampietro M</t>
  </si>
  <si>
    <t>10.1128/JVI.02107-14</t>
  </si>
  <si>
    <t>https://pubmed.ncbi.nlm.nih.gov/25122795</t>
  </si>
  <si>
    <t>10.1002/eji.201444931</t>
  </si>
  <si>
    <t>https://pubmed.ncbi.nlm.nih.gov/25243920</t>
  </si>
  <si>
    <t>Ichimi R</t>
  </si>
  <si>
    <t>10.1002/(sici)1096-9071(199905)58:1&lt;63::aid-jmv10&gt;3.0.co;2-c</t>
  </si>
  <si>
    <t>https://pubmed.ncbi.nlm.nih.gov/10223548</t>
  </si>
  <si>
    <t>Idutsu K</t>
  </si>
  <si>
    <t>https://pubmed.ncbi.nlm.nih.gov/17867305</t>
  </si>
  <si>
    <t>10.1002/jmv.24513</t>
  </si>
  <si>
    <t>https://pubmed.ncbi.nlm.nih.gov/26945690</t>
  </si>
  <si>
    <t>10.1016/j.jviromet.2010.01.025</t>
  </si>
  <si>
    <t>https://pubmed.ncbi.nlm.nih.gov/20138915</t>
  </si>
  <si>
    <t>10.1111/j.1348-0421.2001.tb02611.x</t>
  </si>
  <si>
    <t>https://pubmed.ncbi.nlm.nih.gov/11345532</t>
  </si>
  <si>
    <t>Ikegame K</t>
  </si>
  <si>
    <t>10.1007/s12185-012-1231-6</t>
  </si>
  <si>
    <t>https://pubmed.ncbi.nlm.nih.gov/23271411</t>
  </si>
  <si>
    <t>Imataki O</t>
  </si>
  <si>
    <t>10.1016/j.jcv.2015.06.097</t>
  </si>
  <si>
    <t>https://pubmed.ncbi.nlm.nih.gov/26209402</t>
  </si>
  <si>
    <t>10.1002/ccr3.753</t>
  </si>
  <si>
    <t>https://pubmed.ncbi.nlm.nih.gov/28096984</t>
  </si>
  <si>
    <t>Inaoka M</t>
  </si>
  <si>
    <t>10.1016/j.tox.2004.12.011</t>
  </si>
  <si>
    <t>https://pubmed.ncbi.nlm.nih.gov/15767029</t>
  </si>
  <si>
    <t>Inoue K</t>
  </si>
  <si>
    <t>10.1111/tid.13331</t>
  </si>
  <si>
    <t>https://pubmed.ncbi.nlm.nih.gov/32424944</t>
  </si>
  <si>
    <t>Inoue Y</t>
  </si>
  <si>
    <t>10.1128/JVI.71.5.3751-3759.1997</t>
  </si>
  <si>
    <t>https://pubmed.ncbi.nlm.nih.gov/9094650</t>
  </si>
  <si>
    <t>Irie K</t>
  </si>
  <si>
    <t>10.1093/jac/dkad117</t>
  </si>
  <si>
    <t>https://pubmed.ncbi.nlm.nih.gov/37071595</t>
  </si>
  <si>
    <t>Isegawa Y</t>
  </si>
  <si>
    <t>10.1016/j.jcv.2008.09.002</t>
  </si>
  <si>
    <t>https://pubmed.ncbi.nlm.nih.gov/18952495</t>
  </si>
  <si>
    <t>Ishio T</t>
  </si>
  <si>
    <t>10.1155/2015/949265</t>
  </si>
  <si>
    <t>https://pubmed.ncbi.nlm.nih.gov/25650037</t>
  </si>
  <si>
    <t>Isomura H</t>
  </si>
  <si>
    <t>10.1099/0022-1317-81-3-663</t>
  </si>
  <si>
    <t>https://pubmed.ncbi.nlm.nih.gov/10675403</t>
  </si>
  <si>
    <t>10.1002/(sici)1096-9071(199708)52:4&lt;406::aid-jmv11&gt;3.0.co;2-e</t>
  </si>
  <si>
    <t>https://pubmed.ncbi.nlm.nih.gov/9260689</t>
  </si>
  <si>
    <t>10.1002/jmv.10415</t>
  </si>
  <si>
    <t>https://pubmed.ncbi.nlm.nih.gov/12767009</t>
  </si>
  <si>
    <t>Ito T</t>
  </si>
  <si>
    <t>10.1080/01635581.2014.884232</t>
  </si>
  <si>
    <t>https://pubmed.ncbi.nlm.nih.gov/24611562</t>
  </si>
  <si>
    <t>Ito Y</t>
  </si>
  <si>
    <t>10.1016/j.jiac.2019.07.016</t>
  </si>
  <si>
    <t>https://pubmed.ncbi.nlm.nih.gov/31421950</t>
  </si>
  <si>
    <t>Itzhaki RF</t>
  </si>
  <si>
    <t>10.3390/vaccines9060679</t>
  </si>
  <si>
    <t>https://pubmed.ncbi.nlm.nih.gov/34205498</t>
  </si>
  <si>
    <t>Izquierdo L</t>
  </si>
  <si>
    <t>10.3390/v14010062</t>
  </si>
  <si>
    <t>https://pubmed.ncbi.nlm.nih.gov/35062266</t>
  </si>
  <si>
    <t>Jackson MA</t>
  </si>
  <si>
    <t>10.1097/00006454-200206000-00016</t>
  </si>
  <si>
    <t>https://pubmed.ncbi.nlm.nih.gov/12182383</t>
  </si>
  <si>
    <t>Jacobs F</t>
  </si>
  <si>
    <t>10.1097/01.TP.0000058809.42027.66</t>
  </si>
  <si>
    <t>https://pubmed.ncbi.nlm.nih.gov/12829900</t>
  </si>
  <si>
    <t>https://pubmed.ncbi.nlm.nih.gov/7998088</t>
  </si>
  <si>
    <t>Jakhmola S</t>
  </si>
  <si>
    <t>10.1016/j.compbiomed.2022.105856</t>
  </si>
  <si>
    <t>https://pubmed.ncbi.nlm.nih.gov/35863244</t>
  </si>
  <si>
    <t>Jamalidoust M</t>
  </si>
  <si>
    <t>10.6002/ect.2019.0119</t>
  </si>
  <si>
    <t>https://pubmed.ncbi.nlm.nih.gov/31724929</t>
  </si>
  <si>
    <t>Janelle ME</t>
  </si>
  <si>
    <t>10.1074/jbc.M203041200</t>
  </si>
  <si>
    <t>https://pubmed.ncbi.nlm.nih.gov/12068008</t>
  </si>
  <si>
    <t>10.1007/s00705-005-0715-6</t>
  </si>
  <si>
    <t>https://pubmed.ncbi.nlm.nih.gov/16474928</t>
  </si>
  <si>
    <t>Jang H</t>
  </si>
  <si>
    <t>10.1097/MD.0000000000010377</t>
  </si>
  <si>
    <t>https://pubmed.ncbi.nlm.nih.gov/29642192</t>
  </si>
  <si>
    <t>Janoly-Duménil A</t>
  </si>
  <si>
    <t>10.1038/sj.bmt.1705518</t>
  </si>
  <si>
    <t>https://pubmed.ncbi.nlm.nih.gov/17013421</t>
  </si>
  <si>
    <t>Jarrett RF</t>
  </si>
  <si>
    <t>https://pubmed.ncbi.nlm.nih.gov/3412023</t>
  </si>
  <si>
    <t>Jasirwan C</t>
  </si>
  <si>
    <t>10.1111/1348-0421.12208</t>
  </si>
  <si>
    <t>https://pubmed.ncbi.nlm.nih.gov/25346365</t>
  </si>
  <si>
    <t>Jaworska J</t>
  </si>
  <si>
    <t>10.1128/JVI.02443-06</t>
  </si>
  <si>
    <t>https://pubmed.ncbi.nlm.nih.gov/17376932</t>
  </si>
  <si>
    <t>10.1073/pnas.0909951107</t>
  </si>
  <si>
    <t>https://pubmed.ncbi.nlm.nih.gov/20404187</t>
  </si>
  <si>
    <t>Jenson HB</t>
  </si>
  <si>
    <t>10.1002/1096-8652(200008)64:4&lt;237::aid-ajh1&gt;3.0.co;2-d</t>
  </si>
  <si>
    <t>https://pubmed.ncbi.nlm.nih.gov/10911374</t>
  </si>
  <si>
    <t>10.1097/TP.0b013e3181bb98e4</t>
  </si>
  <si>
    <t>https://pubmed.ncbi.nlm.nih.gov/19898212</t>
  </si>
  <si>
    <t>Ji YH</t>
  </si>
  <si>
    <t>10.3760/cma.j.issn.0253-2727.2019.02.006</t>
  </si>
  <si>
    <t>https://pubmed.ncbi.nlm.nih.gov/30831627</t>
  </si>
  <si>
    <t>Jiang W</t>
  </si>
  <si>
    <t>10.1007/s11899-019-00521-z</t>
  </si>
  <si>
    <t>https://pubmed.ncbi.nlm.nih.gov/31228095</t>
  </si>
  <si>
    <t>Johnson S</t>
  </si>
  <si>
    <t>10.1111/his.13157</t>
  </si>
  <si>
    <t>https://pubmed.ncbi.nlm.nih.gov/28008656</t>
  </si>
  <si>
    <t>Johnston RE</t>
  </si>
  <si>
    <t>10.1046/j.1365-2141.1999.01443.x</t>
  </si>
  <si>
    <t>https://pubmed.ncbi.nlm.nih.gov/10554818</t>
  </si>
  <si>
    <t>Jothimani D</t>
  </si>
  <si>
    <t>10.1016/j.bpg.2020.101689</t>
  </si>
  <si>
    <t>https://pubmed.ncbi.nlm.nih.gov/33158469</t>
  </si>
  <si>
    <t>10.3109/10428199809059218</t>
  </si>
  <si>
    <t>https://pubmed.ncbi.nlm.nih.gov/9869189</t>
  </si>
  <si>
    <t>Kagialis-Girard S</t>
  </si>
  <si>
    <t>10.1002/pbc.20667</t>
  </si>
  <si>
    <t>https://pubmed.ncbi.nlm.nih.gov/16333831</t>
  </si>
  <si>
    <t>Kakalacheva K</t>
  </si>
  <si>
    <t>10.1016/j.bbadis.2010.06.012</t>
  </si>
  <si>
    <t>https://pubmed.ncbi.nlm.nih.gov/20600868</t>
  </si>
  <si>
    <t>Kakimoto M</t>
  </si>
  <si>
    <t>10.1128/jvi.76.20.10338-10345.2002</t>
  </si>
  <si>
    <t>https://pubmed.ncbi.nlm.nih.gov/12239310</t>
  </si>
  <si>
    <t>Kakisaka Y</t>
  </si>
  <si>
    <t>10.1620/tjem.228.351</t>
  </si>
  <si>
    <t>https://pubmed.ncbi.nlm.nih.gov/23138414</t>
  </si>
  <si>
    <t>Kamble RT</t>
  </si>
  <si>
    <t>10.1038/sj.bmt.1705780</t>
  </si>
  <si>
    <t>https://pubmed.ncbi.nlm.nih.gov/17637686</t>
  </si>
  <si>
    <t>Kangro HO</t>
  </si>
  <si>
    <t>10.1002/jmv.1890430117</t>
  </si>
  <si>
    <t>https://pubmed.ncbi.nlm.nih.gov/8083655</t>
  </si>
  <si>
    <t>Kano Y</t>
  </si>
  <si>
    <t>10.1111/j.1365-2133.2006.07238.x</t>
  </si>
  <si>
    <t>https://pubmed.ncbi.nlm.nih.gov/16882166</t>
  </si>
  <si>
    <t>Kapur N</t>
  </si>
  <si>
    <t>10.1002/(SICI)1098-1063(1999)9:3&lt;247::AID-HIPO5&gt;3.0.CO;2-W</t>
  </si>
  <si>
    <t>https://pubmed.ncbi.nlm.nih.gov/10401640</t>
  </si>
  <si>
    <t>Karasuno T</t>
  </si>
  <si>
    <t>https://pubmed.ncbi.nlm.nih.gov/16615443</t>
  </si>
  <si>
    <t>Karlsson T</t>
  </si>
  <si>
    <t>10.1016/j.jviromet.2012.01.007</t>
  </si>
  <si>
    <t>https://pubmed.ncbi.nlm.nih.gov/22301197</t>
  </si>
  <si>
    <t>Karras A</t>
  </si>
  <si>
    <t>10.1097/01.TP.0000107285.86939.37</t>
  </si>
  <si>
    <t>https://pubmed.ncbi.nlm.nih.gov/14742988</t>
  </si>
  <si>
    <t>Kasberg-Koniarczyk HL</t>
  </si>
  <si>
    <t>10.6004/jadpro.2014.5.5.8</t>
  </si>
  <si>
    <t>https://pubmed.ncbi.nlm.nih.gov/26114018</t>
  </si>
  <si>
    <t>Kashanchi F</t>
  </si>
  <si>
    <t>10.1006/viro.1994.1269</t>
  </si>
  <si>
    <t>https://pubmed.ncbi.nlm.nih.gov/8178493</t>
  </si>
  <si>
    <t>Kasimir F</t>
  </si>
  <si>
    <t>10.3389/fmolb.2022.1044964</t>
  </si>
  <si>
    <t>https://pubmed.ncbi.nlm.nih.gov/36589231</t>
  </si>
  <si>
    <t>Katagiri S</t>
  </si>
  <si>
    <t>10.1016/j.jiac.2021.05.016</t>
  </si>
  <si>
    <t>https://pubmed.ncbi.nlm.nih.gov/34083146</t>
  </si>
  <si>
    <t>Kato Y</t>
  </si>
  <si>
    <t>10.1128/JCM.02192-13</t>
  </si>
  <si>
    <t>https://pubmed.ncbi.nlm.nih.gov/24478470</t>
  </si>
  <si>
    <t>https://pubmed.ncbi.nlm.nih.gov/1337563</t>
  </si>
  <si>
    <t>Katsafanas GC</t>
  </si>
  <si>
    <t>10.1073/pnas.93.18.9788</t>
  </si>
  <si>
    <t>https://pubmed.ncbi.nlm.nih.gov/8790409</t>
  </si>
  <si>
    <t>Kaufman MD</t>
  </si>
  <si>
    <t>10.1006/jtbi.1998.0734</t>
  </si>
  <si>
    <t>https://pubmed.ncbi.nlm.nih.gov/9745761</t>
  </si>
  <si>
    <t>Kawabata A</t>
  </si>
  <si>
    <t>10.1016/j.virol.2012.03.027</t>
  </si>
  <si>
    <t>https://pubmed.ncbi.nlm.nih.gov/22537811</t>
  </si>
  <si>
    <t>10.1128/JVI.05622-11</t>
  </si>
  <si>
    <t>https://pubmed.ncbi.nlm.nih.gov/21957287</t>
  </si>
  <si>
    <t>10.1099/vir.0.069336-0</t>
  </si>
  <si>
    <t>https://pubmed.ncbi.nlm.nih.gov/25209806</t>
  </si>
  <si>
    <t>Kawaguchi T</t>
  </si>
  <si>
    <t>10.1111/tid.12029</t>
  </si>
  <si>
    <t>https://pubmed.ncbi.nlm.nih.gov/23173742</t>
  </si>
  <si>
    <t>Kawamoto S</t>
  </si>
  <si>
    <t>10.2169/internalmedicine.52.9432</t>
  </si>
  <si>
    <t>https://pubmed.ncbi.nlm.nih.gov/23676599</t>
  </si>
  <si>
    <t>Kawamura M</t>
  </si>
  <si>
    <t>https://pubmed.ncbi.nlm.nih.gov/18044207</t>
  </si>
  <si>
    <t>https://pubmed.ncbi.nlm.nih.gov/21400833</t>
  </si>
  <si>
    <t>10.1002/jmv.23788</t>
  </si>
  <si>
    <t>https://pubmed.ncbi.nlm.nih.gov/24132547</t>
  </si>
  <si>
    <t>10.1038/bmt.2012.42</t>
  </si>
  <si>
    <t>https://pubmed.ncbi.nlm.nih.gov/22388278</t>
  </si>
  <si>
    <t>Kawano Y</t>
  </si>
  <si>
    <t>10.1038/sj.bmt.1702220</t>
  </si>
  <si>
    <t>https://pubmed.ncbi.nlm.nih.gov/10745266</t>
  </si>
  <si>
    <t>Keil T</t>
  </si>
  <si>
    <t>10.3389/fmicb.2020.01862</t>
  </si>
  <si>
    <t>https://pubmed.ncbi.nlm.nih.gov/32903425</t>
  </si>
  <si>
    <t>Keller MD</t>
  </si>
  <si>
    <t>10.1182/blood.2019000924</t>
  </si>
  <si>
    <t>https://pubmed.ncbi.nlm.nih.gov/31942610</t>
  </si>
  <si>
    <t>Kempf W</t>
  </si>
  <si>
    <t>10.1034/j.1600-0560.2001.280103.x</t>
  </si>
  <si>
    <t>https://pubmed.ncbi.nlm.nih.gov/11168749</t>
  </si>
  <si>
    <t>10.1073/pnas.94.14.7600</t>
  </si>
  <si>
    <t>https://pubmed.ncbi.nlm.nih.gov/9207138</t>
  </si>
  <si>
    <t>10.1016/s1386-6532(99)00083-9</t>
  </si>
  <si>
    <t>https://pubmed.ncbi.nlm.nih.gov/10738138</t>
  </si>
  <si>
    <t>Kenigsberg S</t>
  </si>
  <si>
    <t>https://pubmed.ncbi.nlm.nih.gov/9153879</t>
  </si>
  <si>
    <t>Kennedy PGE</t>
  </si>
  <si>
    <t>10.1007/s00415-020-10265-z</t>
  </si>
  <si>
    <t>https://pubmed.ncbi.nlm.nih.gov/33048220</t>
  </si>
  <si>
    <t>Kharchenko Y</t>
  </si>
  <si>
    <t>https://pubmed.ncbi.nlm.nih.gov/30958288</t>
  </si>
  <si>
    <t>Khare MD</t>
  </si>
  <si>
    <t>10.1517/14656566.2.2.213</t>
  </si>
  <si>
    <t>https://pubmed.ncbi.nlm.nih.gov/11336581</t>
  </si>
  <si>
    <t>Khoddami M</t>
  </si>
  <si>
    <t>10.5812/ijp.673</t>
  </si>
  <si>
    <t>https://pubmed.ncbi.nlm.nih.gov/27307972</t>
  </si>
  <si>
    <t>Kholodnyuk I</t>
  </si>
  <si>
    <t>10.3390/medicina55100630</t>
  </si>
  <si>
    <t>https://pubmed.ncbi.nlm.nih.gov/31554310</t>
  </si>
  <si>
    <t>Kida K</t>
  </si>
  <si>
    <t>10.1046/j.1442-200x.2000.01315.x</t>
  </si>
  <si>
    <t>https://pubmed.ncbi.nlm.nih.gov/11192519</t>
  </si>
  <si>
    <t>Kidd IM</t>
  </si>
  <si>
    <t>10.1097/00007890-200006150-00032</t>
  </si>
  <si>
    <t>https://pubmed.ncbi.nlm.nih.gov/10868648</t>
  </si>
  <si>
    <t>Kikuta H</t>
  </si>
  <si>
    <t>10.1093/infdis/162.1.35</t>
  </si>
  <si>
    <t>https://pubmed.ncbi.nlm.nih.gov/1693942</t>
  </si>
  <si>
    <t>10.1093/infdis/163.4.925</t>
  </si>
  <si>
    <t>https://pubmed.ncbi.nlm.nih.gov/1849169</t>
  </si>
  <si>
    <t>10.1093/infdis/161.6.1085</t>
  </si>
  <si>
    <t>https://pubmed.ncbi.nlm.nih.gov/2161036</t>
  </si>
  <si>
    <t>Kim D</t>
  </si>
  <si>
    <t>10.1038/s41591-019-0733-7</t>
  </si>
  <si>
    <t>https://pubmed.ncbi.nlm.nih.gov/31959990</t>
  </si>
  <si>
    <t>Kim JS</t>
  </si>
  <si>
    <t>10.1159/000008158</t>
  </si>
  <si>
    <t>https://pubmed.ncbi.nlm.nih.gov/10765058</t>
  </si>
  <si>
    <t>Kimberlin DW</t>
  </si>
  <si>
    <t>10.1097/00006454-199801000-00013</t>
  </si>
  <si>
    <t>https://pubmed.ncbi.nlm.nih.gov/9469397</t>
  </si>
  <si>
    <t>Kirby B</t>
  </si>
  <si>
    <t>10.1080/000155500300012738</t>
  </si>
  <si>
    <t>https://pubmed.ncbi.nlm.nih.gov/11243630</t>
  </si>
  <si>
    <t>Kitabayashi A</t>
  </si>
  <si>
    <t>https://pubmed.ncbi.nlm.nih.gov/10846461</t>
  </si>
  <si>
    <t>Klussmann JP</t>
  </si>
  <si>
    <t>10.1007/s004280050051</t>
  </si>
  <si>
    <t>https://pubmed.ncbi.nlm.nih.gov/9174632</t>
  </si>
  <si>
    <t>Knox KK</t>
  </si>
  <si>
    <t>10.1086/318141</t>
  </si>
  <si>
    <t>https://pubmed.ncbi.nlm.nih.gov/11049767</t>
  </si>
  <si>
    <t>10.1097/00042560-199604010-00007</t>
  </si>
  <si>
    <t>https://pubmed.ncbi.nlm.nih.gov/8601223</t>
  </si>
  <si>
    <t>10.1093/infdis/165.5.925</t>
  </si>
  <si>
    <t>https://pubmed.ncbi.nlm.nih.gov/1314872</t>
  </si>
  <si>
    <t>10.1093/clinids/20.2.406</t>
  </si>
  <si>
    <t>https://pubmed.ncbi.nlm.nih.gov/7742449</t>
  </si>
  <si>
    <t>10.1093/clinids/22.1.174</t>
  </si>
  <si>
    <t>https://pubmed.ncbi.nlm.nih.gov/8824992</t>
  </si>
  <si>
    <t>https://pubmed.ncbi.nlm.nih.gov/7712236</t>
  </si>
  <si>
    <t>https://pubmed.ncbi.nlm.nih.gov/7911957</t>
  </si>
  <si>
    <t>Kobayashi D</t>
  </si>
  <si>
    <t>10.1111/j.1399-3062.2011.00693.x</t>
  </si>
  <si>
    <t>https://pubmed.ncbi.nlm.nih.gov/22093262</t>
  </si>
  <si>
    <t>Kobayashi N</t>
  </si>
  <si>
    <t>10.1016/j.isci.2020.101187</t>
  </si>
  <si>
    <t>https://pubmed.ncbi.nlm.nih.gov/32534440</t>
  </si>
  <si>
    <t>Koch WC</t>
  </si>
  <si>
    <t>10.1097/00001432-200106000-00016</t>
  </si>
  <si>
    <t>https://pubmed.ncbi.nlm.nih.gov/11964854</t>
  </si>
  <si>
    <t>Kofman A</t>
  </si>
  <si>
    <t>10.1007/s11060-011-0658-6</t>
  </si>
  <si>
    <t>https://pubmed.ncbi.nlm.nih.gov/21720806</t>
  </si>
  <si>
    <t>Koide W</t>
  </si>
  <si>
    <t>10.1089/vim.1998.11.19</t>
  </si>
  <si>
    <t>https://pubmed.ncbi.nlm.nih.gov/9586694</t>
  </si>
  <si>
    <t>Kokkali S</t>
  </si>
  <si>
    <t>10.1177/1078155220918022</t>
  </si>
  <si>
    <t>https://pubmed.ncbi.nlm.nih.gov/32299316</t>
  </si>
  <si>
    <t>Komaroff AL</t>
  </si>
  <si>
    <t>https://pubmed.ncbi.nlm.nih.gov/17147913</t>
  </si>
  <si>
    <t>https://pubmed.ncbi.nlm.nih.gov/2691680</t>
  </si>
  <si>
    <t>Kondo K</t>
  </si>
  <si>
    <t>10.1002/jmv.10082</t>
  </si>
  <si>
    <t>https://pubmed.ncbi.nlm.nih.gov/12116029</t>
  </si>
  <si>
    <t>10.1128/jvi.77.3.2258-2264.2003</t>
  </si>
  <si>
    <t>https://pubmed.ncbi.nlm.nih.gov/12525662</t>
  </si>
  <si>
    <t>https://pubmed.ncbi.nlm.nih.gov/16615527</t>
  </si>
  <si>
    <t>10.1099/0022-1317-72-6-1401</t>
  </si>
  <si>
    <t>https://pubmed.ncbi.nlm.nih.gov/1646280</t>
  </si>
  <si>
    <t>https://pubmed.ncbi.nlm.nih.gov/9465670</t>
  </si>
  <si>
    <t>https://pubmed.ncbi.nlm.nih.gov/21348064</t>
  </si>
  <si>
    <t>Kong H</t>
  </si>
  <si>
    <t>10.1080/13550280390241241</t>
  </si>
  <si>
    <t>https://pubmed.ncbi.nlm.nih.gov/13129768</t>
  </si>
  <si>
    <t>Koo S</t>
  </si>
  <si>
    <t>10.1111/tid.13645</t>
  </si>
  <si>
    <t>https://pubmed.ncbi.nlm.nih.gov/34022099</t>
  </si>
  <si>
    <t>Koshizuka T</t>
  </si>
  <si>
    <t>10.1038/s41598-018-22682-2</t>
  </si>
  <si>
    <t>https://pubmed.ncbi.nlm.nih.gov/29535361</t>
  </si>
  <si>
    <t>Kositanont U</t>
  </si>
  <si>
    <t>https://pubmed.ncbi.nlm.nih.gov/8703244</t>
  </si>
  <si>
    <t>Kosuge H</t>
  </si>
  <si>
    <t>10.1016/s0923-1811(99)00086-9</t>
  </si>
  <si>
    <t>https://pubmed.ncbi.nlm.nih.gov/10698157</t>
  </si>
  <si>
    <t>Koukoulias K</t>
  </si>
  <si>
    <t>10.3389/fimmu.2023.1299512</t>
  </si>
  <si>
    <t>https://pubmed.ncbi.nlm.nih.gov/38187380</t>
  </si>
  <si>
    <t>Koukourgianni F</t>
  </si>
  <si>
    <t>10.1007/s00467-009-1237-3</t>
  </si>
  <si>
    <t>https://pubmed.ncbi.nlm.nih.gov/19582481</t>
  </si>
  <si>
    <t>Describes case of HHV-6 related DIHS after 3 months of carbamazepine</t>
  </si>
  <si>
    <t>Kourí V</t>
  </si>
  <si>
    <t>10.1086/368089</t>
  </si>
  <si>
    <t>https://pubmed.ncbi.nlm.nih.gov/12627369</t>
  </si>
  <si>
    <t>10.1186/2193-1801-3-247</t>
  </si>
  <si>
    <t>https://pubmed.ncbi.nlm.nih.gov/24877035</t>
  </si>
  <si>
    <t>Kouzuki K</t>
  </si>
  <si>
    <t>10.11406/rinketsu.55.2418</t>
  </si>
  <si>
    <t>https://pubmed.ncbi.nlm.nih.gov/25744043</t>
  </si>
  <si>
    <t>Kozireva S</t>
  </si>
  <si>
    <t>10.1007/s002770100359</t>
  </si>
  <si>
    <t>https://pubmed.ncbi.nlm.nih.gov/11757726</t>
  </si>
  <si>
    <t>Krueger GR</t>
  </si>
  <si>
    <t>10.1016/s0344-0338(89)80299-7</t>
  </si>
  <si>
    <t>https://pubmed.ncbi.nlm.nih.gov/2559396</t>
  </si>
  <si>
    <t>https://pubmed.ncbi.nlm.nih.gov/7893980</t>
  </si>
  <si>
    <t>https://pubmed.ncbi.nlm.nih.gov/7893974</t>
  </si>
  <si>
    <t>https://pubmed.ncbi.nlm.nih.gov/11887330</t>
  </si>
  <si>
    <t>https://pubmed.ncbi.nlm.nih.gov/12174928</t>
  </si>
  <si>
    <t>https://pubmed.ncbi.nlm.nih.gov/11695232</t>
  </si>
  <si>
    <t>https://pubmed.ncbi.nlm.nih.gov/15015596</t>
  </si>
  <si>
    <t>https://pubmed.ncbi.nlm.nih.gov/12680203</t>
  </si>
  <si>
    <t>10.1016/0166-0934(88)90059-6</t>
  </si>
  <si>
    <t>https://pubmed.ncbi.nlm.nih.gov/2846608</t>
  </si>
  <si>
    <t>https://pubmed.ncbi.nlm.nih.gov/2560617</t>
  </si>
  <si>
    <t>https://pubmed.ncbi.nlm.nih.gov/11887337</t>
  </si>
  <si>
    <t>https://pubmed.ncbi.nlm.nih.gov/12073776</t>
  </si>
  <si>
    <t>Kubo T</t>
  </si>
  <si>
    <t>10.1080/00365540600740520</t>
  </si>
  <si>
    <t>https://pubmed.ncbi.nlm.nih.gov/17148094</t>
  </si>
  <si>
    <t>Kühn JE</t>
  </si>
  <si>
    <t>10.1159/000025258</t>
  </si>
  <si>
    <t>https://pubmed.ncbi.nlm.nih.gov/10878482</t>
  </si>
  <si>
    <t>Kumagai T</t>
  </si>
  <si>
    <t>10.1002/jmv.20625</t>
  </si>
  <si>
    <t>https://pubmed.ncbi.nlm.nih.gov/16628576</t>
  </si>
  <si>
    <t>10.1002/jmv.23862</t>
  </si>
  <si>
    <t>https://pubmed.ncbi.nlm.nih.gov/24395026</t>
  </si>
  <si>
    <t>Kumar D</t>
  </si>
  <si>
    <t>10.1097/QCO.0b013e32833bc19d</t>
  </si>
  <si>
    <t>https://pubmed.ncbi.nlm.nih.gov/20592533</t>
  </si>
  <si>
    <t>Kuntzen T</t>
  </si>
  <si>
    <t>10.1097/00042737-200510000-00020</t>
  </si>
  <si>
    <t>https://pubmed.ncbi.nlm.nih.gov/16148562</t>
  </si>
  <si>
    <t>Kurata T</t>
  </si>
  <si>
    <t>10.1007/978-1-4684-5853-4_5</t>
  </si>
  <si>
    <t>https://pubmed.ncbi.nlm.nih.gov/1963044</t>
  </si>
  <si>
    <t>Kuribayashi K</t>
  </si>
  <si>
    <t>10.2169/internalmedicine.45.1507</t>
  </si>
  <si>
    <t>https://pubmed.ncbi.nlm.nih.gov/16679705</t>
  </si>
  <si>
    <t>Kusakin AV</t>
  </si>
  <si>
    <t>10.3390/genes14020521</t>
  </si>
  <si>
    <t>https://pubmed.ncbi.nlm.nih.gov/36833448</t>
  </si>
  <si>
    <t>Kushch AA</t>
  </si>
  <si>
    <t>10.36233/0507-4088-2020-65-6-2</t>
  </si>
  <si>
    <t>https://pubmed.ncbi.nlm.nih.gov/33533228</t>
  </si>
  <si>
    <t>Kusne S</t>
  </si>
  <si>
    <t>10.1002/lt.20667</t>
  </si>
  <si>
    <t>https://pubmed.ncbi.nlm.nih.gov/16382451</t>
  </si>
  <si>
    <t>Kusuhara K</t>
  </si>
  <si>
    <t>10.1111/j.1348-0421.1997.tb01206.x</t>
  </si>
  <si>
    <t>https://pubmed.ncbi.nlm.nih.gov/9159404</t>
  </si>
  <si>
    <t>Kuwahara-Ota S</t>
  </si>
  <si>
    <t>10.2147/IDR.S163686</t>
  </si>
  <si>
    <t>https://pubmed.ncbi.nlm.nih.gov/29785130</t>
  </si>
  <si>
    <t>L'vov ND</t>
  </si>
  <si>
    <t>https://pubmed.ncbi.nlm.nih.gov/10392432</t>
  </si>
  <si>
    <t>Lagadinou ED</t>
  </si>
  <si>
    <t>10.1111/j.1399-3062.2010.00515.x</t>
  </si>
  <si>
    <t>https://pubmed.ncbi.nlm.nih.gov/20561301</t>
  </si>
  <si>
    <t>Lamoth F</t>
  </si>
  <si>
    <t>10.1002/jmv.21268</t>
  </si>
  <si>
    <t>https://pubmed.ncbi.nlm.nih.gov/18712834</t>
  </si>
  <si>
    <t>Lanari M</t>
  </si>
  <si>
    <t>10.1002/jmv.10441</t>
  </si>
  <si>
    <t>https://pubmed.ncbi.nlm.nih.gov/12794728</t>
  </si>
  <si>
    <t>Larcher C</t>
  </si>
  <si>
    <t>https://pubmed.ncbi.nlm.nih.gov/2548350</t>
  </si>
  <si>
    <t>Lareau CA</t>
  </si>
  <si>
    <t>10.1038/s41586-023-06704-2</t>
  </si>
  <si>
    <t>https://pubmed.ncbi.nlm.nih.gov/37938768</t>
  </si>
  <si>
    <t>Lasch JA</t>
  </si>
  <si>
    <t>10.1007/s001050050428</t>
  </si>
  <si>
    <t>https://pubmed.ncbi.nlm.nih.gov/8707578</t>
  </si>
  <si>
    <t>Lau YL</t>
  </si>
  <si>
    <t>10.1038/sj.bmt.1701230</t>
  </si>
  <si>
    <t>https://pubmed.ncbi.nlm.nih.gov/9632282</t>
  </si>
  <si>
    <t>Lautenschlager I</t>
  </si>
  <si>
    <t>10.1111/j.1432-2277.2012.01443.x</t>
  </si>
  <si>
    <t>https://pubmed.ncbi.nlm.nih.gov/22356254</t>
  </si>
  <si>
    <t>10.1097/00007890-200006270-00015</t>
  </si>
  <si>
    <t>https://pubmed.ncbi.nlm.nih.gov/10910277</t>
  </si>
  <si>
    <t>10.1086/514592</t>
  </si>
  <si>
    <t>https://pubmed.ncbi.nlm.nih.gov/9524848</t>
  </si>
  <si>
    <t>10.1007/s001470050359</t>
  </si>
  <si>
    <t>https://pubmed.ncbi.nlm.nih.gov/11112030</t>
  </si>
  <si>
    <t>10.1016/s1386-6532(02)00101-4</t>
  </si>
  <si>
    <t>https://pubmed.ncbi.nlm.nih.gov/12361757</t>
  </si>
  <si>
    <t>https://pubmed.ncbi.nlm.nih.gov/21805894</t>
  </si>
  <si>
    <t>10.1016/s0168-8278(02)00246-5</t>
  </si>
  <si>
    <t>https://pubmed.ncbi.nlm.nih.gov/12399232</t>
  </si>
  <si>
    <t>10.1016/s0041-1345(98)01717-5</t>
  </si>
  <si>
    <t>https://pubmed.ncbi.nlm.nih.gov/10083199</t>
  </si>
  <si>
    <t>Le Cleach L</t>
  </si>
  <si>
    <t>10.1001/archderm.134.6.759</t>
  </si>
  <si>
    <t>https://pubmed.ncbi.nlm.nih.gov/9645656</t>
  </si>
  <si>
    <t>Le J</t>
  </si>
  <si>
    <t>10.1111/ajt.12106</t>
  </si>
  <si>
    <t>https://pubmed.ncbi.nlm.nih.gov/23465006</t>
  </si>
  <si>
    <t>Lecointe D</t>
  </si>
  <si>
    <t>https://pubmed.ncbi.nlm.nih.gov/11173737</t>
  </si>
  <si>
    <t>Lee S</t>
  </si>
  <si>
    <t>10.1186/s12882-023-03127-z</t>
  </si>
  <si>
    <t>https://pubmed.ncbi.nlm.nih.gov/36964509</t>
  </si>
  <si>
    <t>Lee SO</t>
  </si>
  <si>
    <t>10.1111/j.1399-3062.2011.00715.x</t>
  </si>
  <si>
    <t>https://pubmed.ncbi.nlm.nih.gov/22321264</t>
  </si>
  <si>
    <t>10.1093/ndt/gfr259</t>
  </si>
  <si>
    <t>https://pubmed.ncbi.nlm.nih.gov/21565944</t>
  </si>
  <si>
    <t>10.1097/TP.0b013e318222444a</t>
  </si>
  <si>
    <t>https://pubmed.ncbi.nlm.nih.gov/21629177</t>
  </si>
  <si>
    <t>10.1093/infdis/jiab402</t>
  </si>
  <si>
    <t>https://pubmed.ncbi.nlm.nih.gov/34370861</t>
  </si>
  <si>
    <t>Lehericey M</t>
  </si>
  <si>
    <t>10.1002/ccr3.3033</t>
  </si>
  <si>
    <t>https://pubmed.ncbi.nlm.nih.gov/33088521</t>
  </si>
  <si>
    <t>Lehikoinen J</t>
  </si>
  <si>
    <t>10.1016/j.clim.2023.109733</t>
  </si>
  <si>
    <t>https://pubmed.ncbi.nlm.nih.gov/37572949</t>
  </si>
  <si>
    <t>Lehto JT</t>
  </si>
  <si>
    <t>10.1016/j.healun.2006.10.017</t>
  </si>
  <si>
    <t>https://pubmed.ncbi.nlm.nih.gov/17234516</t>
  </si>
  <si>
    <t>Leiskau C</t>
  </si>
  <si>
    <t>10.1016/j.jhep.2022.12.012</t>
  </si>
  <si>
    <t>https://pubmed.ncbi.nlm.nih.gov/36572350</t>
  </si>
  <si>
    <t>Leite JL</t>
  </si>
  <si>
    <t>10.1111/j.1432-2277.2006.00346.x</t>
  </si>
  <si>
    <t>https://pubmed.ncbi.nlm.nih.gov/16918534</t>
  </si>
  <si>
    <t>Lempinen M</t>
  </si>
  <si>
    <t>10.1111/j.1432-2277.2012.01502.x</t>
  </si>
  <si>
    <t>https://pubmed.ncbi.nlm.nih.gov/22616807</t>
  </si>
  <si>
    <t>Lenfant T</t>
  </si>
  <si>
    <t>10.1016/j.revmed.2019.10.335</t>
  </si>
  <si>
    <t>https://pubmed.ncbi.nlm.nih.gov/31722836</t>
  </si>
  <si>
    <t>Lennette ET</t>
  </si>
  <si>
    <t>10.1089/aid.2005.21.869</t>
  </si>
  <si>
    <t>https://pubmed.ncbi.nlm.nih.gov/16225414</t>
  </si>
  <si>
    <t>Levine PH</t>
  </si>
  <si>
    <t>https://pubmed.ncbi.nlm.nih.gov/1394174</t>
  </si>
  <si>
    <t>Levy JA</t>
  </si>
  <si>
    <t>10.1016/0042-6822(90)90384-4</t>
  </si>
  <si>
    <t>https://pubmed.ncbi.nlm.nih.gov/1975142</t>
  </si>
  <si>
    <t>Li C</t>
  </si>
  <si>
    <t>https://pubmed.ncbi.nlm.nih.gov/12515195</t>
  </si>
  <si>
    <t>10.1046/j.1365-2249.1997.4661362.x</t>
  </si>
  <si>
    <t>https://pubmed.ncbi.nlm.nih.gov/9328116</t>
  </si>
  <si>
    <t>Li L</t>
  </si>
  <si>
    <t>10.1007/s00705-013-1826-0</t>
  </si>
  <si>
    <t>https://pubmed.ncbi.nlm.nih.gov/24013234</t>
  </si>
  <si>
    <t>10.1128/JVI.02577-10</t>
  </si>
  <si>
    <t>https://pubmed.ncbi.nlm.nih.gov/21525341</t>
  </si>
  <si>
    <t>Li M</t>
  </si>
  <si>
    <t>10.1016/j.nmni.2023.101203</t>
  </si>
  <si>
    <t>https://pubmed.ncbi.nlm.nih.gov/38146348</t>
  </si>
  <si>
    <t>Liatsos C</t>
  </si>
  <si>
    <t>10.1046/j.1365-2141.2001.02628.x</t>
  </si>
  <si>
    <t>https://pubmed.ncbi.nlm.nih.gov/11380440</t>
  </si>
  <si>
    <t>Lin K</t>
  </si>
  <si>
    <t>10.1006/viro.1998.9348</t>
  </si>
  <si>
    <t>https://pubmed.ncbi.nlm.nih.gov/9770435</t>
  </si>
  <si>
    <t>Lin WC</t>
  </si>
  <si>
    <t>10.3109/10428199909058439</t>
  </si>
  <si>
    <t>https://pubmed.ncbi.nlm.nih.gov/10221519</t>
  </si>
  <si>
    <t>Linhares MI</t>
  </si>
  <si>
    <t>https://pubmed.ncbi.nlm.nih.gov/8268822</t>
  </si>
  <si>
    <t>Linn YC</t>
  </si>
  <si>
    <t>10.1016/j.jcyt.2023.02.003</t>
  </si>
  <si>
    <t>https://pubmed.ncbi.nlm.nih.gov/36882347</t>
  </si>
  <si>
    <t>Lino K</t>
  </si>
  <si>
    <t>10.1002/jmv.27392</t>
  </si>
  <si>
    <t>https://pubmed.ncbi.nlm.nih.gov/34647632</t>
  </si>
  <si>
    <t>Lisco A</t>
  </si>
  <si>
    <t>10.1128/JVI.01367-06</t>
  </si>
  <si>
    <t>https://pubmed.ncbi.nlm.nih.gov/17065205</t>
  </si>
  <si>
    <t>Littler E</t>
  </si>
  <si>
    <t>10.1128/JVI.64.2.714-722.1990</t>
  </si>
  <si>
    <t>https://pubmed.ncbi.nlm.nih.gov/2153237</t>
  </si>
  <si>
    <t>Liu D</t>
  </si>
  <si>
    <t>10.1007/s12250-018-0063-9</t>
  </si>
  <si>
    <t>https://pubmed.ncbi.nlm.nih.gov/30374827</t>
  </si>
  <si>
    <t>Liu DL</t>
  </si>
  <si>
    <t>https://pubmed.ncbi.nlm.nih.gov/8607365</t>
  </si>
  <si>
    <t>Liu DX</t>
  </si>
  <si>
    <t>10.1099/0022-1317-74-9-1847</t>
  </si>
  <si>
    <t>https://pubmed.ncbi.nlm.nih.gov/8397282</t>
  </si>
  <si>
    <t>Liu JL</t>
  </si>
  <si>
    <t>https://pubmed.ncbi.nlm.nih.gov/15151761</t>
  </si>
  <si>
    <t>10.1016/S1386-6532(06)70018-X</t>
  </si>
  <si>
    <t>https://pubmed.ncbi.nlm.nih.gov/17276376</t>
  </si>
  <si>
    <t>10.1182/blood.2020005448</t>
  </si>
  <si>
    <t>https://pubmed.ncbi.nlm.nih.gov/32324868</t>
  </si>
  <si>
    <t>https://pubmed.ncbi.nlm.nih.gov/9630332</t>
  </si>
  <si>
    <t>10.1038/bmt.2008.162</t>
  </si>
  <si>
    <t>https://pubmed.ncbi.nlm.nih.gov/18587440</t>
  </si>
  <si>
    <t>10.1086/342962</t>
  </si>
  <si>
    <t>https://pubmed.ncbi.nlm.nih.gov/12353194</t>
  </si>
  <si>
    <t>10.1046/j.1365-2141.2002.03515.x</t>
  </si>
  <si>
    <t>https://pubmed.ncbi.nlm.nih.gov/12100127</t>
  </si>
  <si>
    <t>10.1007/s12185-010-0570-4</t>
  </si>
  <si>
    <t>https://pubmed.ncbi.nlm.nih.gov/20414752</t>
  </si>
  <si>
    <t>Lo Schiavo A</t>
  </si>
  <si>
    <t>10.1016/j.clindermatol.2013.01.006</t>
  </si>
  <si>
    <t>https://pubmed.ncbi.nlm.nih.gov/23806156</t>
  </si>
  <si>
    <t>Loginov R</t>
  </si>
  <si>
    <t>10.1007/s10096-010-0923-1</t>
  </si>
  <si>
    <t>https://pubmed.ncbi.nlm.nih.gov/20407819</t>
  </si>
  <si>
    <t>10.1016/S1386-6532(06)70016-6</t>
  </si>
  <si>
    <t>https://pubmed.ncbi.nlm.nih.gov/17276374</t>
  </si>
  <si>
    <t>10.1016/j.jcv.2006.06.012</t>
  </si>
  <si>
    <t>https://pubmed.ncbi.nlm.nih.gov/16931140</t>
  </si>
  <si>
    <t>Lopez C</t>
  </si>
  <si>
    <t>10.1093/infdis/157.6.1271</t>
  </si>
  <si>
    <t>https://pubmed.ncbi.nlm.nih.gov/3259614</t>
  </si>
  <si>
    <t>Lorenzana A</t>
  </si>
  <si>
    <t>10.1097/00043426-200202000-00016</t>
  </si>
  <si>
    <t>https://pubmed.ncbi.nlm.nih.gov/11990701</t>
  </si>
  <si>
    <t>Loutfy SA</t>
  </si>
  <si>
    <t>10.1186/1743-422X-7-287</t>
  </si>
  <si>
    <t>https://pubmed.ncbi.nlm.nih.gov/20979645</t>
  </si>
  <si>
    <t>Luiz CR</t>
  </si>
  <si>
    <t>10.1097/TP.0b013e3182807ab7</t>
  </si>
  <si>
    <t>https://pubmed.ncbi.nlm.nih.gov/23354300</t>
  </si>
  <si>
    <t>Luka J</t>
  </si>
  <si>
    <t>10.1016/0140-6736(91)92148-u</t>
  </si>
  <si>
    <t>https://pubmed.ncbi.nlm.nih.gov/1682676</t>
  </si>
  <si>
    <t>10.1002/jcla.1860040617</t>
  </si>
  <si>
    <t>https://pubmed.ncbi.nlm.nih.gov/2178187</t>
  </si>
  <si>
    <t>Lunel F</t>
  </si>
  <si>
    <t>10.1016/0753-3322(96)82605-9</t>
  </si>
  <si>
    <t>https://pubmed.ncbi.nlm.nih.gov/7647283</t>
  </si>
  <si>
    <t>Lünemann JD</t>
  </si>
  <si>
    <t>10.1002/ana.21886</t>
  </si>
  <si>
    <t>https://pubmed.ncbi.nlm.nih.gov/20225269</t>
  </si>
  <si>
    <t>Luo J</t>
  </si>
  <si>
    <t>10.3760/cma.j.issn.0253-2727.2019.02.012</t>
  </si>
  <si>
    <t>https://pubmed.ncbi.nlm.nih.gov/30831633</t>
  </si>
  <si>
    <t>Luo M</t>
  </si>
  <si>
    <t>https://pubmed.ncbi.nlm.nih.gov/11938764</t>
  </si>
  <si>
    <t>Luppi M</t>
  </si>
  <si>
    <t>10.1128/JVI.73.1.754-759.1999</t>
  </si>
  <si>
    <t>https://pubmed.ncbi.nlm.nih.gov/9847383</t>
  </si>
  <si>
    <t>10.1093/infdis/168.4.1074</t>
  </si>
  <si>
    <t>https://pubmed.ncbi.nlm.nih.gov/8397264</t>
  </si>
  <si>
    <t>Lusso P</t>
  </si>
  <si>
    <t>10.1016/s0950-3536(05)80238-0</t>
  </si>
  <si>
    <t>https://pubmed.ncbi.nlm.nih.gov/7663047</t>
  </si>
  <si>
    <t>10.1016/S1386-6532(06)70004-X</t>
  </si>
  <si>
    <t>https://pubmed.ncbi.nlm.nih.gov/17276368</t>
  </si>
  <si>
    <t>10.1016/0167-5699(95)80090-5</t>
  </si>
  <si>
    <t>https://pubmed.ncbi.nlm.nih.gov/7888069</t>
  </si>
  <si>
    <t>https://pubmed.ncbi.nlm.nih.gov/1677024</t>
  </si>
  <si>
    <t>10.1038/362458a0</t>
  </si>
  <si>
    <t>https://pubmed.ncbi.nlm.nih.gov/7681936</t>
  </si>
  <si>
    <t>10.1089/aid.1994.10.181</t>
  </si>
  <si>
    <t>https://pubmed.ncbi.nlm.nih.gov/8198870</t>
  </si>
  <si>
    <t>10.1128/JVI.64.6.2751-2758.1990</t>
  </si>
  <si>
    <t>https://pubmed.ncbi.nlm.nih.gov/2159541</t>
  </si>
  <si>
    <t>10.1038/349533a0</t>
  </si>
  <si>
    <t>https://pubmed.ncbi.nlm.nih.gov/1846951</t>
  </si>
  <si>
    <t>10.1084/jem.181.4.1303</t>
  </si>
  <si>
    <t>https://pubmed.ncbi.nlm.nih.gov/7699322</t>
  </si>
  <si>
    <t>10.1084/jem.167.5.1659</t>
  </si>
  <si>
    <t>https://pubmed.ncbi.nlm.nih.gov/3259254</t>
  </si>
  <si>
    <t>10.1038/337370a0</t>
  </si>
  <si>
    <t>https://pubmed.ncbi.nlm.nih.gov/2463490</t>
  </si>
  <si>
    <t>10.1016/s0140-6736(87)91103-2</t>
  </si>
  <si>
    <t>https://pubmed.ncbi.nlm.nih.gov/2888966</t>
  </si>
  <si>
    <t>Lv DY</t>
  </si>
  <si>
    <t>https://pubmed.ncbi.nlm.nih.gov/21604575</t>
  </si>
  <si>
    <t>Ma J</t>
  </si>
  <si>
    <t>10.1128/JVI.00311-20</t>
  </si>
  <si>
    <t>https://pubmed.ncbi.nlm.nih.gov/32295911</t>
  </si>
  <si>
    <t>Ma X</t>
  </si>
  <si>
    <t>https://pubmed.ncbi.nlm.nih.gov/11876972</t>
  </si>
  <si>
    <t>https://pubmed.ncbi.nlm.nih.gov/10800159</t>
  </si>
  <si>
    <t>Machuca I</t>
  </si>
  <si>
    <t>10.1016/j.eimc.2020.04.003</t>
  </si>
  <si>
    <t>https://pubmed.ncbi.nlm.nih.gov/32439137</t>
  </si>
  <si>
    <t>MacLean HJ</t>
  </si>
  <si>
    <t>10.1097/00007890-200204150-00012</t>
  </si>
  <si>
    <t>https://pubmed.ncbi.nlm.nih.gov/11965036</t>
  </si>
  <si>
    <t>Maes L</t>
  </si>
  <si>
    <t>10.1007/s13760-021-01828-6</t>
  </si>
  <si>
    <t>https://pubmed.ncbi.nlm.nih.gov/35349121</t>
  </si>
  <si>
    <t>Magalhães GS</t>
  </si>
  <si>
    <t>10.1016/j.transproceed.2013.01.095</t>
  </si>
  <si>
    <t>https://pubmed.ncbi.nlm.nih.gov/23769093</t>
  </si>
  <si>
    <t>Maggi U</t>
  </si>
  <si>
    <t>10.1016/j.transproceed.2011.01.142</t>
  </si>
  <si>
    <t>https://pubmed.ncbi.nlm.nih.gov/21620083</t>
  </si>
  <si>
    <t>Mah J</t>
  </si>
  <si>
    <t>10.1016/j.plabm.2023.e00329</t>
  </si>
  <si>
    <t>https://pubmed.ncbi.nlm.nih.gov/37649537</t>
  </si>
  <si>
    <t>Mahé E</t>
  </si>
  <si>
    <t>10.1097/01.TP.0000102459.25647.C6</t>
  </si>
  <si>
    <t>https://pubmed.ncbi.nlm.nih.gov/14966435</t>
  </si>
  <si>
    <t>Mahmoud NF</t>
  </si>
  <si>
    <t>10.1016/j.virol.2015.12.011</t>
  </si>
  <si>
    <t>https://pubmed.ncbi.nlm.nih.gov/26761397</t>
  </si>
  <si>
    <t>10.1016/j.virol.2015.12.018</t>
  </si>
  <si>
    <t>https://pubmed.ncbi.nlm.nih.gov/26802210</t>
  </si>
  <si>
    <t>Maisch B</t>
  </si>
  <si>
    <t>10.1007/s00059-012-3679-9</t>
  </si>
  <si>
    <t>https://pubmed.ncbi.nlm.nih.gov/22996288</t>
  </si>
  <si>
    <t>10.1007/s10741-012-9362-7</t>
  </si>
  <si>
    <t>https://pubmed.ncbi.nlm.nih.gov/23225133</t>
  </si>
  <si>
    <t>Malahe SRK</t>
  </si>
  <si>
    <t>10.3390/v15071595</t>
  </si>
  <si>
    <t>https://pubmed.ncbi.nlm.nih.gov/37515280</t>
  </si>
  <si>
    <t>Malnati MS</t>
  </si>
  <si>
    <t>10.1084/jem.178.3.961</t>
  </si>
  <si>
    <t>https://pubmed.ncbi.nlm.nih.gov/8394407</t>
  </si>
  <si>
    <t>Mancone S</t>
  </si>
  <si>
    <t>10.5334/tohm.657</t>
  </si>
  <si>
    <t>https://pubmed.ncbi.nlm.nih.gov/34721942</t>
  </si>
  <si>
    <t>Mangini S</t>
  </si>
  <si>
    <t>10.1016/j.ijcard.2014.10.133</t>
  </si>
  <si>
    <t>https://pubmed.ncbi.nlm.nih.gov/25442238</t>
  </si>
  <si>
    <t>Manservigi R</t>
  </si>
  <si>
    <t>10.1016/0147-9571(91)90123-u</t>
  </si>
  <si>
    <t>https://pubmed.ncbi.nlm.nih.gov/1657514</t>
  </si>
  <si>
    <t>Manuel O</t>
  </si>
  <si>
    <t>10.1097/TP.0b013e3181963262</t>
  </si>
  <si>
    <t>https://pubmed.ncbi.nlm.nih.gov/19295317</t>
  </si>
  <si>
    <t>Mao YS</t>
  </si>
  <si>
    <t>10.1016/j.expneurol.2007.04.015</t>
  </si>
  <si>
    <t>https://pubmed.ncbi.nlm.nih.gov/17617406</t>
  </si>
  <si>
    <t>Marcelis S</t>
  </si>
  <si>
    <t>10.5334/jbsr.2885</t>
  </si>
  <si>
    <t>https://pubmed.ncbi.nlm.nih.gov/36310678</t>
  </si>
  <si>
    <t>Marci R</t>
  </si>
  <si>
    <t>10.1371/journal.pone.0158304</t>
  </si>
  <si>
    <t>https://pubmed.ncbi.nlm.nih.gov/27367597</t>
  </si>
  <si>
    <t>Maric I</t>
  </si>
  <si>
    <t>10.1038/modpathol.3800179</t>
  </si>
  <si>
    <t>https://pubmed.ncbi.nlm.nih.gov/15494709</t>
  </si>
  <si>
    <t>Markel MK</t>
  </si>
  <si>
    <t>10.1111/j.1399-3046.2008.00951.x</t>
  </si>
  <si>
    <t>https://pubmed.ncbi.nlm.nih.gov/18433408</t>
  </si>
  <si>
    <t>10.1002/eji.201242439</t>
  </si>
  <si>
    <t>https://pubmed.ncbi.nlm.nih.gov/22886850</t>
  </si>
  <si>
    <t>Martin ME</t>
  </si>
  <si>
    <t>10.1128/JVI.65.10.5381-5390.1991</t>
  </si>
  <si>
    <t>https://pubmed.ncbi.nlm.nih.gov/1654446</t>
  </si>
  <si>
    <t>Mason A</t>
  </si>
  <si>
    <t>10.1002/hep.510240608</t>
  </si>
  <si>
    <t>https://pubmed.ncbi.nlm.nih.gov/8938162</t>
  </si>
  <si>
    <t>Matsuda Y</t>
  </si>
  <si>
    <t>10.1038/sj.bmt.1702003</t>
  </si>
  <si>
    <t>https://pubmed.ncbi.nlm.nih.gov/10516706</t>
  </si>
  <si>
    <t>10.1038/sj.bmt.1701095</t>
  </si>
  <si>
    <t>https://pubmed.ncbi.nlm.nih.gov/9509968</t>
  </si>
  <si>
    <t>Matsuura M</t>
  </si>
  <si>
    <t>10.1186/1743-422X-8-9</t>
  </si>
  <si>
    <t>https://pubmed.ncbi.nlm.nih.gov/21219662</t>
  </si>
  <si>
    <t>Matutes E</t>
  </si>
  <si>
    <t>10.1046/j.1365-2141.2001.03220.x</t>
  </si>
  <si>
    <t>https://pubmed.ncbi.nlm.nih.gov/11843812</t>
  </si>
  <si>
    <t>Mayne M</t>
  </si>
  <si>
    <t>10.1128/JVI.75.23.11641-11650.2001</t>
  </si>
  <si>
    <t>https://pubmed.ncbi.nlm.nih.gov/11689646</t>
  </si>
  <si>
    <t>10.1002/ana.410440317</t>
  </si>
  <si>
    <t>https://pubmed.ncbi.nlm.nih.gov/9749608</t>
  </si>
  <si>
    <t>McClain KL</t>
  </si>
  <si>
    <t>10.1182/asheducation-2004.1.283</t>
  </si>
  <si>
    <t>https://pubmed.ncbi.nlm.nih.gov/15561688</t>
  </si>
  <si>
    <t>McMichael G</t>
  </si>
  <si>
    <t>10.3109/14767058.2012.666587</t>
  </si>
  <si>
    <t>https://pubmed.ncbi.nlm.nih.gov/22372783</t>
  </si>
  <si>
    <t>Mees ST</t>
  </si>
  <si>
    <t>10.1089/sur.2013.083</t>
  </si>
  <si>
    <t>https://pubmed.ncbi.nlm.nih.gov/24801397</t>
  </si>
  <si>
    <t>Meeuwsen S</t>
  </si>
  <si>
    <t>10.1016/j.jneuroim.2005.03.013</t>
  </si>
  <si>
    <t>https://pubmed.ncbi.nlm.nih.gov/15904975</t>
  </si>
  <si>
    <t>Meier UC</t>
  </si>
  <si>
    <t>10.3389/fimmu.2021.757302</t>
  </si>
  <si>
    <t>https://pubmed.ncbi.nlm.nih.gov/34790199</t>
  </si>
  <si>
    <t>Mekheal E</t>
  </si>
  <si>
    <t>10.7759/cureus.23007</t>
  </si>
  <si>
    <t>https://pubmed.ncbi.nlm.nih.gov/35415058</t>
  </si>
  <si>
    <t>Mendez JC</t>
  </si>
  <si>
    <t>10.1086/317929</t>
  </si>
  <si>
    <t>https://pubmed.ncbi.nlm.nih.gov/11120923</t>
  </si>
  <si>
    <t>Menotti L</t>
  </si>
  <si>
    <t>10.1128/JVI.73.1.325-333.1999</t>
  </si>
  <si>
    <t>https://pubmed.ncbi.nlm.nih.gov/9847336</t>
  </si>
  <si>
    <t>Merelli E</t>
  </si>
  <si>
    <t>10.1007/s004150050121</t>
  </si>
  <si>
    <t>https://pubmed.ncbi.nlm.nih.gov/9266465</t>
  </si>
  <si>
    <t>10.1016/0022-510x(95)00319-w</t>
  </si>
  <si>
    <t>https://pubmed.ncbi.nlm.nih.gov/9120486</t>
  </si>
  <si>
    <t>Merlino C</t>
  </si>
  <si>
    <t>https://pubmed.ncbi.nlm.nih.gov/1329241</t>
  </si>
  <si>
    <t>10.1097/00007890-199206000-00047</t>
  </si>
  <si>
    <t>https://pubmed.ncbi.nlm.nih.gov/1318588</t>
  </si>
  <si>
    <t>Michaelides A</t>
  </si>
  <si>
    <t>10.1086/341456</t>
  </si>
  <si>
    <t>https://pubmed.ncbi.nlm.nih.gov/12134252</t>
  </si>
  <si>
    <t>Michálek J</t>
  </si>
  <si>
    <t>10.1080/088800199276976</t>
  </si>
  <si>
    <t>https://pubmed.ncbi.nlm.nih.gov/10505318</t>
  </si>
  <si>
    <t>Michel D</t>
  </si>
  <si>
    <t>10.1016/s0140-6736(94)92121-0</t>
  </si>
  <si>
    <t>https://pubmed.ncbi.nlm.nih.gov/7915373</t>
  </si>
  <si>
    <t>Mine S</t>
  </si>
  <si>
    <t>10.1016/j.jcv.2014.08.025</t>
  </si>
  <si>
    <t>https://pubmed.ncbi.nlm.nih.gov/25249343</t>
  </si>
  <si>
    <t>Mineri R</t>
  </si>
  <si>
    <t>10.4084/MJHID.2018.013</t>
  </si>
  <si>
    <t>https://pubmed.ncbi.nlm.nih.gov/29531650</t>
  </si>
  <si>
    <t>Mirsattari SM</t>
  </si>
  <si>
    <t>10.1212/wnl.56.3.317</t>
  </si>
  <si>
    <t>https://pubmed.ncbi.nlm.nih.gov/11171895</t>
  </si>
  <si>
    <t>Mitsui Y</t>
  </si>
  <si>
    <t>10.1016/j.jaip.2021.10.042</t>
  </si>
  <si>
    <t>https://pubmed.ncbi.nlm.nih.gov/34757063</t>
  </si>
  <si>
    <t>Mitxelena J</t>
  </si>
  <si>
    <t>10.1046/j.1365-4362.2003.01636.x</t>
  </si>
  <si>
    <t>https://pubmed.ncbi.nlm.nih.gov/12581135</t>
  </si>
  <si>
    <t>10.1002/jmv.25244</t>
  </si>
  <si>
    <t>https://pubmed.ncbi.nlm.nih.gov/29905966</t>
  </si>
  <si>
    <t>10.1111/tid.12419</t>
  </si>
  <si>
    <t>https://pubmed.ncbi.nlm.nih.gov/26176562</t>
  </si>
  <si>
    <t>Miura T</t>
  </si>
  <si>
    <t>10.1111/ijd.14091</t>
  </si>
  <si>
    <t>https://pubmed.ncbi.nlm.nih.gov/29907960</t>
  </si>
  <si>
    <t>Miyagawa F</t>
  </si>
  <si>
    <t>10.2340/00015555-2791</t>
  </si>
  <si>
    <t>https://pubmed.ncbi.nlm.nih.gov/28902954</t>
  </si>
  <si>
    <t>10.1016/j.jdermsci.2016.05.001</t>
  </si>
  <si>
    <t>https://pubmed.ncbi.nlm.nih.gov/27174092</t>
  </si>
  <si>
    <t>10.2340/00015555-3465</t>
  </si>
  <si>
    <t>https://pubmed.ncbi.nlm.nih.gov/32201900</t>
  </si>
  <si>
    <t>10.3390/ijms22042147</t>
  </si>
  <si>
    <t>https://pubmed.ncbi.nlm.nih.gov/33670052</t>
  </si>
  <si>
    <t>Miyagawa H</t>
  </si>
  <si>
    <t>10.1097/00001432-199906000-00016</t>
  </si>
  <si>
    <t>https://pubmed.ncbi.nlm.nih.gov/17035788</t>
  </si>
  <si>
    <t>Miyata M</t>
  </si>
  <si>
    <t>https://pubmed.ncbi.nlm.nih.gov/8125426</t>
  </si>
  <si>
    <t>Miyazaki M</t>
  </si>
  <si>
    <t>10.3748/wjg.v17.i44.4928</t>
  </si>
  <si>
    <t>https://pubmed.ncbi.nlm.nih.gov/22171136</t>
  </si>
  <si>
    <t>Mlechkovich G</t>
  </si>
  <si>
    <t>10.1128/JVI.01496-07</t>
  </si>
  <si>
    <t>https://pubmed.ncbi.nlm.nih.gov/17913805</t>
  </si>
  <si>
    <t>Mocarski Jr. E S</t>
  </si>
  <si>
    <t>https://pubmed.ncbi.nlm.nih.gov/21348118</t>
  </si>
  <si>
    <t>Moling O</t>
  </si>
  <si>
    <t>10.12659/msm.883198</t>
  </si>
  <si>
    <t>https://pubmed.ncbi.nlm.nih.gov/22739739</t>
  </si>
  <si>
    <t>Montejo M</t>
  </si>
  <si>
    <t>10.1159/000066172</t>
  </si>
  <si>
    <t>https://pubmed.ncbi.nlm.nih.gov/12422078</t>
  </si>
  <si>
    <t>Montoya JG</t>
  </si>
  <si>
    <t>10.1002/jmv.23713</t>
  </si>
  <si>
    <t>https://pubmed.ncbi.nlm.nih.gov/23959519</t>
  </si>
  <si>
    <t>Mookerjee BP</t>
  </si>
  <si>
    <t>10.1038/sj.bmt.1700988</t>
  </si>
  <si>
    <t>https://pubmed.ncbi.nlm.nih.gov/9404935</t>
  </si>
  <si>
    <t>Mordenti P</t>
  </si>
  <si>
    <t>10.1159/000360616</t>
  </si>
  <si>
    <t>https://pubmed.ncbi.nlm.nih.gov/24852190</t>
  </si>
  <si>
    <t>Morfopoulou S</t>
  </si>
  <si>
    <t>10.1038/s41586-023-06003-w</t>
  </si>
  <si>
    <t>https://pubmed.ncbi.nlm.nih.gov/36996872</t>
  </si>
  <si>
    <t>Mori J</t>
  </si>
  <si>
    <t>10.1371/journal.pone.0137420</t>
  </si>
  <si>
    <t>https://pubmed.ncbi.nlm.nih.gov/26340541</t>
  </si>
  <si>
    <t>Mori S</t>
  </si>
  <si>
    <t>10.1532/LH96.05027</t>
  </si>
  <si>
    <t>https://pubmed.ncbi.nlm.nih.gov/16174601</t>
  </si>
  <si>
    <t>10.1111/j.1399-3062.2009.00430.x</t>
  </si>
  <si>
    <t>https://pubmed.ncbi.nlm.nih.gov/19656346</t>
  </si>
  <si>
    <t>10.1080/00365540600904803</t>
  </si>
  <si>
    <t>https://pubmed.ncbi.nlm.nih.gov/17366067</t>
  </si>
  <si>
    <t>Infant with SCID, osteopetrosis, ciHHV-6, and hemophagocytic syndrome</t>
  </si>
  <si>
    <t>10.1111/j.1600-0854.2008.00796.x</t>
  </si>
  <si>
    <t>https://pubmed.ncbi.nlm.nih.gov/18637904</t>
  </si>
  <si>
    <t>10.1128/jvi.77.4.2452-2458.2003</t>
  </si>
  <si>
    <t>https://pubmed.ncbi.nlm.nih.gov/12551983</t>
  </si>
  <si>
    <t>10.1128/jvi.78.9.4609-4616.2004</t>
  </si>
  <si>
    <t>https://pubmed.ncbi.nlm.nih.gov/15078943</t>
  </si>
  <si>
    <t>Morinet F</t>
  </si>
  <si>
    <t>10.1002/stem.725</t>
  </si>
  <si>
    <t>https://pubmed.ncbi.nlm.nih.gov/21898692</t>
  </si>
  <si>
    <t>Morita D</t>
  </si>
  <si>
    <t>10.1111/tid.12579</t>
  </si>
  <si>
    <t>https://pubmed.ncbi.nlm.nih.gov/27459097</t>
  </si>
  <si>
    <t>Morita S</t>
  </si>
  <si>
    <t>https://pubmed.ncbi.nlm.nih.gov/12833890</t>
  </si>
  <si>
    <t>Morris C</t>
  </si>
  <si>
    <t>10.1002/(sici)1096-9071(199905)58:1&lt;69::aid-jmv11&gt;3.0.co;2-3</t>
  </si>
  <si>
    <t>https://pubmed.ncbi.nlm.nih.gov/10223549</t>
  </si>
  <si>
    <t>Morris DJ</t>
  </si>
  <si>
    <t>https://pubmed.ncbi.nlm.nih.gov/2542794</t>
  </si>
  <si>
    <t>Morrone LF</t>
  </si>
  <si>
    <t>https://pubmed.ncbi.nlm.nih.gov/12195400</t>
  </si>
  <si>
    <t>Morse SS</t>
  </si>
  <si>
    <t>10.1084/jem.169.2.591</t>
  </si>
  <si>
    <t>https://pubmed.ncbi.nlm.nih.gov/2562985</t>
  </si>
  <si>
    <t>https://pubmed.ncbi.nlm.nih.gov/10568761</t>
  </si>
  <si>
    <t>Mousset S</t>
  </si>
  <si>
    <t>10.1007/s00277-011-1354-5</t>
  </si>
  <si>
    <t>https://pubmed.ncbi.nlm.nih.gov/22048789</t>
  </si>
  <si>
    <t>Moutschen M</t>
  </si>
  <si>
    <t>10.1080/17843286.1994.11718404</t>
  </si>
  <si>
    <t>https://pubmed.ncbi.nlm.nih.gov/7871934</t>
  </si>
  <si>
    <t>Mueller KAL</t>
  </si>
  <si>
    <t>10.1002/ehf2.12298</t>
  </si>
  <si>
    <t>https://pubmed.ncbi.nlm.nih.gov/30168657</t>
  </si>
  <si>
    <t>Müller R</t>
  </si>
  <si>
    <t>10.1016/j.jviromet.2008.10.014</t>
  </si>
  <si>
    <t>https://pubmed.ncbi.nlm.nih.gov/19022297</t>
  </si>
  <si>
    <t>Murakami Y</t>
  </si>
  <si>
    <t>10.1186/1743-422X-7-91</t>
  </si>
  <si>
    <t>https://pubmed.ncbi.nlm.nih.gov/20459723</t>
  </si>
  <si>
    <t>Muramatsu H</t>
  </si>
  <si>
    <t>10.1038/bmt.2008.268</t>
  </si>
  <si>
    <t>https://pubmed.ncbi.nlm.nih.gov/18762769</t>
  </si>
  <si>
    <t>10.1038/sj.bmt.1704770</t>
  </si>
  <si>
    <t>https://pubmed.ncbi.nlm.nih.gov/15608657</t>
  </si>
  <si>
    <t>Mysore KR</t>
  </si>
  <si>
    <t>10.1093/jpids/piaa166</t>
  </si>
  <si>
    <t>https://pubmed.ncbi.nlm.nih.gov/33491073</t>
  </si>
  <si>
    <t>10.1038/s41598-019-40372-5</t>
  </si>
  <si>
    <t>https://pubmed.ncbi.nlm.nih.gov/30846739</t>
  </si>
  <si>
    <t>Nagore E</t>
  </si>
  <si>
    <t>10.1046/j.1365-2133.2000.03657.x</t>
  </si>
  <si>
    <t>https://pubmed.ncbi.nlm.nih.gov/10951139</t>
  </si>
  <si>
    <t>Najima Y</t>
  </si>
  <si>
    <t>https://pubmed.ncbi.nlm.nih.gov/18277595</t>
  </si>
  <si>
    <t>Nakamura-Nishimura Y</t>
  </si>
  <si>
    <t>10.1111/bjd.16132</t>
  </si>
  <si>
    <t>https://pubmed.ncbi.nlm.nih.gov/29150836</t>
  </si>
  <si>
    <t>Nakano S</t>
  </si>
  <si>
    <t>10.1016/j.ajo.2019.10.031</t>
  </si>
  <si>
    <t>https://pubmed.ncbi.nlm.nih.gov/31785234</t>
  </si>
  <si>
    <t>10.1167/iovs.16-20556</t>
  </si>
  <si>
    <t>https://pubmed.ncbi.nlm.nih.gov/28282487</t>
  </si>
  <si>
    <t>10.1093/infdis/jiz625</t>
  </si>
  <si>
    <t>https://pubmed.ncbi.nlm.nih.gov/31891386</t>
  </si>
  <si>
    <t>Nakayama T</t>
  </si>
  <si>
    <t>10.1259/bjr/19375793</t>
  </si>
  <si>
    <t>https://pubmed.ncbi.nlm.nih.gov/21088083</t>
  </si>
  <si>
    <t>Nakayama-Ichiyama S</t>
  </si>
  <si>
    <t>10.1007/s00277-011-1165-8</t>
  </si>
  <si>
    <t>https://pubmed.ncbi.nlm.nih.gov/21302114</t>
  </si>
  <si>
    <t>Nakazato T</t>
  </si>
  <si>
    <t>10.1007/s12185-009-0449-4</t>
  </si>
  <si>
    <t>https://pubmed.ncbi.nlm.nih.gov/19937484</t>
  </si>
  <si>
    <t>Namdari S</t>
  </si>
  <si>
    <t>10.1111/1348-0421.13026</t>
  </si>
  <si>
    <t>https://pubmed.ncbi.nlm.nih.gov/36073532</t>
  </si>
  <si>
    <t>Nash PJ</t>
  </si>
  <si>
    <t>10.1111/j.1600-6143.2004.00459.x</t>
  </si>
  <si>
    <t>https://pubmed.ncbi.nlm.nih.gov/15196083</t>
  </si>
  <si>
    <t>Nastke MD</t>
  </si>
  <si>
    <t>10.1128/JVI.06573-11</t>
  </si>
  <si>
    <t>https://pubmed.ncbi.nlm.nih.gov/22357271</t>
  </si>
  <si>
    <t>Nefzi F</t>
  </si>
  <si>
    <t>10.1111/1348-0421.12452</t>
  </si>
  <si>
    <t>https://pubmed.ncbi.nlm.nih.gov/27862208</t>
  </si>
  <si>
    <t>10.1038/bmt.2008.272</t>
  </si>
  <si>
    <t>https://pubmed.ncbi.nlm.nih.gov/18762768</t>
  </si>
  <si>
    <t>Neurohr C</t>
  </si>
  <si>
    <t>10.1111/j.1600-6143.2005.01103.x</t>
  </si>
  <si>
    <t>https://pubmed.ncbi.nlm.nih.gov/16303014</t>
  </si>
  <si>
    <t>Newcombe DS</t>
  </si>
  <si>
    <t>10.1016/0140-6736(92)90349-8</t>
  </si>
  <si>
    <t>https://pubmed.ncbi.nlm.nih.gov/1346889</t>
  </si>
  <si>
    <t>Neyts J</t>
  </si>
  <si>
    <t>10.1124/mol.53.1.157</t>
  </si>
  <si>
    <t>https://pubmed.ncbi.nlm.nih.gov/9443944</t>
  </si>
  <si>
    <t>Nigro G</t>
  </si>
  <si>
    <t>10.1097/00006454-199510000-00014</t>
  </si>
  <si>
    <t>https://pubmed.ncbi.nlm.nih.gov/8584318</t>
  </si>
  <si>
    <t>Niiya H</t>
  </si>
  <si>
    <t>10.1016/j.exphem.2006.02.001</t>
  </si>
  <si>
    <t>https://pubmed.ncbi.nlm.nih.gov/16647570</t>
  </si>
  <si>
    <t>Nikolaou K</t>
  </si>
  <si>
    <t>https://pubmed.ncbi.nlm.nih.gov/12828339</t>
  </si>
  <si>
    <t>Nishikai M</t>
  </si>
  <si>
    <t>https://pubmed.ncbi.nlm.nih.gov/1337560</t>
  </si>
  <si>
    <t>Nishimoto M</t>
  </si>
  <si>
    <t>10.2169/internalmedicine.51.6640</t>
  </si>
  <si>
    <t>https://pubmed.ncbi.nlm.nih.gov/22687802</t>
  </si>
  <si>
    <t>Nishimura M</t>
  </si>
  <si>
    <t>10.1016/bs.aivir.2019.05.005</t>
  </si>
  <si>
    <t>https://pubmed.ncbi.nlm.nih.gov/31439151</t>
  </si>
  <si>
    <t>Nishimura N</t>
  </si>
  <si>
    <t>10.1002/jmv.20241</t>
  </si>
  <si>
    <t>https://pubmed.ncbi.nlm.nih.gov/15543572</t>
  </si>
  <si>
    <t>Nishio D</t>
  </si>
  <si>
    <t>10.1016/j.jdermsci.2007.05.013</t>
  </si>
  <si>
    <t>https://pubmed.ncbi.nlm.nih.gov/17601705</t>
  </si>
  <si>
    <t>Nishiyama-Fujita Y</t>
  </si>
  <si>
    <t>10.1016/j.jcyt.2018.05.009</t>
  </si>
  <si>
    <t>https://pubmed.ncbi.nlm.nih.gov/30122653</t>
  </si>
  <si>
    <t>10.1089/154732804323046800</t>
  </si>
  <si>
    <t>https://pubmed.ncbi.nlm.nih.gov/15186736</t>
  </si>
  <si>
    <t>Nora-Krukle Z</t>
  </si>
  <si>
    <t>https://pubmed.ncbi.nlm.nih.gov/22186115</t>
  </si>
  <si>
    <t>Nordström I</t>
  </si>
  <si>
    <t>10.1371/journal.pone.0038683</t>
  </si>
  <si>
    <t>https://pubmed.ncbi.nlm.nih.gov/22701693</t>
  </si>
  <si>
    <t>10.1111/j.1365-2222.2010.03491.x</t>
  </si>
  <si>
    <t>https://pubmed.ncbi.nlm.nih.gov/20345999</t>
  </si>
  <si>
    <t>O'Toole J</t>
  </si>
  <si>
    <t>10.3109/10428194.2014.1003054</t>
  </si>
  <si>
    <t>https://pubmed.ncbi.nlm.nih.gov/25629987</t>
  </si>
  <si>
    <t>Obrová K</t>
  </si>
  <si>
    <t>10.1002/ajh.26177</t>
  </si>
  <si>
    <t>https://pubmed.ncbi.nlm.nih.gov/33784434</t>
  </si>
  <si>
    <t>Oevermann L</t>
  </si>
  <si>
    <t>10.1038/s41409-019-0530-4</t>
  </si>
  <si>
    <t>https://pubmed.ncbi.nlm.nih.gov/30988380</t>
  </si>
  <si>
    <t>10.11477/mf.1416200231</t>
  </si>
  <si>
    <t>https://pubmed.ncbi.nlm.nih.gov/26160819</t>
  </si>
  <si>
    <t>10.11406/rinketsu.61.945</t>
  </si>
  <si>
    <t>https://pubmed.ncbi.nlm.nih.gov/32908059</t>
  </si>
  <si>
    <t>10.11406/rinketsu.57.298</t>
  </si>
  <si>
    <t>https://pubmed.ncbi.nlm.nih.gov/27076241</t>
  </si>
  <si>
    <t>10.11406/rinketsu.56.2160</t>
  </si>
  <si>
    <t>https://pubmed.ncbi.nlm.nih.gov/26458456</t>
  </si>
  <si>
    <t>10.1111/ajt.15069</t>
  </si>
  <si>
    <t>https://pubmed.ncbi.nlm.nih.gov/30102463</t>
  </si>
  <si>
    <t>10.1038/bmt.2015.76</t>
  </si>
  <si>
    <t>https://pubmed.ncbi.nlm.nih.gov/25915811</t>
  </si>
  <si>
    <t>10.1038/s41409-019-0752-5</t>
  </si>
  <si>
    <t>https://pubmed.ncbi.nlm.nih.gov/31745253</t>
  </si>
  <si>
    <t>10.3960/jslrt.49.57</t>
  </si>
  <si>
    <t>https://pubmed.ncbi.nlm.nih.gov/19907110</t>
  </si>
  <si>
    <t>Ogawa A</t>
  </si>
  <si>
    <t>10.1182/blood-2016-03-704924</t>
  </si>
  <si>
    <t>https://pubmed.ncbi.nlm.nih.gov/28092892</t>
  </si>
  <si>
    <t>Ogawa H</t>
  </si>
  <si>
    <t>10.1086/511981</t>
  </si>
  <si>
    <t>https://pubmed.ncbi.nlm.nih.gov/17299707</t>
  </si>
  <si>
    <t>Ogawa K</t>
  </si>
  <si>
    <t>10.1111/bjd.12948</t>
  </si>
  <si>
    <t>https://pubmed.ncbi.nlm.nih.gov/24601914</t>
  </si>
  <si>
    <t>Ohashi M</t>
  </si>
  <si>
    <t>10.1002/lt.21304</t>
  </si>
  <si>
    <t>https://pubmed.ncbi.nlm.nih.gov/18161770</t>
  </si>
  <si>
    <t>10.1002/jmv.10083</t>
  </si>
  <si>
    <t>https://pubmed.ncbi.nlm.nih.gov/12116027</t>
  </si>
  <si>
    <t>10.1111/j.1442-200x.2004.01989.x</t>
  </si>
  <si>
    <t>https://pubmed.ncbi.nlm.nih.gov/15660876</t>
  </si>
  <si>
    <t>10.1097/00006454-200104000-00017</t>
  </si>
  <si>
    <t>https://pubmed.ncbi.nlm.nih.gov/11332675</t>
  </si>
  <si>
    <t>Ohyashiki J</t>
  </si>
  <si>
    <t>https://pubmed.ncbi.nlm.nih.gov/11505524</t>
  </si>
  <si>
    <t>10.1016/s0145-2126(99)00079-x</t>
  </si>
  <si>
    <t>https://pubmed.ncbi.nlm.nih.gov/10400183</t>
  </si>
  <si>
    <t>10.1016/j.bbrc.2005.01.090</t>
  </si>
  <si>
    <t>https://pubmed.ncbi.nlm.nih.gov/15721266</t>
  </si>
  <si>
    <t>Ojima T</t>
  </si>
  <si>
    <t>https://pubmed.ncbi.nlm.nih.gov/16187619</t>
  </si>
  <si>
    <t>Okamoto T</t>
  </si>
  <si>
    <t>10.1038/sj.bmt.1700967</t>
  </si>
  <si>
    <t>https://pubmed.ncbi.nlm.nih.gov/9384487</t>
  </si>
  <si>
    <t>Okano M</t>
  </si>
  <si>
    <t>https://pubmed.ncbi.nlm.nih.gov/1337559</t>
  </si>
  <si>
    <t>Okumura T</t>
  </si>
  <si>
    <t>10.1186/s12866-021-02154-w</t>
  </si>
  <si>
    <t>https://pubmed.ncbi.nlm.nih.gov/33823791</t>
  </si>
  <si>
    <t>Okuno T</t>
  </si>
  <si>
    <t>10.1016/0042-6822(90)90033-n</t>
  </si>
  <si>
    <t>https://pubmed.ncbi.nlm.nih.gov/2161152</t>
  </si>
  <si>
    <t>10.1099/0022-1317-73-2-443</t>
  </si>
  <si>
    <t>https://pubmed.ncbi.nlm.nih.gov/1311366</t>
  </si>
  <si>
    <t>10.1097/00007890-199003000-00009</t>
  </si>
  <si>
    <t>https://pubmed.ncbi.nlm.nih.gov/2156361</t>
  </si>
  <si>
    <t>Okutani M</t>
  </si>
  <si>
    <t>10.1155/2020/4697529</t>
  </si>
  <si>
    <t>https://pubmed.ncbi.nlm.nih.gov/32775465</t>
  </si>
  <si>
    <t>Ongrádi J</t>
  </si>
  <si>
    <t>10.1556/OH.2010.28848</t>
  </si>
  <si>
    <t>https://pubmed.ncbi.nlm.nih.gov/20304745</t>
  </si>
  <si>
    <t>10.1007/s13365-016-0473-0</t>
  </si>
  <si>
    <t>https://pubmed.ncbi.nlm.nih.gov/27538995</t>
  </si>
  <si>
    <t>Ono Y</t>
  </si>
  <si>
    <t>10.1016/j.transproceed.2008.05.082</t>
  </si>
  <si>
    <t>https://pubmed.ncbi.nlm.nih.gov/19100443</t>
  </si>
  <si>
    <t>Oren I</t>
  </si>
  <si>
    <t>10.1093/clinids/14.3.741</t>
  </si>
  <si>
    <t>https://pubmed.ncbi.nlm.nih.gov/1314102</t>
  </si>
  <si>
    <t>Osman HK</t>
  </si>
  <si>
    <t>10.1002/(SICI)1096-9071(199604)48:4&lt;295::AID-JMV1&gt;3.0.CO;2-2</t>
  </si>
  <si>
    <t>https://pubmed.ncbi.nlm.nih.gov/8699160</t>
  </si>
  <si>
    <t>10.1002/(sici)1096-9071(199711)53:3&lt;288::aid-jmv19&gt;3.0.co;2-d</t>
  </si>
  <si>
    <t>https://pubmed.ncbi.nlm.nih.gov/9365898</t>
  </si>
  <si>
    <t>Øster B</t>
  </si>
  <si>
    <t>10.1128/JVI.79.3.1961-1965.2005</t>
  </si>
  <si>
    <t>https://pubmed.ncbi.nlm.nih.gov/15650224</t>
  </si>
  <si>
    <t>10.1128/jvi.76.15.7578-7586.2002</t>
  </si>
  <si>
    <t>https://pubmed.ncbi.nlm.nih.gov/12097571</t>
  </si>
  <si>
    <t>Ota M</t>
  </si>
  <si>
    <t>10.1111/1348-0421.12121</t>
  </si>
  <si>
    <t>https://pubmed.ncbi.nlm.nih.gov/24330265</t>
  </si>
  <si>
    <t>Otani N</t>
  </si>
  <si>
    <t>10.1111/j.1348-0421.2007.tb03996.x</t>
  </si>
  <si>
    <t>https://pubmed.ncbi.nlm.nih.gov/17951989</t>
  </si>
  <si>
    <t>Oyaizu H</t>
  </si>
  <si>
    <t>10.1128/JVI.00504-12</t>
  </si>
  <si>
    <t>https://pubmed.ncbi.nlm.nih.gov/22647694</t>
  </si>
  <si>
    <t>Ozkalay N</t>
  </si>
  <si>
    <t>https://pubmed.ncbi.nlm.nih.gov/14593901</t>
  </si>
  <si>
    <t>Pacsa AS</t>
  </si>
  <si>
    <t>10.1016/S0928-8244(03)00006-3</t>
  </si>
  <si>
    <t>https://pubmed.ncbi.nlm.nih.gov/12628547</t>
  </si>
  <si>
    <t>Palleau S</t>
  </si>
  <si>
    <t>10.1086/503303</t>
  </si>
  <si>
    <t>https://pubmed.ncbi.nlm.nih.gov/16586395</t>
  </si>
  <si>
    <t>Pancar GS</t>
  </si>
  <si>
    <t>10.14740/jocmr2535w</t>
  </si>
  <si>
    <t>https://pubmed.ncbi.nlm.nih.gov/27222672</t>
  </si>
  <si>
    <t>Paolucci S</t>
  </si>
  <si>
    <t>10.1016/j.ijid.2020.12.051</t>
  </si>
  <si>
    <t>https://pubmed.ncbi.nlm.nih.gov/33359064</t>
  </si>
  <si>
    <t>Papanikolaou E</t>
  </si>
  <si>
    <t>10.1016/s0168-1702(02)00126-0</t>
  </si>
  <si>
    <t>https://pubmed.ncbi.nlm.nih.gov/12367753</t>
  </si>
  <si>
    <t>Pappo-Toledano A</t>
  </si>
  <si>
    <t>10.1111/tid.13014</t>
  </si>
  <si>
    <t>https://pubmed.ncbi.nlm.nih.gov/30346638</t>
  </si>
  <si>
    <t>Pasca M</t>
  </si>
  <si>
    <t>10.5582/irdr.2019.01107</t>
  </si>
  <si>
    <t>https://pubmed.ncbi.nlm.nih.gov/31890456</t>
  </si>
  <si>
    <t>Pascher A</t>
  </si>
  <si>
    <t>10.1016/j.transproceed.2004.01.080</t>
  </si>
  <si>
    <t>https://pubmed.ncbi.nlm.nih.gov/15050166</t>
  </si>
  <si>
    <t>Patel SJ</t>
  </si>
  <si>
    <t>10.1128/JVI.02463-16</t>
  </si>
  <si>
    <t>https://pubmed.ncbi.nlm.nih.gov/28179532</t>
  </si>
  <si>
    <t>Paterson DL</t>
  </si>
  <si>
    <t>10.1002/lt.500050504</t>
  </si>
  <si>
    <t>https://pubmed.ncbi.nlm.nih.gov/10477848</t>
  </si>
  <si>
    <t>10.1016/j.bbmt.2017.08.039</t>
  </si>
  <si>
    <t>https://pubmed.ncbi.nlm.nih.gov/28939451</t>
  </si>
  <si>
    <t>Paya CV</t>
  </si>
  <si>
    <t>10.1034/j.1399-3062.2001.00003.x</t>
  </si>
  <si>
    <t>https://pubmed.ncbi.nlm.nih.gov/11926744</t>
  </si>
  <si>
    <t>Peigo MF</t>
  </si>
  <si>
    <t>10.1111/j.1399-3062.2009.00429.x</t>
  </si>
  <si>
    <t>https://pubmed.ncbi.nlm.nih.gov/19671120</t>
  </si>
  <si>
    <t>Peiris M</t>
  </si>
  <si>
    <t>10.1016/s1040-8428(99)00046-3</t>
  </si>
  <si>
    <t>https://pubmed.ncbi.nlm.nih.gov/10633848</t>
  </si>
  <si>
    <t>Peleg AY</t>
  </si>
  <si>
    <t>10.1086/510388</t>
  </si>
  <si>
    <t>https://pubmed.ncbi.nlm.nih.gov/17173218</t>
  </si>
  <si>
    <t>Pellett Madan R</t>
  </si>
  <si>
    <t>10.1111/ctr.13518</t>
  </si>
  <si>
    <t>https://pubmed.ncbi.nlm.nih.gov/30844089</t>
  </si>
  <si>
    <t>Pellett PE</t>
  </si>
  <si>
    <t>10.1002/rmv.715</t>
  </si>
  <si>
    <t>https://pubmed.ncbi.nlm.nih.gov/22052666</t>
  </si>
  <si>
    <t>10.1007/978-1-4684-5853-4_2</t>
  </si>
  <si>
    <t>https://pubmed.ncbi.nlm.nih.gov/1963049</t>
  </si>
  <si>
    <t>Penchansky L</t>
  </si>
  <si>
    <t>10.1093/ajcp/108.2.127</t>
  </si>
  <si>
    <t>https://pubmed.ncbi.nlm.nih.gov/9260752</t>
  </si>
  <si>
    <t>Pereira JJ</t>
  </si>
  <si>
    <t>10.3389/fcimb.2021.732276</t>
  </si>
  <si>
    <t>https://pubmed.ncbi.nlm.nih.gov/34912727</t>
  </si>
  <si>
    <t>Peri AM</t>
  </si>
  <si>
    <t>10.1016/j.jcv.2021.104823</t>
  </si>
  <si>
    <t>https://pubmed.ncbi.nlm.nih.gov/33910132</t>
  </si>
  <si>
    <t>Persson L</t>
  </si>
  <si>
    <t>10.1046/j.1469-0691.2003.00578.x</t>
  </si>
  <si>
    <t>https://pubmed.ncbi.nlm.nih.gov/12925104</t>
  </si>
  <si>
    <t>Pessina A</t>
  </si>
  <si>
    <t>10.1111/j.1399-3062.2009.00427.x</t>
  </si>
  <si>
    <t>https://pubmed.ncbi.nlm.nih.gov/19664021</t>
  </si>
  <si>
    <t>Petit V</t>
  </si>
  <si>
    <t>10.1111/ajt.16067</t>
  </si>
  <si>
    <t>https://pubmed.ncbi.nlm.nih.gov/32428994</t>
  </si>
  <si>
    <t>Petrisli E</t>
  </si>
  <si>
    <t>10.1016/j.transproceed.2009.12.032</t>
  </si>
  <si>
    <t>https://pubmed.ncbi.nlm.nih.gov/20172284</t>
  </si>
  <si>
    <t>Pfeiffer B</t>
  </si>
  <si>
    <t>10.1128/JVI.67.8.4611-4620.1993</t>
  </si>
  <si>
    <t>https://pubmed.ncbi.nlm.nih.gov/7687301</t>
  </si>
  <si>
    <t>Phan J</t>
  </si>
  <si>
    <t>10.1016/j.jinf.2023.11.011</t>
  </si>
  <si>
    <t>https://pubmed.ncbi.nlm.nih.gov/38007049</t>
  </si>
  <si>
    <t>Phan T</t>
  </si>
  <si>
    <t>10.1002/ajh.25207</t>
  </si>
  <si>
    <t>https://pubmed.ncbi.nlm.nih.gov/29985546</t>
  </si>
  <si>
    <t>Phan TL</t>
  </si>
  <si>
    <t>10.1038/s41409-018-0225-2</t>
  </si>
  <si>
    <t>https://pubmed.ncbi.nlm.nih.gov/29795424</t>
  </si>
  <si>
    <t>10.1111/liv.13506</t>
  </si>
  <si>
    <t>https://pubmed.ncbi.nlm.nih.gov/28650593</t>
  </si>
  <si>
    <t>10.1016/j.bbmt.2018.04.021</t>
  </si>
  <si>
    <t>https://pubmed.ncbi.nlm.nih.gov/29684567</t>
  </si>
  <si>
    <t>Pi KS</t>
  </si>
  <si>
    <t>10.3390/v14112384</t>
  </si>
  <si>
    <t>https://pubmed.ncbi.nlm.nih.gov/36366483</t>
  </si>
  <si>
    <t>Picard D</t>
  </si>
  <si>
    <t>10.1126/scitranslmed.3001116</t>
  </si>
  <si>
    <t>https://pubmed.ncbi.nlm.nih.gov/20739682</t>
  </si>
  <si>
    <t>Pilmore H</t>
  </si>
  <si>
    <t>10.1097/TP.0b013e3181b4749f</t>
  </si>
  <si>
    <t>https://pubmed.ncbi.nlm.nih.gov/19920774</t>
  </si>
  <si>
    <t>Piras E</t>
  </si>
  <si>
    <t>10.3109/10428194.2012.740560</t>
  </si>
  <si>
    <t>https://pubmed.ncbi.nlm.nih.gov/23088724</t>
  </si>
  <si>
    <t>Piret J</t>
  </si>
  <si>
    <t>10.1002/rmv.1787</t>
  </si>
  <si>
    <t>https://pubmed.ncbi.nlm.nih.gov/24604770</t>
  </si>
  <si>
    <t>Pirklbauer M</t>
  </si>
  <si>
    <t>10.1007/s00393-013-1308-5</t>
  </si>
  <si>
    <t>https://pubmed.ncbi.nlm.nih.gov/24337150</t>
  </si>
  <si>
    <t>Pischke S</t>
  </si>
  <si>
    <t>10.1016/j.jhep.2011.12.017</t>
  </si>
  <si>
    <t>https://pubmed.ncbi.nlm.nih.gov/22245897</t>
  </si>
  <si>
    <t>Pitalia AK</t>
  </si>
  <si>
    <t>10.1002/jmv.1890410204</t>
  </si>
  <si>
    <t>https://pubmed.ncbi.nlm.nih.gov/8283170</t>
  </si>
  <si>
    <t>Poetranto AL</t>
  </si>
  <si>
    <t>10.1111/1348-0421.12840</t>
  </si>
  <si>
    <t>https://pubmed.ncbi.nlm.nih.gov/32827324</t>
  </si>
  <si>
    <t>Pöhlmann C</t>
  </si>
  <si>
    <t>10.1086/518282</t>
  </si>
  <si>
    <t>https://pubmed.ncbi.nlm.nih.gov/17516391</t>
  </si>
  <si>
    <t>Politikos I</t>
  </si>
  <si>
    <t>10.1182/bloodadvances.2018015982</t>
  </si>
  <si>
    <t>https://pubmed.ncbi.nlm.nih.gov/29898877</t>
  </si>
  <si>
    <t>Pop-Jora D</t>
  </si>
  <si>
    <t>10.1016/j.arcped.2006.08.018</t>
  </si>
  <si>
    <t>https://pubmed.ncbi.nlm.nih.gov/17092696</t>
  </si>
  <si>
    <t>Porignaux R</t>
  </si>
  <si>
    <t>10.1002/jmv.23557</t>
  </si>
  <si>
    <t>https://pubmed.ncbi.nlm.nih.gov/23588740</t>
  </si>
  <si>
    <t>10.1056/NEJMoa074479</t>
  </si>
  <si>
    <t>https://pubmed.ncbi.nlm.nih.gov/18687640</t>
  </si>
  <si>
    <t>10.1097/TP.0b013e3182339d1a</t>
  </si>
  <si>
    <t>https://pubmed.ncbi.nlm.nih.gov/22027897</t>
  </si>
  <si>
    <t>Prichard MN</t>
  </si>
  <si>
    <t>10.1016/j.coviro.2014.09.019</t>
  </si>
  <si>
    <t>https://pubmed.ncbi.nlm.nih.gov/25462447</t>
  </si>
  <si>
    <t>Pritchett JC</t>
  </si>
  <si>
    <t>10.1093/infdis/jiw469</t>
  </si>
  <si>
    <t>https://pubmed.ncbi.nlm.nih.gov/27703035</t>
  </si>
  <si>
    <t>Pruitt AA</t>
  </si>
  <si>
    <t>10.1016/B978-0-444-53488-0.00034-1</t>
  </si>
  <si>
    <t>https://pubmed.ncbi.nlm.nih.gov/25015512</t>
  </si>
  <si>
    <t>Prusty BK</t>
  </si>
  <si>
    <t>10.1371/journal.pgen.1004033</t>
  </si>
  <si>
    <t>https://pubmed.ncbi.nlm.nih.gov/24367281</t>
  </si>
  <si>
    <t>10.1016/j.virol.2008.09.006</t>
  </si>
  <si>
    <t>https://pubmed.ncbi.nlm.nih.gov/18929381</t>
  </si>
  <si>
    <t>Pulkkinen V</t>
  </si>
  <si>
    <t>10.3109/07853890.2010.532151</t>
  </si>
  <si>
    <t>https://pubmed.ncbi.nlm.nih.gov/21254895</t>
  </si>
  <si>
    <t>Purev E</t>
  </si>
  <si>
    <t>10.1182/blood-2014-06-577684</t>
  </si>
  <si>
    <t>https://pubmed.ncbi.nlm.nih.gov/25124787</t>
  </si>
  <si>
    <t>Qiu X</t>
  </si>
  <si>
    <t>10.1038/383275a0</t>
  </si>
  <si>
    <t>https://pubmed.ncbi.nlm.nih.gov/8805707</t>
  </si>
  <si>
    <t>Rackow AR</t>
  </si>
  <si>
    <t>10.1016/j.jmsacl.2023.01.005</t>
  </si>
  <si>
    <t>https://pubmed.ncbi.nlm.nih.gov/36798106</t>
  </si>
  <si>
    <t>Ragona G</t>
  </si>
  <si>
    <t>https://pubmed.ncbi.nlm.nih.gov/7803807</t>
  </si>
  <si>
    <t>Rahal EA</t>
  </si>
  <si>
    <t>10.1089/vim.2014.0129</t>
  </si>
  <si>
    <t>https://pubmed.ncbi.nlm.nih.gov/25870901</t>
  </si>
  <si>
    <t>Randhawa PS</t>
  </si>
  <si>
    <t>10.1097/00000478-199707000-00014</t>
  </si>
  <si>
    <t>https://pubmed.ncbi.nlm.nih.gov/9236842</t>
  </si>
  <si>
    <t>Raposo JV</t>
  </si>
  <si>
    <t>10.1080/20002297.2020.1785801</t>
  </si>
  <si>
    <t>https://pubmed.ncbi.nlm.nih.gov/32944150</t>
  </si>
  <si>
    <t>10.1016/j.bbmt.2018.07.027</t>
  </si>
  <si>
    <t>https://pubmed.ncbi.nlm.nih.gov/30048732</t>
  </si>
  <si>
    <t>10.1111/tid.12816</t>
  </si>
  <si>
    <t>https://pubmed.ncbi.nlm.nih.gov/29156094</t>
  </si>
  <si>
    <t>Rasmussen NS</t>
  </si>
  <si>
    <t>10.55563/clinexprheumatol/s364rt</t>
  </si>
  <si>
    <t>https://pubmed.ncbi.nlm.nih.gov/34874835</t>
  </si>
  <si>
    <t>Raspall-Chaure M</t>
  </si>
  <si>
    <t>10.1016/j.eplepsyres.2013.02.019</t>
  </si>
  <si>
    <t>https://pubmed.ncbi.nlm.nih.gov/23535036</t>
  </si>
  <si>
    <t>Ratnamohan VM</t>
  </si>
  <si>
    <t>10.1097/00007890-199810150-00011</t>
  </si>
  <si>
    <t>https://pubmed.ncbi.nlm.nih.gov/9798697</t>
  </si>
  <si>
    <t>Rauber C</t>
  </si>
  <si>
    <t>10.1186/s12876-019-1033-x</t>
  </si>
  <si>
    <t>https://pubmed.ncbi.nlm.nih.gov/31248389</t>
  </si>
  <si>
    <t>Rayes N</t>
  </si>
  <si>
    <t>https://pubmed.ncbi.nlm.nih.gov/16218029</t>
  </si>
  <si>
    <t>Razonable RR</t>
  </si>
  <si>
    <t>10.1111/ajt.12008</t>
  </si>
  <si>
    <t>https://pubmed.ncbi.nlm.nih.gov/23347215</t>
  </si>
  <si>
    <t>10.1097/TP.0000000000001760</t>
  </si>
  <si>
    <t>https://pubmed.ncbi.nlm.nih.gov/28376035</t>
  </si>
  <si>
    <t>10.1111/j.1600-6143.2009.02899_1.x</t>
  </si>
  <si>
    <t>https://pubmed.ncbi.nlm.nih.gov/20070702</t>
  </si>
  <si>
    <t>10.1111/j.1600-6143.2009.02899_2.x</t>
  </si>
  <si>
    <t>https://pubmed.ncbi.nlm.nih.gov/20070668</t>
  </si>
  <si>
    <t>10.1053/jlts.2002.34966</t>
  </si>
  <si>
    <t>https://pubmed.ncbi.nlm.nih.gov/12149755</t>
  </si>
  <si>
    <t>10.1097/MOT.0b013e3283404325</t>
  </si>
  <si>
    <t>https://pubmed.ncbi.nlm.nih.gov/20881490</t>
  </si>
  <si>
    <t>10.1034/j.1399-0012.2003.02104.x</t>
  </si>
  <si>
    <t>https://pubmed.ncbi.nlm.nih.gov/12709076</t>
  </si>
  <si>
    <t>10.1086/466529</t>
  </si>
  <si>
    <t>https://pubmed.ncbi.nlm.nih.gov/16170749</t>
  </si>
  <si>
    <t>10.1086/342911</t>
  </si>
  <si>
    <t>https://pubmed.ncbi.nlm.nih.gov/12355385</t>
  </si>
  <si>
    <t>10.4254/wjh.v2.i9.345</t>
  </si>
  <si>
    <t>https://pubmed.ncbi.nlm.nih.gov/21161019</t>
  </si>
  <si>
    <t>Razzaque A</t>
  </si>
  <si>
    <t>10.1016/0304-3835(96)04329-7</t>
  </si>
  <si>
    <t>https://pubmed.ncbi.nlm.nih.gov/8844976</t>
  </si>
  <si>
    <t>10.1016/0928-0197(94)90055-8</t>
  </si>
  <si>
    <t>https://pubmed.ncbi.nlm.nih.gov/15566776</t>
  </si>
  <si>
    <t>Re MC</t>
  </si>
  <si>
    <t>https://pubmed.ncbi.nlm.nih.gov/10555208</t>
  </si>
  <si>
    <t>Readhead B</t>
  </si>
  <si>
    <t>10.1007/s00401-020-02185-z</t>
  </si>
  <si>
    <t>https://pubmed.ncbi.nlm.nih.gov/32666270</t>
  </si>
  <si>
    <t>Rebechi MT</t>
  </si>
  <si>
    <t>10.1093/ofid/ofab470</t>
  </si>
  <si>
    <t>https://pubmed.ncbi.nlm.nih.gov/34738024</t>
  </si>
  <si>
    <t>Reddy S</t>
  </si>
  <si>
    <t>10.1016/j.bbmt.2005.04.010</t>
  </si>
  <si>
    <t>https://pubmed.ncbi.nlm.nih.gov/15983553</t>
  </si>
  <si>
    <t>Reeves WC</t>
  </si>
  <si>
    <t>10.1086/313908</t>
  </si>
  <si>
    <t>https://pubmed.ncbi.nlm.nih.gov/10913395</t>
  </si>
  <si>
    <t>Reid GE</t>
  </si>
  <si>
    <t>10.1055/s-0036-1584793</t>
  </si>
  <si>
    <t>https://pubmed.ncbi.nlm.nih.gov/27486740</t>
  </si>
  <si>
    <t>Reina J</t>
  </si>
  <si>
    <t>10.1016/s0014-2565(00)70032-4</t>
  </si>
  <si>
    <t>https://pubmed.ncbi.nlm.nih.gov/11196603</t>
  </si>
  <si>
    <t>Retière C</t>
  </si>
  <si>
    <t>10.18632/oncotarget.24328</t>
  </si>
  <si>
    <t>https://pubmed.ncbi.nlm.nih.gov/29545911</t>
  </si>
  <si>
    <t>10.1097/01.tp.0000261705.78595.98</t>
  </si>
  <si>
    <t>https://pubmed.ncbi.nlm.nih.gov/17519796</t>
  </si>
  <si>
    <t>Rieux C</t>
  </si>
  <si>
    <t>10.1097/00007890-199805270-00024</t>
  </si>
  <si>
    <t>https://pubmed.ncbi.nlm.nih.gov/9625030</t>
  </si>
  <si>
    <t>Righi E</t>
  </si>
  <si>
    <t>10.1007/s13365-017-0566-4</t>
  </si>
  <si>
    <t>https://pubmed.ncbi.nlm.nih.gov/28822107</t>
  </si>
  <si>
    <t>Riñón M</t>
  </si>
  <si>
    <t>10.1016/s0041-1345(01)02828-7</t>
  </si>
  <si>
    <t>https://pubmed.ncbi.nlm.nih.gov/11959211</t>
  </si>
  <si>
    <t>Riyaz N</t>
  </si>
  <si>
    <t>10.4103/0378-6323.93635</t>
  </si>
  <si>
    <t>https://pubmed.ncbi.nlm.nih.gov/22421649</t>
  </si>
  <si>
    <t>Rizzo R</t>
  </si>
  <si>
    <t>10.1556/030.65.2018.010</t>
  </si>
  <si>
    <t>https://pubmed.ncbi.nlm.nih.gov/29512392</t>
  </si>
  <si>
    <t>10.1038/s41598-018-36146-0</t>
  </si>
  <si>
    <t>https://pubmed.ncbi.nlm.nih.gov/30523283</t>
  </si>
  <si>
    <t>10.3233/JAD-180777</t>
  </si>
  <si>
    <t>https://pubmed.ncbi.nlm.nih.gov/30689576</t>
  </si>
  <si>
    <t>10.1007/5584_2015_5010</t>
  </si>
  <si>
    <t>https://pubmed.ncbi.nlm.nih.gov/26566646</t>
  </si>
  <si>
    <t>10.3389/fmicb.2017.02143</t>
  </si>
  <si>
    <t>https://pubmed.ncbi.nlm.nih.gov/29163428</t>
  </si>
  <si>
    <t>Robert C</t>
  </si>
  <si>
    <t>https://pubmed.ncbi.nlm.nih.gov/7831214</t>
  </si>
  <si>
    <t>10.1016/0923-2516(96)89652-x</t>
  </si>
  <si>
    <t>https://pubmed.ncbi.nlm.nih.gov/8837229</t>
  </si>
  <si>
    <t>Robertson N</t>
  </si>
  <si>
    <t>10.1007/s10875-015-0193-x</t>
  </si>
  <si>
    <t>https://pubmed.ncbi.nlm.nih.gov/26399252</t>
  </si>
  <si>
    <t>Rodriguez-Frias F</t>
  </si>
  <si>
    <t>10.3389/fcimb.2023.1175996</t>
  </si>
  <si>
    <t>https://pubmed.ncbi.nlm.nih.gov/37808908</t>
  </si>
  <si>
    <t>Roffman E</t>
  </si>
  <si>
    <t>10.1128/JVI.64.12.6308-6313.1990</t>
  </si>
  <si>
    <t>https://pubmed.ncbi.nlm.nih.gov/2173796</t>
  </si>
  <si>
    <t>10.1016/0042-6822(90)90447-y</t>
  </si>
  <si>
    <t>https://pubmed.ncbi.nlm.nih.gov/2158189</t>
  </si>
  <si>
    <t>10.1093/infdis/164.3.617</t>
  </si>
  <si>
    <t>https://pubmed.ncbi.nlm.nih.gov/1651362</t>
  </si>
  <si>
    <t>Rogers J</t>
  </si>
  <si>
    <t>10.1097/00007890-200006270-00016</t>
  </si>
  <si>
    <t>https://pubmed.ncbi.nlm.nih.gov/10910278</t>
  </si>
  <si>
    <t>Rojo J</t>
  </si>
  <si>
    <t>https://pubmed.ncbi.nlm.nih.gov/7893978</t>
  </si>
  <si>
    <t>https://pubmed.ncbi.nlm.nih.gov/12655786</t>
  </si>
  <si>
    <t>Rollín R</t>
  </si>
  <si>
    <t>10.1016/j.joca.2006.11.007</t>
  </si>
  <si>
    <t>https://pubmed.ncbi.nlm.nih.gov/17207644</t>
  </si>
  <si>
    <t>Romeo MA</t>
  </si>
  <si>
    <t>10.1099/jgv.0.001176</t>
  </si>
  <si>
    <t>https://pubmed.ncbi.nlm.nih.gov/30427305</t>
  </si>
  <si>
    <t>10.1016/j.virusres.2019.197757</t>
  </si>
  <si>
    <t>https://pubmed.ncbi.nlm.nih.gov/31521763</t>
  </si>
  <si>
    <t>10.1016/j.virusres.2020.198231</t>
  </si>
  <si>
    <t>https://pubmed.ncbi.nlm.nih.gov/33207265</t>
  </si>
  <si>
    <t>Rosenfeld CS</t>
  </si>
  <si>
    <t>https://pubmed.ncbi.nlm.nih.gov/7601254</t>
  </si>
  <si>
    <t>Ross CW</t>
  </si>
  <si>
    <t>10.1093/ajcp/102.3.310</t>
  </si>
  <si>
    <t>https://pubmed.ncbi.nlm.nih.gov/8085554</t>
  </si>
  <si>
    <t>Ross DJ</t>
  </si>
  <si>
    <t>10.1016/s0041-1345(01)02109-1</t>
  </si>
  <si>
    <t>https://pubmed.ncbi.nlm.nih.gov/11406259</t>
  </si>
  <si>
    <t>Rossen LS</t>
  </si>
  <si>
    <t>10.1128/JVI.01557-21</t>
  </si>
  <si>
    <t>https://pubmed.ncbi.nlm.nih.gov/35019717</t>
  </si>
  <si>
    <t>Rossi C</t>
  </si>
  <si>
    <t>10.1097/00007890-200101270-00021</t>
  </si>
  <si>
    <t>https://pubmed.ncbi.nlm.nih.gov/11213075</t>
  </si>
  <si>
    <t>Rossi M</t>
  </si>
  <si>
    <t>10.12659/AJCR.932039</t>
  </si>
  <si>
    <t>https://pubmed.ncbi.nlm.nih.gov/34188012</t>
  </si>
  <si>
    <t>Roux J</t>
  </si>
  <si>
    <t>10.1097/DAD.0b013e31825667ed</t>
  </si>
  <si>
    <t>https://pubmed.ncbi.nlm.nih.gov/22576078</t>
  </si>
  <si>
    <t>Rubin RH</t>
  </si>
  <si>
    <t>https://pubmed.ncbi.nlm.nih.gov/12520651</t>
  </si>
  <si>
    <t>Russler SK</t>
  </si>
  <si>
    <t>https://pubmed.ncbi.nlm.nih.gov/1647138</t>
  </si>
  <si>
    <t>Russo D</t>
  </si>
  <si>
    <t>10.1007/978-1-4939-0733-5_7</t>
  </si>
  <si>
    <t>https://pubmed.ncbi.nlm.nih.gov/24740222</t>
  </si>
  <si>
    <t>Rybka K</t>
  </si>
  <si>
    <t>https://pubmed.ncbi.nlm.nih.gov/12765120</t>
  </si>
  <si>
    <t>Sabouri S</t>
  </si>
  <si>
    <t>10.1016/j.jaut.2019.102378</t>
  </si>
  <si>
    <t>https://pubmed.ncbi.nlm.nih.gov/31818546</t>
  </si>
  <si>
    <t>Sadighi Z</t>
  </si>
  <si>
    <t>10.1177/0883073814560628</t>
  </si>
  <si>
    <t>https://pubmed.ncbi.nlm.nih.gov/25564483</t>
  </si>
  <si>
    <t>Safronetz D</t>
  </si>
  <si>
    <t>10.1002/jmv.10510</t>
  </si>
  <si>
    <t>https://pubmed.ncbi.nlm.nih.gov/12966551</t>
  </si>
  <si>
    <t>10.1016/s0166-0934(03)00196-4</t>
  </si>
  <si>
    <t>https://pubmed.ncbi.nlm.nih.gov/12951217</t>
  </si>
  <si>
    <t>Saijo M</t>
  </si>
  <si>
    <t>10.11150/kansenshogakuzasshi1970.69.316</t>
  </si>
  <si>
    <t>https://pubmed.ncbi.nlm.nih.gov/7745310</t>
  </si>
  <si>
    <t>Saitoh Y</t>
  </si>
  <si>
    <t>10.11406/rinketsu.59.300</t>
  </si>
  <si>
    <t>https://pubmed.ncbi.nlm.nih.gov/29618688</t>
  </si>
  <si>
    <t>Sakamoto A</t>
  </si>
  <si>
    <t>10.1007/s12185-020-02905-x</t>
  </si>
  <si>
    <t>https://pubmed.ncbi.nlm.nih.gov/32529583</t>
  </si>
  <si>
    <t>Sakoh T</t>
  </si>
  <si>
    <t>10.11406/rinketsu.61.274</t>
  </si>
  <si>
    <t>https://pubmed.ncbi.nlm.nih.gov/32224590</t>
  </si>
  <si>
    <t>Salahuddin SZ</t>
  </si>
  <si>
    <t>10.1186/1743-422X-4-106</t>
  </si>
  <si>
    <t>https://pubmed.ncbi.nlm.nih.gov/17958914</t>
  </si>
  <si>
    <t>Salehi Z</t>
  </si>
  <si>
    <t>10.22074/cellj.2021.7308</t>
  </si>
  <si>
    <t>https://pubmed.ncbi.nlm.nih.gov/34939755</t>
  </si>
  <si>
    <t>Sam SS</t>
  </si>
  <si>
    <t>10.1016/j.jmoldx.2021.02.008</t>
  </si>
  <si>
    <t>https://pubmed.ncbi.nlm.nih.gov/33706010</t>
  </si>
  <si>
    <t>Sampaio AM</t>
  </si>
  <si>
    <t>10.1016/j.transproceed.2012.07.034</t>
  </si>
  <si>
    <t>https://pubmed.ncbi.nlm.nih.gov/23026619</t>
  </si>
  <si>
    <t>10.1016/j.transproceed.2011.03.062</t>
  </si>
  <si>
    <t>https://pubmed.ncbi.nlm.nih.gov/21620128</t>
  </si>
  <si>
    <t>Sánchez-Ponce Y</t>
  </si>
  <si>
    <t>10.3390/v10120730</t>
  </si>
  <si>
    <t>https://pubmed.ncbi.nlm.nih.gov/30572622</t>
  </si>
  <si>
    <t>Saner FH</t>
  </si>
  <si>
    <t>https://pubmed.ncbi.nlm.nih.gov/21037551</t>
  </si>
  <si>
    <t>Sang Y</t>
  </si>
  <si>
    <t>10.1038/srep39776</t>
  </si>
  <si>
    <t>https://pubmed.ncbi.nlm.nih.gov/28051106</t>
  </si>
  <si>
    <t>Santos CA</t>
  </si>
  <si>
    <t>10.1016/j.semnephrol.2016.05.012</t>
  </si>
  <si>
    <t>https://pubmed.ncbi.nlm.nih.gov/27772620</t>
  </si>
  <si>
    <t>Santos CAQ</t>
  </si>
  <si>
    <t>10.3390/jcm9030865</t>
  </si>
  <si>
    <t>https://pubmed.ncbi.nlm.nih.gov/32245201</t>
  </si>
  <si>
    <t>Sanyal A</t>
  </si>
  <si>
    <t>10.3390/v10080401</t>
  </si>
  <si>
    <t>https://pubmed.ncbi.nlm.nih.gov/30060604</t>
  </si>
  <si>
    <t>Saraiva S</t>
  </si>
  <si>
    <t>10.6002/ect.2021.0315</t>
  </si>
  <si>
    <t>https://pubmed.ncbi.nlm.nih.gov/35037602</t>
  </si>
  <si>
    <t>Sarmento DJS</t>
  </si>
  <si>
    <t>10.1111/jicd.12356</t>
  </si>
  <si>
    <t>https://pubmed.ncbi.nlm.nih.gov/30062730</t>
  </si>
  <si>
    <t>Sarthy JF</t>
  </si>
  <si>
    <t>10.1002/pbc.26310</t>
  </si>
  <si>
    <t>https://pubmed.ncbi.nlm.nih.gov/27808462</t>
  </si>
  <si>
    <t>Sato K</t>
  </si>
  <si>
    <t>10.11406/rinketsu.56.406</t>
  </si>
  <si>
    <t>https://pubmed.ncbi.nlm.nih.gov/25971271</t>
  </si>
  <si>
    <t>Sato T</t>
  </si>
  <si>
    <t>https://pubmed.ncbi.nlm.nih.gov/22352035</t>
  </si>
  <si>
    <t>Savassi-Ribas F</t>
  </si>
  <si>
    <t>10.1002/jmv.25580</t>
  </si>
  <si>
    <t>https://pubmed.ncbi.nlm.nih.gov/31463932</t>
  </si>
  <si>
    <t>Schack VR</t>
  </si>
  <si>
    <t>10.1128/JVI.02259-20</t>
  </si>
  <si>
    <t>https://pubmed.ncbi.nlm.nih.gov/33504606</t>
  </si>
  <si>
    <t>Scheurer ME</t>
  </si>
  <si>
    <t>10.1038/bmt.2012.180</t>
  </si>
  <si>
    <t>https://pubmed.ncbi.nlm.nih.gov/23000642</t>
  </si>
  <si>
    <t>Schiewe U</t>
  </si>
  <si>
    <t>10.1128/JVI.68.5.2978-2985.1994</t>
  </si>
  <si>
    <t>https://pubmed.ncbi.nlm.nih.gov/8151768</t>
  </si>
  <si>
    <t>Schlaweck S</t>
  </si>
  <si>
    <t>10.1111/tid.12514</t>
  </si>
  <si>
    <t>https://pubmed.ncbi.nlm.nih.gov/26918962</t>
  </si>
  <si>
    <t>Schlehofer B</t>
  </si>
  <si>
    <t>10.1002/(SICI)1097-0215(19960301)65:5&lt;584::AID-IJC5&gt;3.0.CO;2-Z</t>
  </si>
  <si>
    <t>https://pubmed.ncbi.nlm.nih.gov/8598307</t>
  </si>
  <si>
    <t>Schlitt HJ</t>
  </si>
  <si>
    <t>10.1016/s0168-8278(02)00311-2</t>
  </si>
  <si>
    <t>https://pubmed.ncbi.nlm.nih.gov/12399238</t>
  </si>
  <si>
    <t>Schmidt B</t>
  </si>
  <si>
    <t>10.1128/JCM.42.9.4300-4302.2004</t>
  </si>
  <si>
    <t>https://pubmed.ncbi.nlm.nih.gov/15365027</t>
  </si>
  <si>
    <t>Schmidt CA</t>
  </si>
  <si>
    <t>https://pubmed.ncbi.nlm.nih.gov/8232500</t>
  </si>
  <si>
    <t>10.1097/00007890-199602270-00027</t>
  </si>
  <si>
    <t>https://pubmed.ncbi.nlm.nih.gov/8610400</t>
  </si>
  <si>
    <t>Schmiedel D</t>
  </si>
  <si>
    <t>10.1128/JVI.01164-16</t>
  </si>
  <si>
    <t>https://pubmed.ncbi.nlm.nih.gov/27535049</t>
  </si>
  <si>
    <t>10.3389/fimmu.2017.00390</t>
  </si>
  <si>
    <t>https://pubmed.ncbi.nlm.nih.gov/28443092</t>
  </si>
  <si>
    <t>Schroeder RB</t>
  </si>
  <si>
    <t>10.1016/s1413-8670(12)70296-9</t>
  </si>
  <si>
    <t>https://pubmed.ncbi.nlm.nih.gov/22552456</t>
  </si>
  <si>
    <t>Schulze Lammers FC</t>
  </si>
  <si>
    <t>10.1007/s10875-021-01205-1</t>
  </si>
  <si>
    <t>https://pubmed.ncbi.nlm.nih.gov/34989946</t>
  </si>
  <si>
    <t>Schwarz CM</t>
  </si>
  <si>
    <t>10.3389/fped.2018.00191</t>
  </si>
  <si>
    <t>https://pubmed.ncbi.nlm.nih.gov/30013962</t>
  </si>
  <si>
    <t>Sebeková K</t>
  </si>
  <si>
    <t>10.1111/j.1399-3046.2005.00347.x</t>
  </si>
  <si>
    <t>https://pubmed.ncbi.nlm.nih.gov/16176416</t>
  </si>
  <si>
    <t>10.1128/jcm.33.8.2124-2130.1995</t>
  </si>
  <si>
    <t>https://pubmed.ncbi.nlm.nih.gov/7559960</t>
  </si>
  <si>
    <t>Sedlak RH</t>
  </si>
  <si>
    <t>10.1373/clinchem.2013.217240</t>
  </si>
  <si>
    <t>https://pubmed.ncbi.nlm.nih.gov/24594780</t>
  </si>
  <si>
    <t>10.1128/JCM.03275-15</t>
  </si>
  <si>
    <t>https://pubmed.ncbi.nlm.nih.gov/26888901</t>
  </si>
  <si>
    <t>See DM</t>
  </si>
  <si>
    <t>10.1016/s0162-3109(96)00125-7</t>
  </si>
  <si>
    <t>https://pubmed.ncbi.nlm.nih.gov/9043936</t>
  </si>
  <si>
    <t>10.1007/BF02688668</t>
  </si>
  <si>
    <t>https://pubmed.ncbi.nlm.nih.gov/9829439</t>
  </si>
  <si>
    <t>Semenzato G</t>
  </si>
  <si>
    <t>https://pubmed.ncbi.nlm.nih.gov/7727764</t>
  </si>
  <si>
    <t>Sepúlveda N</t>
  </si>
  <si>
    <t>10.3389/fimmu.2019.02684</t>
  </si>
  <si>
    <t>https://pubmed.ncbi.nlm.nih.gov/31824487</t>
  </si>
  <si>
    <t>Seror E</t>
  </si>
  <si>
    <t>10.1002/jmv.21118</t>
  </si>
  <si>
    <t>https://pubmed.ncbi.nlm.nih.gov/18297709</t>
  </si>
  <si>
    <t>Shahani L</t>
  </si>
  <si>
    <t>10.1136/bcr-2014-205880</t>
  </si>
  <si>
    <t>https://pubmed.ncbi.nlm.nih.gov/25239996</t>
  </si>
  <si>
    <t>Shao Q</t>
  </si>
  <si>
    <t>10.18632/oncotarget.10127</t>
  </si>
  <si>
    <t>https://pubmed.ncbi.nlm.nih.gov/27344170</t>
  </si>
  <si>
    <t>Sharon E</t>
  </si>
  <si>
    <t>10.1073/pnas.1308854110</t>
  </si>
  <si>
    <t>https://pubmed.ncbi.nlm.nih.gov/24335704</t>
  </si>
  <si>
    <t>Shiley K</t>
  </si>
  <si>
    <t>10.1016/j.idc.2010.01.003</t>
  </si>
  <si>
    <t>https://pubmed.ncbi.nlm.nih.gov/20466275</t>
  </si>
  <si>
    <t>10.1016/j.hoc.2010.11.012</t>
  </si>
  <si>
    <t>https://pubmed.ncbi.nlm.nih.gov/21236397</t>
  </si>
  <si>
    <t>Shimizu A</t>
  </si>
  <si>
    <t>10.1128/JVI.02337-10</t>
  </si>
  <si>
    <t>https://pubmed.ncbi.nlm.nih.gov/21593170</t>
  </si>
  <si>
    <t>10.1371/journal.pone.0056027</t>
  </si>
  <si>
    <t>https://pubmed.ncbi.nlm.nih.gov/23409116</t>
  </si>
  <si>
    <t>Shintaku M</t>
  </si>
  <si>
    <t>10.1111/j.1440-1789.2009.01020.x</t>
  </si>
  <si>
    <t>https://pubmed.ncbi.nlm.nih.gov/19422536</t>
  </si>
  <si>
    <t>Shioda S</t>
  </si>
  <si>
    <t>10.1007/s10616-017-0119-y</t>
  </si>
  <si>
    <t>https://pubmed.ncbi.nlm.nih.gov/28755030</t>
  </si>
  <si>
    <t>Shiohara T</t>
  </si>
  <si>
    <t>10.2332/allergolint.55.1</t>
  </si>
  <si>
    <t>https://pubmed.ncbi.nlm.nih.gov/17075280</t>
  </si>
  <si>
    <t>10.1007/s12016-007-8010-9</t>
  </si>
  <si>
    <t>https://pubmed.ncbi.nlm.nih.gov/18094951</t>
  </si>
  <si>
    <t>https://pubmed.ncbi.nlm.nih.gov/12170696</t>
  </si>
  <si>
    <t>Shiraki K</t>
  </si>
  <si>
    <t>10.1099/0022-1317-72-1-169</t>
  </si>
  <si>
    <t>https://pubmed.ncbi.nlm.nih.gov/1846645</t>
  </si>
  <si>
    <t>10.1016/0168-1702(89)90014-2</t>
  </si>
  <si>
    <t>https://pubmed.ncbi.nlm.nih.gov/2773596</t>
  </si>
  <si>
    <t>Shiratori I</t>
  </si>
  <si>
    <t>10.4049/jimmunol.175.7.4441</t>
  </si>
  <si>
    <t>https://pubmed.ncbi.nlm.nih.gov/16177086</t>
  </si>
  <si>
    <t>Sieczkowski L</t>
  </si>
  <si>
    <t>10.1006/viro.1995.1436</t>
  </si>
  <si>
    <t>https://pubmed.ncbi.nlm.nih.gov/7645258</t>
  </si>
  <si>
    <t>Sigalov AB</t>
  </si>
  <si>
    <t>10.4161/self.1.4.13279</t>
  </si>
  <si>
    <t>https://pubmed.ncbi.nlm.nih.gov/21487503</t>
  </si>
  <si>
    <t>Silva R</t>
  </si>
  <si>
    <t>10.1016/j.idcr.2020.e00983</t>
  </si>
  <si>
    <t>https://pubmed.ncbi.nlm.nih.gov/33194546</t>
  </si>
  <si>
    <t>Simon K</t>
  </si>
  <si>
    <t>https://pubmed.ncbi.nlm.nih.gov/12910597</t>
  </si>
  <si>
    <t>Simpson KE</t>
  </si>
  <si>
    <t>10.1007/s00246-015-1290-6</t>
  </si>
  <si>
    <t>https://pubmed.ncbi.nlm.nih.gov/26499513</t>
  </si>
  <si>
    <t>Singh N</t>
  </si>
  <si>
    <t>10.7326/0003-4819-124-12-199606150-00007</t>
  </si>
  <si>
    <t>https://pubmed.ncbi.nlm.nih.gov/8633821</t>
  </si>
  <si>
    <t>10.1097/00007890-199709150-00002</t>
  </si>
  <si>
    <t>https://pubmed.ncbi.nlm.nih.gov/9311701</t>
  </si>
  <si>
    <t>https://pubmed.ncbi.nlm.nih.gov/8525536</t>
  </si>
  <si>
    <t>10.1097/00007890-200006270-00002</t>
  </si>
  <si>
    <t>https://pubmed.ncbi.nlm.nih.gov/10910264</t>
  </si>
  <si>
    <t>10.1046/j.1469-0691.2000.00129.x</t>
  </si>
  <si>
    <t>https://pubmed.ncbi.nlm.nih.gov/11168178</t>
  </si>
  <si>
    <t>10.1034/j.1399-0012.2002.1o096.x</t>
  </si>
  <si>
    <t>https://pubmed.ncbi.nlm.nih.gov/11966777</t>
  </si>
  <si>
    <t>10.1034/j.1399-3062.2002.t01-1-02001.x</t>
  </si>
  <si>
    <t>https://pubmed.ncbi.nlm.nih.gov/12220240</t>
  </si>
  <si>
    <t>10.1097/TP.0000000000003604</t>
  </si>
  <si>
    <t>https://pubmed.ncbi.nlm.nih.gov/33587431</t>
  </si>
  <si>
    <t>10.1097/00001432-200008000-00003</t>
  </si>
  <si>
    <t>https://pubmed.ncbi.nlm.nih.gov/11964800</t>
  </si>
  <si>
    <t>10.1097/00001432-199808000-00003</t>
  </si>
  <si>
    <t>https://pubmed.ncbi.nlm.nih.gov/17033403</t>
  </si>
  <si>
    <t>10.1097/00001432-199908000-00010</t>
  </si>
  <si>
    <t>https://pubmed.ncbi.nlm.nih.gov/17035801</t>
  </si>
  <si>
    <t>https://pubmed.ncbi.nlm.nih.gov/9700844</t>
  </si>
  <si>
    <t>Singh P</t>
  </si>
  <si>
    <t>10.1002/pbc.28564</t>
  </si>
  <si>
    <t>https://pubmed.ncbi.nlm.nih.gov/32808422</t>
  </si>
  <si>
    <t>Sironi F</t>
  </si>
  <si>
    <t>10.1186/s12967-015-0461-9</t>
  </si>
  <si>
    <t>https://pubmed.ncbi.nlm.nih.gov/25888743</t>
  </si>
  <si>
    <t>Sjahril R</t>
  </si>
  <si>
    <t>10.1007/s00705-008-0307-3</t>
  </si>
  <si>
    <t>https://pubmed.ncbi.nlm.nih.gov/19153640</t>
  </si>
  <si>
    <t>Skeppner G</t>
  </si>
  <si>
    <t>10.1097/00043426-200205000-00015</t>
  </si>
  <si>
    <t>https://pubmed.ncbi.nlm.nih.gov/11972099</t>
  </si>
  <si>
    <t>Skripchenko EY</t>
  </si>
  <si>
    <t>10.17116/jnevro202112111286</t>
  </si>
  <si>
    <t>https://pubmed.ncbi.nlm.nih.gov/35038852</t>
  </si>
  <si>
    <t>Sloan P</t>
  </si>
  <si>
    <t>10.1080/14767058.2020.1763298</t>
  </si>
  <si>
    <t>https://pubmed.ncbi.nlm.nih.gov/32401076</t>
  </si>
  <si>
    <t>Sloan PE</t>
  </si>
  <si>
    <t>10.1080/14767058.2021.1983537</t>
  </si>
  <si>
    <t>https://pubmed.ncbi.nlm.nih.gov/34587860</t>
  </si>
  <si>
    <t>Sloots TP</t>
  </si>
  <si>
    <t>10.1128/jcm.34.3.675-679.1996</t>
  </si>
  <si>
    <t>https://pubmed.ncbi.nlm.nih.gov/8904436</t>
  </si>
  <si>
    <t>Smith A</t>
  </si>
  <si>
    <t>10.1182/blood-2002-10-3152</t>
  </si>
  <si>
    <t>https://pubmed.ncbi.nlm.nih.gov/12829600</t>
  </si>
  <si>
    <t>Smith AP</t>
  </si>
  <si>
    <t>10.1128/JVI.79.5.2807-2813.2005</t>
  </si>
  <si>
    <t>https://pubmed.ncbi.nlm.nih.gov/15708999</t>
  </si>
  <si>
    <t>Smith C</t>
  </si>
  <si>
    <t>10.1111/ajt.12005</t>
  </si>
  <si>
    <t>https://pubmed.ncbi.nlm.nih.gov/23347211</t>
  </si>
  <si>
    <t>Smith JM</t>
  </si>
  <si>
    <t>10.1111/j.1399-3046.2005.00481.x</t>
  </si>
  <si>
    <t>https://pubmed.ncbi.nlm.nih.gov/17032433</t>
  </si>
  <si>
    <t>Solidoro P</t>
  </si>
  <si>
    <t>10.1016/j.transproceed.2008.05.028</t>
  </si>
  <si>
    <t>https://pubmed.ncbi.nlm.nih.gov/18675117</t>
  </si>
  <si>
    <t>Soni S</t>
  </si>
  <si>
    <t>10.1111/petr.12201</t>
  </si>
  <si>
    <t>https://pubmed.ncbi.nlm.nih.gov/24330091</t>
  </si>
  <si>
    <t>Stanton R</t>
  </si>
  <si>
    <t>10.1002/jmv.10508</t>
  </si>
  <si>
    <t>https://pubmed.ncbi.nlm.nih.gov/14556272</t>
  </si>
  <si>
    <t>Stefan A</t>
  </si>
  <si>
    <t>10.1128/JVI.71.8.5758-5763.1997</t>
  </si>
  <si>
    <t>https://pubmed.ncbi.nlm.nih.gov/9223462</t>
  </si>
  <si>
    <t>Stefanski HE</t>
  </si>
  <si>
    <t>10.1542/peds.2015-1352</t>
  </si>
  <si>
    <t>https://pubmed.ncbi.nlm.nih.gov/26681781</t>
  </si>
  <si>
    <t>Stepina VN</t>
  </si>
  <si>
    <t>https://pubmed.ncbi.nlm.nih.gov/8059523</t>
  </si>
  <si>
    <t>Stewart MW</t>
  </si>
  <si>
    <t>10.2174/1570162x11311030005</t>
  </si>
  <si>
    <t>https://pubmed.ncbi.nlm.nih.gov/23544389</t>
  </si>
  <si>
    <t>Stinski MF</t>
  </si>
  <si>
    <t>https://pubmed.ncbi.nlm.nih.gov/21348077</t>
  </si>
  <si>
    <t>Streblow DN</t>
  </si>
  <si>
    <t>10.1016/j.coi.2007.07.012</t>
  </si>
  <si>
    <t>https://pubmed.ncbi.nlm.nih.gov/17716883</t>
  </si>
  <si>
    <t>Strenger V</t>
  </si>
  <si>
    <t>10.1002/pbc.22828</t>
  </si>
  <si>
    <t>https://pubmed.ncbi.nlm.nih.gov/21064150</t>
  </si>
  <si>
    <t>10.1016/j.cmi.2015.10.006</t>
  </si>
  <si>
    <t>https://pubmed.ncbi.nlm.nih.gov/26482270</t>
  </si>
  <si>
    <t>Strong MJ</t>
  </si>
  <si>
    <t>10.1186/s40478-016-0338-z</t>
  </si>
  <si>
    <t>https://pubmed.ncbi.nlm.nih.gov/27402152</t>
  </si>
  <si>
    <t>Subhani M</t>
  </si>
  <si>
    <t>10.1002/ccr3.3218</t>
  </si>
  <si>
    <t>https://pubmed.ncbi.nlm.nih.gov/33363781</t>
  </si>
  <si>
    <t>Suematsu N</t>
  </si>
  <si>
    <t>10.2169/naika.102.2682</t>
  </si>
  <si>
    <t>https://pubmed.ncbi.nlm.nih.gov/24400550</t>
  </si>
  <si>
    <t>Suga S</t>
  </si>
  <si>
    <t>https://pubmed.ncbi.nlm.nih.gov/9465691</t>
  </si>
  <si>
    <t>10.1111/j.1348-0421.1992.tb02047.x</t>
  </si>
  <si>
    <t>https://pubmed.ncbi.nlm.nih.gov/1325026</t>
  </si>
  <si>
    <t>10.1002/jmv.1890310412</t>
  </si>
  <si>
    <t>https://pubmed.ncbi.nlm.nih.gov/2176675</t>
  </si>
  <si>
    <t>10.1002/jmv.1890300104</t>
  </si>
  <si>
    <t>https://pubmed.ncbi.nlm.nih.gov/2406371</t>
  </si>
  <si>
    <t>Sugita K</t>
  </si>
  <si>
    <t>https://pubmed.ncbi.nlm.nih.gov/9594451</t>
  </si>
  <si>
    <t>Sullivan BM</t>
  </si>
  <si>
    <t>10.1128/JVI.01571-07</t>
  </si>
  <si>
    <t>https://pubmed.ncbi.nlm.nih.gov/17977973</t>
  </si>
  <si>
    <t>10.1128/JVI.01775-09</t>
  </si>
  <si>
    <t>https://pubmed.ncbi.nlm.nih.gov/19923186</t>
  </si>
  <si>
    <t>Sultanova A</t>
  </si>
  <si>
    <t>10.3390/v12060689</t>
  </si>
  <si>
    <t>https://pubmed.ncbi.nlm.nih.gov/32604892</t>
  </si>
  <si>
    <t>Suminoe A</t>
  </si>
  <si>
    <t>10.1097/MPH.0b013e318142b50d</t>
  </si>
  <si>
    <t>https://pubmed.ncbi.nlm.nih.gov/17921853</t>
  </si>
  <si>
    <t>Sun XW</t>
  </si>
  <si>
    <t>10.3389/fnmol.2018.00340</t>
  </si>
  <si>
    <t>https://pubmed.ncbi.nlm.nih.gov/30294260</t>
  </si>
  <si>
    <t>Sutherland S</t>
  </si>
  <si>
    <t>10.1002/jmv.1890330306</t>
  </si>
  <si>
    <t>https://pubmed.ncbi.nlm.nih.gov/1652618</t>
  </si>
  <si>
    <t>Suzuki HI</t>
  </si>
  <si>
    <t>10.3324/haematol.12029</t>
  </si>
  <si>
    <t>https://pubmed.ncbi.nlm.nih.gov/18310542</t>
  </si>
  <si>
    <t>Suzuki R</t>
  </si>
  <si>
    <t>10.1016/j.jviromet.2005.09.008</t>
  </si>
  <si>
    <t>https://pubmed.ncbi.nlm.nih.gov/16289345</t>
  </si>
  <si>
    <t>Syrůcková Z</t>
  </si>
  <si>
    <t>10.3109/08880019609030804</t>
  </si>
  <si>
    <t>https://pubmed.ncbi.nlm.nih.gov/8721028</t>
  </si>
  <si>
    <t>Szewc AM</t>
  </si>
  <si>
    <t>10.1093/labmed/lmx088</t>
  </si>
  <si>
    <t>https://pubmed.ncbi.nlm.nih.gov/29390152</t>
  </si>
  <si>
    <t>Tadokoro R</t>
  </si>
  <si>
    <t>10.1016/j.braindev.2009.05.007</t>
  </si>
  <si>
    <t>https://pubmed.ncbi.nlm.nih.gov/19556082</t>
  </si>
  <si>
    <t>Tagawa S</t>
  </si>
  <si>
    <t>https://pubmed.ncbi.nlm.nih.gov/1317489</t>
  </si>
  <si>
    <t>Takahashi K</t>
  </si>
  <si>
    <t>10.1097/00006454-199205000-00006</t>
  </si>
  <si>
    <t>https://pubmed.ncbi.nlm.nih.gov/1378586</t>
  </si>
  <si>
    <t>10.1128/JVI.63.7.3161-3163.1989</t>
  </si>
  <si>
    <t>https://pubmed.ncbi.nlm.nih.gov/2542623</t>
  </si>
  <si>
    <t>Takaku T</t>
  </si>
  <si>
    <t>10.1016/j.bbrc.2005.08.104</t>
  </si>
  <si>
    <t>https://pubmed.ncbi.nlm.nih.gov/16140273</t>
  </si>
  <si>
    <t>Takasaki T</t>
  </si>
  <si>
    <t>https://pubmed.ncbi.nlm.nih.gov/9391653</t>
  </si>
  <si>
    <t>Takeda K</t>
  </si>
  <si>
    <t>10.1016/0168-1702(96)01287-7</t>
  </si>
  <si>
    <t>https://pubmed.ncbi.nlm.nih.gov/8738179</t>
  </si>
  <si>
    <t>Takemoto K</t>
  </si>
  <si>
    <t>10.7883/yoken.JJID.2015.366</t>
  </si>
  <si>
    <t>https://pubmed.ncbi.nlm.nih.gov/26567842</t>
  </si>
  <si>
    <t>Takemoto M</t>
  </si>
  <si>
    <t>10.1016/j.virol.2008.11.049</t>
  </si>
  <si>
    <t>https://pubmed.ncbi.nlm.nih.gov/19144370</t>
  </si>
  <si>
    <t>10.1099/vir.0.82394-0</t>
  </si>
  <si>
    <t>https://pubmed.ncbi.nlm.nih.gov/17412968</t>
  </si>
  <si>
    <t>Tan HH</t>
  </si>
  <si>
    <t>10.2165/00128071-200607010-00003</t>
  </si>
  <si>
    <t>https://pubmed.ncbi.nlm.nih.gov/16489840</t>
  </si>
  <si>
    <t>Tanaka M</t>
  </si>
  <si>
    <t>10.1080/10428190400029882</t>
  </si>
  <si>
    <t>https://pubmed.ncbi.nlm.nih.gov/16019484</t>
  </si>
  <si>
    <t>Tanaka N</t>
  </si>
  <si>
    <t>10.1038/sj.bmt.1702710</t>
  </si>
  <si>
    <t>https://pubmed.ncbi.nlm.nih.gov/11149730</t>
  </si>
  <si>
    <t>Tanaka-Taya K</t>
  </si>
  <si>
    <t>https://pubmed.ncbi.nlm.nih.gov/9465692</t>
  </si>
  <si>
    <t>Tang H</t>
  </si>
  <si>
    <t>10.2222/jsv.60.221</t>
  </si>
  <si>
    <t>https://pubmed.ncbi.nlm.nih.gov/21488335</t>
  </si>
  <si>
    <t>10.1128/JVI.05251-11</t>
  </si>
  <si>
    <t>https://pubmed.ncbi.nlm.nih.gov/21849437</t>
  </si>
  <si>
    <t>10.1016/j.virol.2008.05.028</t>
  </si>
  <si>
    <t>https://pubmed.ncbi.nlm.nih.gov/18621409</t>
  </si>
  <si>
    <t>10.1016/j.virol.2010.08.018</t>
  </si>
  <si>
    <t>https://pubmed.ncbi.nlm.nih.gov/20863544</t>
  </si>
  <si>
    <t>10.1128/JVI.00140-15</t>
  </si>
  <si>
    <t>https://pubmed.ncbi.nlm.nih.gov/25694589</t>
  </si>
  <si>
    <t>10.1073/pnas.1305187110</t>
  </si>
  <si>
    <t>https://pubmed.ncbi.nlm.nih.gov/23674671</t>
  </si>
  <si>
    <t>Tang J</t>
  </si>
  <si>
    <t>10.3390/v13101973</t>
  </si>
  <si>
    <t>https://pubmed.ncbi.nlm.nih.gov/34696402</t>
  </si>
  <si>
    <t>Tanner A</t>
  </si>
  <si>
    <t>10.1128/JVI.01556-13</t>
  </si>
  <si>
    <t>https://pubmed.ncbi.nlm.nih.gov/24006442</t>
  </si>
  <si>
    <t>Taplitz RA</t>
  </si>
  <si>
    <t>10.1053/srin.2002.33447</t>
  </si>
  <si>
    <t>https://pubmed.ncbi.nlm.nih.gov/12070831</t>
  </si>
  <si>
    <t>Tasaka T</t>
  </si>
  <si>
    <t>10.1016/j.leukres.2008.07.001</t>
  </si>
  <si>
    <t>https://pubmed.ncbi.nlm.nih.gov/18691755</t>
  </si>
  <si>
    <t>https://pubmed.ncbi.nlm.nih.gov/11201155</t>
  </si>
  <si>
    <t>Tashiro Y</t>
  </si>
  <si>
    <t>10.1111/1346-8138.14776</t>
  </si>
  <si>
    <t>https://pubmed.ncbi.nlm.nih.gov/30663091</t>
  </si>
  <si>
    <t>Tátrai E</t>
  </si>
  <si>
    <t>10.1007/s12253-010-9302-6</t>
  </si>
  <si>
    <t>https://pubmed.ncbi.nlm.nih.gov/20853075</t>
  </si>
  <si>
    <t>Te HS</t>
  </si>
  <si>
    <t>10.1016/j.transproceed.2012.08.020</t>
  </si>
  <si>
    <t>https://pubmed.ncbi.nlm.nih.gov/23498824</t>
  </si>
  <si>
    <t>Tejada-Simon MV</t>
  </si>
  <si>
    <t>10.1128/jvi.76.12.6147-6154.2002</t>
  </si>
  <si>
    <t>https://pubmed.ncbi.nlm.nih.gov/12021348</t>
  </si>
  <si>
    <t>10.1002/ana.10425</t>
  </si>
  <si>
    <t>https://pubmed.ncbi.nlm.nih.gov/12557285</t>
  </si>
  <si>
    <t>Teshima T</t>
  </si>
  <si>
    <t>https://pubmed.ncbi.nlm.nih.gov/19915376</t>
  </si>
  <si>
    <t>Tesini BL</t>
  </si>
  <si>
    <t>10.1016/j.coviro.2014.09.013</t>
  </si>
  <si>
    <t>https://pubmed.ncbi.nlm.nih.gov/25462439</t>
  </si>
  <si>
    <t>Theron A</t>
  </si>
  <si>
    <t>10.1182/bloodadvances.2021005126</t>
  </si>
  <si>
    <t>https://pubmed.ncbi.nlm.nih.gov/34788405</t>
  </si>
  <si>
    <t>Thomas D</t>
  </si>
  <si>
    <t>10.1111/j.1600-0897.2004.00152.x</t>
  </si>
  <si>
    <t>https://pubmed.ncbi.nlm.nih.gov/15209395</t>
  </si>
  <si>
    <t>Thomasini RL</t>
  </si>
  <si>
    <t>10.1111/j.1600-0765.2011.01413.x</t>
  </si>
  <si>
    <t>https://pubmed.ncbi.nlm.nih.gov/21895663</t>
  </si>
  <si>
    <t>10.1016/j.transproceed.2006.12.037</t>
  </si>
  <si>
    <t>https://pubmed.ncbi.nlm.nih.gov/17580183</t>
  </si>
  <si>
    <t>Thomson BJ</t>
  </si>
  <si>
    <t>10.1006/viro.1994.1535</t>
  </si>
  <si>
    <t>https://pubmed.ncbi.nlm.nih.gov/8091661</t>
  </si>
  <si>
    <t>Thulke S</t>
  </si>
  <si>
    <t>10.1186/1743-422X-3-77</t>
  </si>
  <si>
    <t>https://pubmed.ncbi.nlm.nih.gov/16984646</t>
  </si>
  <si>
    <t>Thurlapati A</t>
  </si>
  <si>
    <t>10.7759/cureus.22632</t>
  </si>
  <si>
    <t>https://pubmed.ncbi.nlm.nih.gov/35371815</t>
  </si>
  <si>
    <t>Tiacci E</t>
  </si>
  <si>
    <t>https://pubmed.ncbi.nlm.nih.gov/10629599</t>
  </si>
  <si>
    <t>Tischer S</t>
  </si>
  <si>
    <t>10.1186/s12967-014-0336-5</t>
  </si>
  <si>
    <t>https://pubmed.ncbi.nlm.nih.gov/25510656</t>
  </si>
  <si>
    <t>Todd K</t>
  </si>
  <si>
    <t>10.1002/pbc.28136</t>
  </si>
  <si>
    <t>https://pubmed.ncbi.nlm.nih.gov/31876110</t>
  </si>
  <si>
    <t>Tohyama M</t>
  </si>
  <si>
    <t>https://pubmed.ncbi.nlm.nih.gov/16615518</t>
  </si>
  <si>
    <t>10.1111/1346-8138.15294</t>
  </si>
  <si>
    <t>https://pubmed.ncbi.nlm.nih.gov/32162382</t>
  </si>
  <si>
    <t>https://pubmed.ncbi.nlm.nih.gov/18059145</t>
  </si>
  <si>
    <t>Tomaszewska A</t>
  </si>
  <si>
    <t>10.5114/aoms.2010.13912</t>
  </si>
  <si>
    <t>https://pubmed.ncbi.nlm.nih.gov/22371761</t>
  </si>
  <si>
    <t>Tomoiu A</t>
  </si>
  <si>
    <t>10.1128/JVI.00375-06</t>
  </si>
  <si>
    <t>https://pubmed.ncbi.nlm.nih.gov/17005699</t>
  </si>
  <si>
    <t>10.1038/sj.bmt.1705184</t>
  </si>
  <si>
    <t>https://pubmed.ncbi.nlm.nih.gov/16247430</t>
  </si>
  <si>
    <t>Tong CY</t>
  </si>
  <si>
    <t>https://pubmed.ncbi.nlm.nih.gov/10919606</t>
  </si>
  <si>
    <t>10.1097/00007890-200208270-00026</t>
  </si>
  <si>
    <t>https://pubmed.ncbi.nlm.nih.gov/12352923</t>
  </si>
  <si>
    <t>10.1002/jmv.1013</t>
  </si>
  <si>
    <t>https://pubmed.ncbi.nlm.nih.gov/11285565</t>
  </si>
  <si>
    <t>Tong LX</t>
  </si>
  <si>
    <t>10.1016/j.jaad.2014.12.002</t>
  </si>
  <si>
    <t>https://pubmed.ncbi.nlm.nih.gov/25582535</t>
  </si>
  <si>
    <t>Toomey D</t>
  </si>
  <si>
    <t>10.1111/tid.13443</t>
  </si>
  <si>
    <t>https://pubmed.ncbi.nlm.nih.gov/32786154</t>
  </si>
  <si>
    <t>10.1016/j.jtct.2023.06.022</t>
  </si>
  <si>
    <t>https://pubmed.ncbi.nlm.nih.gov/37422195</t>
  </si>
  <si>
    <t>Torigoe S</t>
  </si>
  <si>
    <t>10.1542/peds.100.3.398</t>
  </si>
  <si>
    <t>https://pubmed.ncbi.nlm.nih.gov/9282715</t>
  </si>
  <si>
    <t>Tormanowska M</t>
  </si>
  <si>
    <t>https://pubmed.ncbi.nlm.nih.gov/30351743</t>
  </si>
  <si>
    <t>Trabue CH</t>
  </si>
  <si>
    <t>https://pubmed.ncbi.nlm.nih.gov/19856546</t>
  </si>
  <si>
    <t>Tran P</t>
  </si>
  <si>
    <t>10.1046/j.1365-2567.2003.01659.x</t>
  </si>
  <si>
    <t>https://pubmed.ncbi.nlm.nih.gov/12757622</t>
  </si>
  <si>
    <t>Traore L</t>
  </si>
  <si>
    <t>10.4084/MJHID.2017.049</t>
  </si>
  <si>
    <t>https://pubmed.ncbi.nlm.nih.gov/28894558</t>
  </si>
  <si>
    <t>Tronconi GM</t>
  </si>
  <si>
    <t>10.4081/pmc.2012.59</t>
  </si>
  <si>
    <t>https://pubmed.ncbi.nlm.nih.gov/23342747</t>
  </si>
  <si>
    <t>Trottier H</t>
  </si>
  <si>
    <t>10.1111/vox.12330</t>
  </si>
  <si>
    <t>https://pubmed.ncbi.nlm.nih.gov/26383177</t>
  </si>
  <si>
    <t>Tsujimura H</t>
  </si>
  <si>
    <t>10.1111/j.1600-0609.1998.tb01718.x</t>
  </si>
  <si>
    <t>https://pubmed.ncbi.nlm.nih.gov/9820639</t>
  </si>
  <si>
    <t>Turner S</t>
  </si>
  <si>
    <t>10.1016/s0166-0934(02)00130-1</t>
  </si>
  <si>
    <t>https://pubmed.ncbi.nlm.nih.gov/12270665</t>
  </si>
  <si>
    <t>Tyler KL</t>
  </si>
  <si>
    <t>10.1001/archneurol.2009.153</t>
  </si>
  <si>
    <t>https://pubmed.ncbi.nlm.nih.gov/19667214</t>
  </si>
  <si>
    <t>10.1001/archneurol.2009.189</t>
  </si>
  <si>
    <t>https://pubmed.ncbi.nlm.nih.gov/19752295</t>
  </si>
  <si>
    <t>Uchida N</t>
  </si>
  <si>
    <t>10.11406/rinketsu.57.531</t>
  </si>
  <si>
    <t>https://pubmed.ncbi.nlm.nih.gov/27263776</t>
  </si>
  <si>
    <t>Ueda MY</t>
  </si>
  <si>
    <t>10.1590/0074-02760150004</t>
  </si>
  <si>
    <t>https://pubmed.ncbi.nlm.nih.gov/26038958</t>
  </si>
  <si>
    <t>Ueki H</t>
  </si>
  <si>
    <t>10.1111/petr.12323</t>
  </si>
  <si>
    <t>https://pubmed.ncbi.nlm.nih.gov/25074497</t>
  </si>
  <si>
    <t>Ulčová-Gallová Z</t>
  </si>
  <si>
    <t>https://pubmed.ncbi.nlm.nih.gov/31324107</t>
  </si>
  <si>
    <t>Valdespino-Vázquez MY</t>
  </si>
  <si>
    <t>10.1093/cid/ciy616</t>
  </si>
  <si>
    <t>https://pubmed.ncbi.nlm.nih.gov/30188990</t>
  </si>
  <si>
    <t>Van Leer-Buter CC</t>
  </si>
  <si>
    <t>10.1016/j.jcv.2013.07.014</t>
  </si>
  <si>
    <t>https://pubmed.ncbi.nlm.nih.gov/23938304</t>
  </si>
  <si>
    <t>van Loon N</t>
  </si>
  <si>
    <t>10.1128/JVI.71.4.3279-3284.1997</t>
  </si>
  <si>
    <t>https://pubmed.ncbi.nlm.nih.gov/9060695</t>
  </si>
  <si>
    <t>van Sechel AC</t>
  </si>
  <si>
    <t>https://pubmed.ncbi.nlm.nih.gov/9886378</t>
  </si>
  <si>
    <t>Veraldi S</t>
  </si>
  <si>
    <t>10.4081/dr.2022.9503</t>
  </si>
  <si>
    <t>https://pubmed.ncbi.nlm.nih.gov/37063394</t>
  </si>
  <si>
    <t>Viali S</t>
  </si>
  <si>
    <t>10.1002/1097-4598(200008)23:8&lt;1295::aid-mus24&gt;3.0.co;2-e</t>
  </si>
  <si>
    <t>https://pubmed.ncbi.nlm.nih.gov/10918273</t>
  </si>
  <si>
    <t>Victoria NC</t>
  </si>
  <si>
    <t>10.1016/j.bbmt.2020.01.023</t>
  </si>
  <si>
    <t>https://pubmed.ncbi.nlm.nih.gov/32028025</t>
  </si>
  <si>
    <t>Vieira JP</t>
  </si>
  <si>
    <t>10.1177/0883073817724927</t>
  </si>
  <si>
    <t>https://pubmed.ncbi.nlm.nih.gov/28820014</t>
  </si>
  <si>
    <t>Vignoli M</t>
  </si>
  <si>
    <t>10.1089/152581600319603</t>
  </si>
  <si>
    <t>https://pubmed.ncbi.nlm.nih.gov/10738970</t>
  </si>
  <si>
    <t>Vila L</t>
  </si>
  <si>
    <t>10.1007/s12094-008-0225-6</t>
  </si>
  <si>
    <t>https://pubmed.ncbi.nlm.nih.gov/18628071</t>
  </si>
  <si>
    <t>Vilks A</t>
  </si>
  <si>
    <t>https://pubmed.ncbi.nlm.nih.gov/24749313</t>
  </si>
  <si>
    <t>Vinnard C</t>
  </si>
  <si>
    <t>10.1111/j.1399-3062.2009.00468.x</t>
  </si>
  <si>
    <t>https://pubmed.ncbi.nlm.nih.gov/19891754</t>
  </si>
  <si>
    <t>10.1002/lt.21816</t>
  </si>
  <si>
    <t>https://pubmed.ncbi.nlm.nih.gov/19790143</t>
  </si>
  <si>
    <t>Visser AM</t>
  </si>
  <si>
    <t>10.1159/000090718</t>
  </si>
  <si>
    <t>https://pubmed.ncbi.nlm.nih.gov/16401906</t>
  </si>
  <si>
    <t>Voigt M</t>
  </si>
  <si>
    <t>10.1007/s00277-021-04409-y</t>
  </si>
  <si>
    <t>https://pubmed.ncbi.nlm.nih.gov/33443593</t>
  </si>
  <si>
    <t>Vojdani A</t>
  </si>
  <si>
    <t>10.1289/ehp.6881</t>
  </si>
  <si>
    <t>https://pubmed.ncbi.nlm.nih.gov/15175170</t>
  </si>
  <si>
    <t>Vrsalovic MM</t>
  </si>
  <si>
    <t>10.1002/hon.740</t>
  </si>
  <si>
    <t>https://pubmed.ncbi.nlm.nih.gov/16134192</t>
  </si>
  <si>
    <t>Wada A</t>
  </si>
  <si>
    <t>10.1016/j.braindev.2017.09.005</t>
  </si>
  <si>
    <t>https://pubmed.ncbi.nlm.nih.gov/28958731</t>
  </si>
  <si>
    <t>Wada K</t>
  </si>
  <si>
    <t>10.1128/JCM.01515-06</t>
  </si>
  <si>
    <t>https://pubmed.ncbi.nlm.nih.gov/17376882</t>
  </si>
  <si>
    <t>Wade JC</t>
  </si>
  <si>
    <t>10.1182/asheducation-2006.1.368</t>
  </si>
  <si>
    <t>https://pubmed.ncbi.nlm.nih.gov/17124085</t>
  </si>
  <si>
    <t>Wagner M</t>
  </si>
  <si>
    <t>10.1086/514992</t>
  </si>
  <si>
    <t>https://pubmed.ncbi.nlm.nih.gov/9827286</t>
  </si>
  <si>
    <t>Wagstaff AJ</t>
  </si>
  <si>
    <t>10.2165/00003495-199447010-00009</t>
  </si>
  <si>
    <t>https://pubmed.ncbi.nlm.nih.gov/7510619</t>
  </si>
  <si>
    <t>Wainwright MS</t>
  </si>
  <si>
    <t>10.1002/ana.1251</t>
  </si>
  <si>
    <t>https://pubmed.ncbi.nlm.nih.gov/11706967</t>
  </si>
  <si>
    <t>Wakata A</t>
  </si>
  <si>
    <t>10.1128/JVI.02074-17</t>
  </si>
  <si>
    <t>https://pubmed.ncbi.nlm.nih.gov/29212944</t>
  </si>
  <si>
    <t>Wallaschek N</t>
  </si>
  <si>
    <t>10.1371/journal.ppat.1005666</t>
  </si>
  <si>
    <t>https://pubmed.ncbi.nlm.nih.gov/27244446</t>
  </si>
  <si>
    <t>Walton AH</t>
  </si>
  <si>
    <t>10.1371/journal.pone.0098819</t>
  </si>
  <si>
    <t>https://pubmed.ncbi.nlm.nih.gov/24919177</t>
  </si>
  <si>
    <t>Wang B</t>
  </si>
  <si>
    <t>10.1128/JVI.02270-18</t>
  </si>
  <si>
    <t>https://pubmed.ncbi.nlm.nih.gov/30842329</t>
  </si>
  <si>
    <t>10.1128/JVI.01851-19</t>
  </si>
  <si>
    <t>https://pubmed.ncbi.nlm.nih.gov/31852793</t>
  </si>
  <si>
    <t>Wang D</t>
  </si>
  <si>
    <t>https://pubmed.ncbi.nlm.nih.gov/11938792</t>
  </si>
  <si>
    <t>Wang F</t>
  </si>
  <si>
    <t>10.1128/JVI.02586-13</t>
  </si>
  <si>
    <t>https://pubmed.ncbi.nlm.nih.gov/24198406</t>
  </si>
  <si>
    <t>10.1111/j.1348-0421.2006.tb03855.x</t>
  </si>
  <si>
    <t>https://pubmed.ncbi.nlm.nih.gov/17053315</t>
  </si>
  <si>
    <t>https://pubmed.ncbi.nlm.nih.gov/21348133</t>
  </si>
  <si>
    <t>Wang G</t>
  </si>
  <si>
    <t>10.1002/jmv.10522</t>
  </si>
  <si>
    <t>https://pubmed.ncbi.nlm.nih.gov/14556271</t>
  </si>
  <si>
    <t>https://pubmed.ncbi.nlm.nih.gov/17172120</t>
  </si>
  <si>
    <t>https://pubmed.ncbi.nlm.nih.gov/17204195</t>
  </si>
  <si>
    <t>https://pubmed.ncbi.nlm.nih.gov/17988530</t>
  </si>
  <si>
    <t>Wang P</t>
  </si>
  <si>
    <t>10.1111/j.1348-0421.2001.tb02645.x</t>
  </si>
  <si>
    <t>https://pubmed.ncbi.nlm.nih.gov/11497221</t>
  </si>
  <si>
    <t>Wang Y</t>
  </si>
  <si>
    <t>10.1111/tid.13403</t>
  </si>
  <si>
    <t>https://pubmed.ncbi.nlm.nih.gov/32638491</t>
  </si>
  <si>
    <t>Wang Z</t>
  </si>
  <si>
    <t>10.1186/s12967-022-03682-3</t>
  </si>
  <si>
    <t>https://pubmed.ncbi.nlm.nih.gov/36284352</t>
  </si>
  <si>
    <t>Ward KN</t>
  </si>
  <si>
    <t>10.1097/WCO.0000000000000085</t>
  </si>
  <si>
    <t>https://pubmed.ncbi.nlm.nih.gov/24792343</t>
  </si>
  <si>
    <t>10.1097/01.qco.0000168386.16519.93</t>
  </si>
  <si>
    <t>https://pubmed.ncbi.nlm.nih.gov/15864103</t>
  </si>
  <si>
    <t>10.1002/jmv.1890340411</t>
  </si>
  <si>
    <t>https://pubmed.ncbi.nlm.nih.gov/1658217</t>
  </si>
  <si>
    <t>10.3324/haematol.2019.223073</t>
  </si>
  <si>
    <t>https://pubmed.ncbi.nlm.nih.gov/31467131</t>
  </si>
  <si>
    <t>10.1002/jmv.1890390109</t>
  </si>
  <si>
    <t>https://pubmed.ncbi.nlm.nih.gov/8380842</t>
  </si>
  <si>
    <t>10.1002/jmv.1890280203</t>
  </si>
  <si>
    <t>https://pubmed.ncbi.nlm.nih.gov/2544678</t>
  </si>
  <si>
    <t>10.1038/sj.bmt.1703774</t>
  </si>
  <si>
    <t>https://pubmed.ncbi.nlm.nih.gov/12476296</t>
  </si>
  <si>
    <t>Warner S</t>
  </si>
  <si>
    <t>10.3389/fped.2023.1143051</t>
  </si>
  <si>
    <t>https://pubmed.ncbi.nlm.nih.gov/37181429</t>
  </si>
  <si>
    <t>Waruiru C</t>
  </si>
  <si>
    <t>10.1097/01.inf.0000250621.46742.b5</t>
  </si>
  <si>
    <t>https://pubmed.ncbi.nlm.nih.gov/17259874</t>
  </si>
  <si>
    <t>Watanabe H</t>
  </si>
  <si>
    <t>10.1155/2018/5163129</t>
  </si>
  <si>
    <t>https://pubmed.ncbi.nlm.nih.gov/29744372</t>
  </si>
  <si>
    <t>Watanabe J</t>
  </si>
  <si>
    <t>10.2169/naika.94.2388</t>
  </si>
  <si>
    <t>https://pubmed.ncbi.nlm.nih.gov/16363745</t>
  </si>
  <si>
    <t>Wattre P</t>
  </si>
  <si>
    <t>https://pubmed.ncbi.nlm.nih.gov/8869358</t>
  </si>
  <si>
    <t>Weaver GC</t>
  </si>
  <si>
    <t>10.3389/fimmu.2022.864898</t>
  </si>
  <si>
    <t>https://pubmed.ncbi.nlm.nih.gov/35444636</t>
  </si>
  <si>
    <t>10.3389/fimmu.2022.936968</t>
  </si>
  <si>
    <t>https://pubmed.ncbi.nlm.nih.gov/35677042</t>
  </si>
  <si>
    <t>10.1111/j.1399-3062.2010.00511.x</t>
  </si>
  <si>
    <t>https://pubmed.ncbi.nlm.nih.gov/20487413</t>
  </si>
  <si>
    <t>Weinberg A</t>
  </si>
  <si>
    <t>10.1016/j.bbmt.2004.09.005</t>
  </si>
  <si>
    <t>https://pubmed.ncbi.nlm.nih.gov/15625542</t>
  </si>
  <si>
    <t>Whitman AG</t>
  </si>
  <si>
    <t>10.2174/157016205774370384</t>
  </si>
  <si>
    <t>https://pubmed.ncbi.nlm.nih.gov/16250879</t>
  </si>
  <si>
    <t>Whyte ML</t>
  </si>
  <si>
    <t>10.1128/JVI.01628-20</t>
  </si>
  <si>
    <t>https://pubmed.ncbi.nlm.nih.gov/33952641</t>
  </si>
  <si>
    <t>Wiersbitzky S</t>
  </si>
  <si>
    <t>https://pubmed.ncbi.nlm.nih.gov/1656131</t>
  </si>
  <si>
    <t>https://pubmed.ncbi.nlm.nih.gov/1658424</t>
  </si>
  <si>
    <t>10.1016/s0166-0934(98)00033-0</t>
  </si>
  <si>
    <t>https://pubmed.ncbi.nlm.nih.gov/9705171</t>
  </si>
  <si>
    <t>Wood MJ</t>
  </si>
  <si>
    <t>10.1093/jac/41.suppl_4.81</t>
  </si>
  <si>
    <t>https://pubmed.ncbi.nlm.nih.gov/9688454</t>
  </si>
  <si>
    <t>Wormser VR</t>
  </si>
  <si>
    <t>10.1111/tid.14201</t>
  </si>
  <si>
    <t>https://pubmed.ncbi.nlm.nih.gov/38041493</t>
  </si>
  <si>
    <t>Wrzos H</t>
  </si>
  <si>
    <t>10.1016/0140-6736(90)90729-o</t>
  </si>
  <si>
    <t>https://pubmed.ncbi.nlm.nih.gov/1968216</t>
  </si>
  <si>
    <t>Wu CA</t>
  </si>
  <si>
    <t>10.1099/0022-1317-79-5-1247</t>
  </si>
  <si>
    <t>https://pubmed.ncbi.nlm.nih.gov/9603340</t>
  </si>
  <si>
    <t>Wu Z</t>
  </si>
  <si>
    <t>10.1371/journal.ppat.1008568</t>
  </si>
  <si>
    <t>https://pubmed.ncbi.nlm.nih.gov/32516328</t>
  </si>
  <si>
    <t>Wyatt LS</t>
  </si>
  <si>
    <t>10.1128/JVI.65.11.6260-6265.1991</t>
  </si>
  <si>
    <t>https://pubmed.ncbi.nlm.nih.gov/1656093</t>
  </si>
  <si>
    <t>10.1093/infdis/162.4.852</t>
  </si>
  <si>
    <t>https://pubmed.ncbi.nlm.nih.gov/2169499</t>
  </si>
  <si>
    <t>Xu B</t>
  </si>
  <si>
    <t>10.3724/abbs.2023161</t>
  </si>
  <si>
    <t>https://pubmed.ncbi.nlm.nih.gov/37559456</t>
  </si>
  <si>
    <t>Yagasaki H</t>
  </si>
  <si>
    <t>10.1111/tid.12338</t>
  </si>
  <si>
    <t>https://pubmed.ncbi.nlm.nih.gov/25571778</t>
  </si>
  <si>
    <t>Yaginuma K</t>
  </si>
  <si>
    <t>10.1016/j.radcr.2019.08.010</t>
  </si>
  <si>
    <t>https://pubmed.ncbi.nlm.nih.gov/31516647</t>
  </si>
  <si>
    <t>Yakushijin Y</t>
  </si>
  <si>
    <t>10.1111/j.1348-0421.1991.tb01597.x</t>
  </si>
  <si>
    <t>https://pubmed.ncbi.nlm.nih.gov/1661364</t>
  </si>
  <si>
    <t>10.1128/JVI.66.5.2773-2779.1992</t>
  </si>
  <si>
    <t>https://pubmed.ncbi.nlm.nih.gov/1348547</t>
  </si>
  <si>
    <t>Yalcin S</t>
  </si>
  <si>
    <t>10.1007/BF01538827</t>
  </si>
  <si>
    <t>https://pubmed.ncbi.nlm.nih.gov/8002785</t>
  </si>
  <si>
    <t>Yamada A</t>
  </si>
  <si>
    <t>10.1016/j.legalmed.2021.102007</t>
  </si>
  <si>
    <t>https://pubmed.ncbi.nlm.nih.gov/34973500</t>
  </si>
  <si>
    <t>10.1016/0008-8749(92)90276-u</t>
  </si>
  <si>
    <t>https://pubmed.ncbi.nlm.nih.gov/1375131</t>
  </si>
  <si>
    <t>Yamada M</t>
  </si>
  <si>
    <t>https://pubmed.ncbi.nlm.nih.gov/11427741</t>
  </si>
  <si>
    <t>10.2222/jsv.48.39</t>
  </si>
  <si>
    <t>https://pubmed.ncbi.nlm.nih.gov/9752764</t>
  </si>
  <si>
    <t>10.1016/j.jtct.2021.07.014</t>
  </si>
  <si>
    <t>https://pubmed.ncbi.nlm.nih.gov/34298243</t>
  </si>
  <si>
    <t>Yamada S</t>
  </si>
  <si>
    <t>10.1080/10245332.2001.11746562</t>
  </si>
  <si>
    <t>https://pubmed.ncbi.nlm.nih.gov/27419878</t>
  </si>
  <si>
    <t>Yamada Y</t>
  </si>
  <si>
    <t>10.1111/tid.12636</t>
  </si>
  <si>
    <t>https://pubmed.ncbi.nlm.nih.gov/27859994</t>
  </si>
  <si>
    <t>Yamaguchi N</t>
  </si>
  <si>
    <t>10.1034/j.1399-0012.2003.00053.x</t>
  </si>
  <si>
    <t>https://pubmed.ncbi.nlm.nih.gov/12868990</t>
  </si>
  <si>
    <t>Yamamoto K</t>
  </si>
  <si>
    <t>10.1002/jmv.20239</t>
  </si>
  <si>
    <t>https://pubmed.ncbi.nlm.nih.gov/15543584</t>
  </si>
  <si>
    <t>Yamamoto M</t>
  </si>
  <si>
    <t>10.1128/jcm.28.9.1957-1962.1990</t>
  </si>
  <si>
    <t>https://pubmed.ncbi.nlm.nih.gov/2172295</t>
  </si>
  <si>
    <t>Yamamoto T</t>
  </si>
  <si>
    <t>10.1111/tid.12270</t>
  </si>
  <si>
    <t>https://pubmed.ncbi.nlm.nih.gov/25040797</t>
  </si>
  <si>
    <t>Yamanishi K</t>
  </si>
  <si>
    <t>https://pubmed.ncbi.nlm.nih.gov/1365539</t>
  </si>
  <si>
    <t>https://pubmed.ncbi.nlm.nih.gov/11867006</t>
  </si>
  <si>
    <t>10.1016/s0140-6736(88)91893-4</t>
  </si>
  <si>
    <t>https://pubmed.ncbi.nlm.nih.gov/2896909</t>
  </si>
  <si>
    <t>Yang CH</t>
  </si>
  <si>
    <t>10.1093/infdis/jiy644</t>
  </si>
  <si>
    <t>https://pubmed.ncbi.nlm.nih.gov/30418598</t>
  </si>
  <si>
    <t>Yang JY</t>
  </si>
  <si>
    <t>10.1089/aid.1993.9.747</t>
  </si>
  <si>
    <t>https://pubmed.ncbi.nlm.nih.gov/7692906</t>
  </si>
  <si>
    <t>Yang W</t>
  </si>
  <si>
    <t>https://pubmed.ncbi.nlm.nih.gov/11263334</t>
  </si>
  <si>
    <t>Yang Y</t>
  </si>
  <si>
    <t>https://pubmed.ncbi.nlm.nih.gov/10678076</t>
  </si>
  <si>
    <t>Yao K</t>
  </si>
  <si>
    <t>10.1002/glia.20333</t>
  </si>
  <si>
    <t>https://pubmed.ncbi.nlm.nih.gov/16541415</t>
  </si>
  <si>
    <t>10.1016/S1386-6532(06)70013-0</t>
  </si>
  <si>
    <t>https://pubmed.ncbi.nlm.nih.gov/17276371</t>
  </si>
  <si>
    <t>10.1007/s11481-010-9232-9</t>
  </si>
  <si>
    <t>https://pubmed.ncbi.nlm.nih.gov/20661655</t>
  </si>
  <si>
    <t>Yassa G</t>
  </si>
  <si>
    <t>10.1016/j.jtct.2021.02.019</t>
  </si>
  <si>
    <t>https://pubmed.ncbi.nlm.nih.gov/33789834</t>
  </si>
  <si>
    <t>Yasui T</t>
  </si>
  <si>
    <t>10.1111/petr.13239</t>
  </si>
  <si>
    <t>https://pubmed.ncbi.nlm.nih.gov/29862613</t>
  </si>
  <si>
    <t>Yasukawa M</t>
  </si>
  <si>
    <t>https://pubmed.ncbi.nlm.nih.gov/9920848</t>
  </si>
  <si>
    <t>https://pubmed.ncbi.nlm.nih.gov/10228019</t>
  </si>
  <si>
    <t>10.1099/0022-1317-79-1-143</t>
  </si>
  <si>
    <t>https://pubmed.ncbi.nlm.nih.gov/9460935</t>
  </si>
  <si>
    <t>https://pubmed.ncbi.nlm.nih.gov/16615507</t>
  </si>
  <si>
    <t>10.1128/JVI.67.10.6259-6264.1993</t>
  </si>
  <si>
    <t>https://pubmed.ncbi.nlm.nih.gov/8396680</t>
  </si>
  <si>
    <t>https://pubmed.ncbi.nlm.nih.gov/16444956</t>
  </si>
  <si>
    <t>Yata K</t>
  </si>
  <si>
    <t>10.11150/kansenshogakuzasshi1970.76.385</t>
  </si>
  <si>
    <t>https://pubmed.ncbi.nlm.nih.gov/12073575</t>
  </si>
  <si>
    <t>Yee-Guardino S</t>
  </si>
  <si>
    <t>10.3201/eid1404.070651</t>
  </si>
  <si>
    <t>https://pubmed.ncbi.nlm.nih.gov/18394275</t>
  </si>
  <si>
    <t>Yeh YM</t>
  </si>
  <si>
    <t>10.1111/j.1365-2559.2010.03709.x</t>
  </si>
  <si>
    <t>https://pubmed.ncbi.nlm.nih.gov/21166693</t>
  </si>
  <si>
    <t>Yeo WM</t>
  </si>
  <si>
    <t>10.1128/JVI.01156-07</t>
  </si>
  <si>
    <t>https://pubmed.ncbi.nlm.nih.gov/17928352</t>
  </si>
  <si>
    <t>Yildiz H</t>
  </si>
  <si>
    <t>10.1016/j.clinre.2017.10.007</t>
  </si>
  <si>
    <t>https://pubmed.ncbi.nlm.nih.gov/29239849</t>
  </si>
  <si>
    <t>Ylinen E</t>
  </si>
  <si>
    <t>10.1111/petr.12905</t>
  </si>
  <si>
    <t>https://pubmed.ncbi.nlm.nih.gov/28213954</t>
  </si>
  <si>
    <t>Yokote T</t>
  </si>
  <si>
    <t>10.1080/10428190290017233</t>
  </si>
  <si>
    <t>https://pubmed.ncbi.nlm.nih.gov/12153190</t>
  </si>
  <si>
    <t>Yoneda S</t>
  </si>
  <si>
    <t>10.1210/jc.2016-4029</t>
  </si>
  <si>
    <t>https://pubmed.ncbi.nlm.nih.gov/28398495</t>
  </si>
  <si>
    <t>Yoon GS</t>
  </si>
  <si>
    <t>10.5021/ad.2009.21.1.1</t>
  </si>
  <si>
    <t>https://pubmed.ncbi.nlm.nih.gov/20548847</t>
  </si>
  <si>
    <t>Yoon JS</t>
  </si>
  <si>
    <t>10.5483/bmbrep.2004.37.3.383</t>
  </si>
  <si>
    <t>https://pubmed.ncbi.nlm.nih.gov/15469723</t>
  </si>
  <si>
    <t>Yoshida H</t>
  </si>
  <si>
    <t>10.1007/BF02982136</t>
  </si>
  <si>
    <t>https://pubmed.ncbi.nlm.nih.gov/12041676</t>
  </si>
  <si>
    <t>Yoshida M</t>
  </si>
  <si>
    <t>10.6002/ect.2014.0261</t>
  </si>
  <si>
    <t>https://pubmed.ncbi.nlm.nih.gov/26476073</t>
  </si>
  <si>
    <t>10.1016/s0166-3542(98)00049-7</t>
  </si>
  <si>
    <t>https://pubmed.ncbi.nlm.nih.gov/9864048</t>
  </si>
  <si>
    <t>10.1016/0166-0934(95)02002-0</t>
  </si>
  <si>
    <t>https://pubmed.ncbi.nlm.nih.gov/8783159</t>
  </si>
  <si>
    <t>10.1128/cdli.9.2.388-393.2002</t>
  </si>
  <si>
    <t>https://pubmed.ncbi.nlm.nih.gov/11874884</t>
  </si>
  <si>
    <t>Yoshida R</t>
  </si>
  <si>
    <t>10.1074/jbc.272.21.13803</t>
  </si>
  <si>
    <t>https://pubmed.ncbi.nlm.nih.gov/9153236</t>
  </si>
  <si>
    <t>Yoshihara S</t>
  </si>
  <si>
    <t>10.1097/01.tp.0000119603.59880.47</t>
  </si>
  <si>
    <t>https://pubmed.ncbi.nlm.nih.gov/15077022</t>
  </si>
  <si>
    <t>10.3109/10428199209049819</t>
  </si>
  <si>
    <t>https://pubmed.ncbi.nlm.nih.gov/1337298</t>
  </si>
  <si>
    <t>10.1067/mpd.2001.113622</t>
  </si>
  <si>
    <t>https://pubmed.ncbi.nlm.nih.gov/11391342</t>
  </si>
  <si>
    <t>https://pubmed.ncbi.nlm.nih.gov/10935989</t>
  </si>
  <si>
    <t>10.1097/00007890-199805150-00021</t>
  </si>
  <si>
    <t>https://pubmed.ncbi.nlm.nih.gov/9603179</t>
  </si>
  <si>
    <t>10.1136/jcp.52.1.65</t>
  </si>
  <si>
    <t>https://pubmed.ncbi.nlm.nih.gov/10343615</t>
  </si>
  <si>
    <t>10.1002/jmv.10461</t>
  </si>
  <si>
    <t>https://pubmed.ncbi.nlm.nih.gov/12858410</t>
  </si>
  <si>
    <t>https://pubmed.ncbi.nlm.nih.gov/11486597</t>
  </si>
  <si>
    <t>10.1002/jmv.1890370314</t>
  </si>
  <si>
    <t>https://pubmed.ncbi.nlm.nih.gov/1331312</t>
  </si>
  <si>
    <t>https://pubmed.ncbi.nlm.nih.gov/20714035</t>
  </si>
  <si>
    <t>10.1097/00007890-199211000-00022</t>
  </si>
  <si>
    <t>https://pubmed.ncbi.nlm.nih.gov/1332225</t>
  </si>
  <si>
    <t>10.5692/clinicalneurol.52.1372</t>
  </si>
  <si>
    <t>https://pubmed.ncbi.nlm.nih.gov/23196622</t>
  </si>
  <si>
    <t>10.1097/00006454-199305000-00014</t>
  </si>
  <si>
    <t>https://pubmed.ncbi.nlm.nih.gov/8392166</t>
  </si>
  <si>
    <t>10.1128/CDLI.8.1.170-173.2001</t>
  </si>
  <si>
    <t>https://pubmed.ncbi.nlm.nih.gov/11139213</t>
  </si>
  <si>
    <t>10.1046/j.1365-2141.2003.04788.x</t>
  </si>
  <si>
    <t>https://pubmed.ncbi.nlm.nih.gov/14984492</t>
  </si>
  <si>
    <t>10.1034/j.1399-3046.2003.02094.x</t>
  </si>
  <si>
    <t>https://pubmed.ncbi.nlm.nih.gov/12581322</t>
  </si>
  <si>
    <t>10.1002/jmv.1890410412</t>
  </si>
  <si>
    <t>https://pubmed.ncbi.nlm.nih.gov/8106867</t>
  </si>
  <si>
    <t>10.1111/j.1442-200x.1998.tb01928.x</t>
  </si>
  <si>
    <t>https://pubmed.ncbi.nlm.nih.gov/9695306</t>
  </si>
  <si>
    <t>10.2169/internalmedicine.45.0147</t>
  </si>
  <si>
    <t>https://pubmed.ncbi.nlm.nih.gov/16679694</t>
  </si>
  <si>
    <t>10.1097/00001432-200312000-00014</t>
  </si>
  <si>
    <t>https://pubmed.ncbi.nlm.nih.gov/14624112</t>
  </si>
  <si>
    <t>https://pubmed.ncbi.nlm.nih.gov/2550877</t>
  </si>
  <si>
    <t>10.1007/978-981-10-7230-7_12</t>
  </si>
  <si>
    <t>https://pubmed.ncbi.nlm.nih.gov/29896671</t>
  </si>
  <si>
    <t>10.1002/jmv.10414</t>
  </si>
  <si>
    <t>https://pubmed.ncbi.nlm.nih.gov/12767008</t>
  </si>
  <si>
    <t>Yoshiyama H</t>
  </si>
  <si>
    <t>10.1097/00006454-199002000-00001</t>
  </si>
  <si>
    <t>https://pubmed.ncbi.nlm.nih.gov/2156215</t>
  </si>
  <si>
    <t>Yuan LL</t>
  </si>
  <si>
    <t>10.19746/j.cnki.issn.1009-2137.2020.01.052</t>
  </si>
  <si>
    <t>https://pubmed.ncbi.nlm.nih.gov/32027295</t>
  </si>
  <si>
    <t>Zambello R</t>
  </si>
  <si>
    <t>10.1046/j.1365-2141.1997.3623176.x</t>
  </si>
  <si>
    <t>https://pubmed.ncbi.nlm.nih.gov/9359527</t>
  </si>
  <si>
    <t>Zamora MR</t>
  </si>
  <si>
    <t>10.1055/s-0031-1283285</t>
  </si>
  <si>
    <t>https://pubmed.ncbi.nlm.nih.gov/21858750</t>
  </si>
  <si>
    <t>Zawilińska B</t>
  </si>
  <si>
    <t>https://pubmed.ncbi.nlm.nih.gov/18536223</t>
  </si>
  <si>
    <t>10.1016/S1386-6532(06)70012-9</t>
  </si>
  <si>
    <t>https://pubmed.ncbi.nlm.nih.gov/17276370</t>
  </si>
  <si>
    <t>10.1093/jpids/piy111</t>
  </si>
  <si>
    <t>https://pubmed.ncbi.nlm.nih.gov/30590622</t>
  </si>
  <si>
    <t>10.1097/QCO.0b013e3283553362</t>
  </si>
  <si>
    <t>https://pubmed.ncbi.nlm.nih.gov/22710317</t>
  </si>
  <si>
    <t>https://pubmed.ncbi.nlm.nih.gov/16732999</t>
  </si>
  <si>
    <t>Zhang B</t>
  </si>
  <si>
    <t>10.3389/fcimb.2021.720132</t>
  </si>
  <si>
    <t>https://pubmed.ncbi.nlm.nih.gov/34595132</t>
  </si>
  <si>
    <t>Zhang E</t>
  </si>
  <si>
    <t>10.1128/JVI.01137-17</t>
  </si>
  <si>
    <t>https://pubmed.ncbi.nlm.nih.gov/28835501</t>
  </si>
  <si>
    <t>Zhang H</t>
  </si>
  <si>
    <t>10.1128/JVI.00723-12</t>
  </si>
  <si>
    <t>https://pubmed.ncbi.nlm.nih.gov/22623774</t>
  </si>
  <si>
    <t>Zhou CF</t>
  </si>
  <si>
    <t>10.1038/sj.leu.2401049</t>
  </si>
  <si>
    <t>https://pubmed.ncbi.nlm.nih.gov/9639435</t>
  </si>
  <si>
    <t>10.1111/j.1348-0421.1999.tb02426.x</t>
  </si>
  <si>
    <t>https://pubmed.ncbi.nlm.nih.gov/10449249</t>
  </si>
  <si>
    <t>Zhou Y</t>
  </si>
  <si>
    <t>10.1006/viro.1994.1129</t>
  </si>
  <si>
    <t>https://pubmed.ncbi.nlm.nih.gov/8122364</t>
  </si>
  <si>
    <t>10.1111/j.1365-2141.2007.06620.x</t>
  </si>
  <si>
    <t>https://pubmed.ncbi.nlm.nih.gov/17555446</t>
  </si>
  <si>
    <t>Zhu H</t>
  </si>
  <si>
    <t>10.1177/09636897221119734</t>
  </si>
  <si>
    <t>https://pubmed.ncbi.nlm.nih.gov/36927092</t>
  </si>
  <si>
    <t>Zijlstra EE</t>
  </si>
  <si>
    <t>10.4269/ajtmh.19-0209</t>
  </si>
  <si>
    <t>https://pubmed.ncbi.nlm.nih.gov/31837130</t>
  </si>
  <si>
    <t>Zutter MM</t>
  </si>
  <si>
    <t>10.1093/ajcp/94.6.714</t>
  </si>
  <si>
    <t>https://pubmed.ncbi.nlm.nih.gov/2173884</t>
  </si>
  <si>
    <t>No author listed</t>
  </si>
  <si>
    <t>https://pubmed.ncbi.nlm.nih.gov/11055083</t>
  </si>
  <si>
    <t>Makino H</t>
  </si>
  <si>
    <t>10.1210/clinem/dgae058</t>
  </si>
  <si>
    <t>https://pubmed.ncbi.nlm.nih.gov/38298135</t>
  </si>
  <si>
    <t>Zhang K</t>
  </si>
  <si>
    <t>10.3855/jidc.18152</t>
  </si>
  <si>
    <t>https://pubmed.ncbi.nlm.nih.gov/38377081</t>
  </si>
  <si>
    <t>10.1016/j.isci.2024.109203</t>
  </si>
  <si>
    <t>https://pubmed.ncbi.nlm.nih.gov/38414857</t>
  </si>
  <si>
    <t>Chandraker A</t>
  </si>
  <si>
    <t>10.1681/ASN.0000000000000329</t>
  </si>
  <si>
    <t>https://pubmed.ncbi.nlm.nih.gov/38470444</t>
  </si>
  <si>
    <t>Li N</t>
  </si>
  <si>
    <t>10.3389/fneur.2024.1334000</t>
  </si>
  <si>
    <t>https://pubmed.ncbi.nlm.nih.gov/38487325</t>
  </si>
  <si>
    <t>Rahman AU</t>
  </si>
  <si>
    <t>10.7759/cureus.54299</t>
  </si>
  <si>
    <t>https://pubmed.ncbi.nlm.nih.gov/38496135</t>
  </si>
  <si>
    <t>Rotulo GA</t>
  </si>
  <si>
    <t>10.5863/1551-6776-29.2.195</t>
  </si>
  <si>
    <t>https://pubmed.ncbi.nlm.nih.gov/38596415</t>
  </si>
  <si>
    <t>Vasileiou S</t>
  </si>
  <si>
    <t>10.1016/j.jcyt.2024.03.012</t>
  </si>
  <si>
    <t>https://pubmed.ncbi.nlm.nih.gov/38597860</t>
  </si>
  <si>
    <t>Yang X</t>
  </si>
  <si>
    <t>10.1016/j.virol.2024.110080</t>
  </si>
  <si>
    <t>https://pubmed.ncbi.nlm.nih.gov/38631099</t>
  </si>
  <si>
    <t>10.3390/v16040498</t>
  </si>
  <si>
    <t>https://pubmed.ncbi.nlm.nih.gov/38675841</t>
  </si>
  <si>
    <t>10.1097/QCO.0000000000001020</t>
  </si>
  <si>
    <t>https://pubmed.ncbi.nlm.nih.gov/38726832</t>
  </si>
  <si>
    <t>Jauhiainen MK</t>
  </si>
  <si>
    <t>10.1007/s00405-024-08702-0</t>
  </si>
  <si>
    <t>https://pubmed.ncbi.nlm.nih.gov/38758242</t>
  </si>
  <si>
    <t>Hannolainen L</t>
  </si>
  <si>
    <t>10.1093/infdis/jiae268</t>
  </si>
  <si>
    <t>https://pubmed.ncbi.nlm.nih.gov/38768311</t>
  </si>
  <si>
    <t>10.1093/infdis/jiae269</t>
  </si>
  <si>
    <t>https://pubmed.ncbi.nlm.nih.gov/38771118</t>
  </si>
  <si>
    <t>Shteyer E</t>
  </si>
  <si>
    <t>10.3390/v16050808</t>
  </si>
  <si>
    <t>https://pubmed.ncbi.nlm.nih.gov/38793689</t>
  </si>
  <si>
    <t>Al Nuaimi M</t>
  </si>
  <si>
    <t>10.1097/MPH.0000000000002892</t>
  </si>
  <si>
    <t>https://pubmed.ncbi.nlm.nih.gov/38832402</t>
  </si>
  <si>
    <t>Blackbourn L</t>
  </si>
  <si>
    <t>10.1016/j.idcr.2024.e01992</t>
  </si>
  <si>
    <t>https://pubmed.ncbi.nlm.nih.gov/38846028</t>
  </si>
  <si>
    <t>Wang H</t>
  </si>
  <si>
    <t>10.1097/PAS.0000000000002266</t>
  </si>
  <si>
    <t>https://pubmed.ncbi.nlm.nih.gov/38907627</t>
  </si>
  <si>
    <t>Häkkinen I</t>
  </si>
  <si>
    <t>10.1038/s41598-024-65386-6</t>
  </si>
  <si>
    <t>https://pubmed.ncbi.nlm.nih.gov/38918446</t>
  </si>
  <si>
    <t>Barnbrock A</t>
  </si>
  <si>
    <t>10.1038/s41598-024-65641-w</t>
  </si>
  <si>
    <t>https://pubmed.ncbi.nlm.nih.gov/38937530</t>
  </si>
  <si>
    <t>Sassine J</t>
  </si>
  <si>
    <t>10.1016/j.cmi.2024.06.020</t>
  </si>
  <si>
    <t>https://pubmed.ncbi.nlm.nih.gov/38945270</t>
  </si>
  <si>
    <t>10.3389/fimmu.2024.1363156</t>
  </si>
  <si>
    <t>https://pubmed.ncbi.nlm.nih.gov/38953028</t>
  </si>
  <si>
    <t>Fenaux H</t>
  </si>
  <si>
    <t>10.1016/j.jviromet.2024.114982</t>
  </si>
  <si>
    <t>https://pubmed.ncbi.nlm.nih.gov/38971380</t>
  </si>
  <si>
    <t>2024-07-07 PMID</t>
  </si>
  <si>
    <t>2024-01-31 PMID</t>
  </si>
  <si>
    <t>Results in 7/7 not in 1/31</t>
  </si>
  <si>
    <t>Sorted results in 7/7 not in 1/31</t>
  </si>
  <si>
    <t>PMID</t>
  </si>
  <si>
    <t>Title</t>
  </si>
  <si>
    <t>Authors</t>
  </si>
  <si>
    <t>Citation</t>
  </si>
  <si>
    <t>Journal/Book</t>
  </si>
  <si>
    <t>Create Date</t>
  </si>
  <si>
    <t>PMCID</t>
  </si>
  <si>
    <t>NIHMS ID</t>
  </si>
  <si>
    <t>query:</t>
  </si>
  <si>
    <t>((hematopoietic OR stem cell OR cord blood OR bone marrow OR transplant*) OR (engraftment OR reconstitution OR graft failure OR marrow failure OR neutrophil OR NK OR natural killer OR platelet OR T cell OR thymus OR chimerism)) AND (HHV-6 OR HHV6 OR herpesvirus-6 OR HHV-6A OR HHV6A OR herpesvirus-6A OR HHV-6B OR HHV6B OR herpesvirus-6B)</t>
  </si>
  <si>
    <t>Human Herpesviruses 6A, 6B, and 7</t>
  </si>
  <si>
    <t>Agut H, Bonnafous P, Gautheret-Dejean A.</t>
  </si>
  <si>
    <t>Microbiol Spectr. 2016 Jun;4(3). doi: 10.1128/microbiolspec.DMIH2-0007-2015.</t>
  </si>
  <si>
    <t>Microbiol Spectr</t>
  </si>
  <si>
    <t>date:</t>
  </si>
  <si>
    <t>Latent human herpesvirus 6 is reactivated in CAR T cells</t>
  </si>
  <si>
    <t>Lareau CA, Yin Y, Maurer K, Sandor KD, Daniel B, Yagnik G, Peña J, Crawford JC, Spanjaart AM, Gutierrez JC, Haradhvala NJ, Riberdy JM, Abay T, Stickels RR, Verboon JM, Liu V, Buquicchio FA, Wang F, Southard J, Song R, Li W, Shrestha A, Parida L, Getz G, Maus MV, Li S, Moore A, Roberts ZJ, Ludwig LS, Talleur AC, Thomas PG, Dehghani H, Pertel T, Kundaje A, Gottschalk S, Roth TL, Kersten MJ, Wu CJ, Majzner RG, Satpathy AT.</t>
  </si>
  <si>
    <t>Nature. 2023 Nov;623(7987):608-615. doi: 10.1038/s41586-023-06704-2. Epub 2023 Nov 8.</t>
  </si>
  <si>
    <t>Nature</t>
  </si>
  <si>
    <t>PMC10999258</t>
  </si>
  <si>
    <t>NIHMS1979850</t>
  </si>
  <si>
    <t>n results:</t>
  </si>
  <si>
    <t>Laboratory and clinical aspects of human herpesvirus 6 infections</t>
  </si>
  <si>
    <t>Clin Microbiol Rev. 2015 Apr;28(2):313-35. doi: 10.1128/CMR.00122-14.</t>
  </si>
  <si>
    <t>Clin Microbiol Rev</t>
  </si>
  <si>
    <t>PMC4402955</t>
  </si>
  <si>
    <t>Human Herpesvirus 6 Encephalitis in Immunocompetent and Immunocompromised Hosts</t>
  </si>
  <si>
    <t>Berzero G, Campanini G, Vegezzi E, Paoletti M, Pichiecchio A, Simoncelli AM, Colombo AA, Bernasconi P, Borsani O, Di Matteo A, Rossi V, Foiadelli T, Savasta S, Compagno F, Zecca M, Baldanti F, Marchioni E.</t>
  </si>
  <si>
    <t>Neurol Neuroimmunol Neuroinflamm. 2021 Jan 12;8(2):e942. doi: 10.1212/NXI.0000000000000942. Print 2021 Mar.</t>
  </si>
  <si>
    <t>Neurol Neuroimmunol Neuroinflamm</t>
  </si>
  <si>
    <t>PMC7963435</t>
  </si>
  <si>
    <t>Entry of betaherpesviruses</t>
  </si>
  <si>
    <t>Nishimura M, Mori Y.</t>
  </si>
  <si>
    <t>Adv Virus Res. 2019;104:283-312. doi: 10.1016/bs.aivir.2019.05.005. Epub 2019 Jun 21.</t>
  </si>
  <si>
    <t>Adv Virus Res</t>
  </si>
  <si>
    <t>Human herpesvirus 6-specific T-cell immunity in allogeneic hematopoietic stem cell transplant recipients</t>
  </si>
  <si>
    <t>Noviello M, Lorentino F, Xue E, Racca S, Furnari G, Valtolina V, Campodonico E, Dvir R, Lupo-Stanghellini MT, Giglio F, Piemontese S, Clerici D, Oltolini C, Tassi E, Beretta V, Farina F, Mannina D, Ardemagni A, Vago L, Bernardi M, Corti C, Peccatori J, Clementi M, Ciceri F, Bonini C, Greco R.</t>
  </si>
  <si>
    <t>Blood Adv. 2023 Sep 26;7(18):5446-5457. doi: 10.1182/bloodadvances.2022009274.</t>
  </si>
  <si>
    <t>Blood Adv</t>
  </si>
  <si>
    <t>PMC10515312</t>
  </si>
  <si>
    <t>Human herpesvirus 6 (HHV6) infection</t>
  </si>
  <si>
    <t>Abdel-Haq NM, Asmar BI.</t>
  </si>
  <si>
    <t>Indian J Pediatr. 2004 Jan;71(1):89-96. doi: 10.1007/BF02725664.</t>
  </si>
  <si>
    <t>Indian J Pediatr</t>
  </si>
  <si>
    <t>The Interplay between Natural Killer Cells and Human Herpesvirus-6</t>
  </si>
  <si>
    <t>Eliassen E, Di Luca D, Rizzo R, Barao I.</t>
  </si>
  <si>
    <t>Viruses. 2017 Dec 1;9(12):367. doi: 10.3390/v9120367.</t>
  </si>
  <si>
    <t>Viruses</t>
  </si>
  <si>
    <t>PMC5744142</t>
  </si>
  <si>
    <t>Human herpesvirus 6</t>
  </si>
  <si>
    <t>Dockrell DH, Smith TF, Paya CV.</t>
  </si>
  <si>
    <t>Mayo Clin Proc. 1999 Feb;74(2):163-70. doi: 10.4065/74.2.163.</t>
  </si>
  <si>
    <t>Mayo Clin Proc</t>
  </si>
  <si>
    <t>Clinical and laboratory features of human herpesvirus 6 chromosomal integration</t>
  </si>
  <si>
    <t>Clark DA.</t>
  </si>
  <si>
    <t>Clin Microbiol Infect. 2016 Apr;22(4):333-339. doi: 10.1016/j.cmi.2015.12.022. Epub 2016 Jan 21.</t>
  </si>
  <si>
    <t>Clin Microbiol Infect</t>
  </si>
  <si>
    <t>Immune response to HHV-6 and implications for immunotherapy</t>
  </si>
  <si>
    <t>Becerra A, Gibson L, Stern LJ, Calvo-Calle JM.</t>
  </si>
  <si>
    <t>Curr Opin Virol. 2014 Dec;9:154-61. doi: 10.1016/j.coviro.2014.10.001. Epub 2014 Oct 27.</t>
  </si>
  <si>
    <t>Curr Opin Virol</t>
  </si>
  <si>
    <t>PMC4274602</t>
  </si>
  <si>
    <t>NIHMS635662</t>
  </si>
  <si>
    <t>Rev Med Virol. 2000 May-Jun;10(3):155-73. doi: 10.1002/(sici)1099-1654(200005/06)10:3&lt;155::aid-rmv277&gt;3.0.co;2-6.</t>
  </si>
  <si>
    <t>Rev Med Virol</t>
  </si>
  <si>
    <t>HHV-6B infection, T-cell reconstitution, and graft-vs-host disease after hematopoietic stem cell transplantation</t>
  </si>
  <si>
    <t>Phan TL, Pritchett JC, Leifer C, Zerr DM, Koelle DM, Di Luca D, Lusso P.</t>
  </si>
  <si>
    <t>Bone Marrow Transplant. 2018 Dec;53(12):1508-1517. doi: 10.1038/s41409-018-0225-2. Epub 2018 May 24.</t>
  </si>
  <si>
    <t>Bone Marrow Transplant</t>
  </si>
  <si>
    <t>Human herpesvirus-6 in hematopoietic stem cell transplant recipients: a prospective cohort study in Egypt</t>
  </si>
  <si>
    <t>Raouf MME, Ouf NM, Elsorady MAS, Ghoneim FM.</t>
  </si>
  <si>
    <t>Virol J. 2023 Feb 4;20(1):20. doi: 10.1186/s12985-023-01980-w.</t>
  </si>
  <si>
    <t>Virol J</t>
  </si>
  <si>
    <t>PMC9899109</t>
  </si>
  <si>
    <t>Evaluation of a method to measure HHV-6B infection in vitro based on cell size</t>
  </si>
  <si>
    <t>Becerra-Artiles A, Santoro T, Stern LJ.</t>
  </si>
  <si>
    <t>Virol J. 2018 Jan 5;15(1):4. doi: 10.1186/s12985-017-0917-z.</t>
  </si>
  <si>
    <t>PMC5755443</t>
  </si>
  <si>
    <t>Once-Daily Foscarnet Is Effective for Human Herpesvirus 6 Reactivation after Hematopoietic Stem Cell Transplantation</t>
  </si>
  <si>
    <t>Vittayawacharin P, E'Leimat G, Lee BJ, Griffin S, Doh J, Nam H, Blodget E, Jeyakumar D, Kongtim P, Ciurea SO.</t>
  </si>
  <si>
    <t>Transplant Cell Ther. 2023 Jun;29(6):397.e1-397.e6. doi: 10.1016/j.jtct.2023.02.022. Epub 2023 Mar 4.</t>
  </si>
  <si>
    <t>Transplant Cell Ther</t>
  </si>
  <si>
    <t>Congenital infections with human herpesvirus 6 (HHV6) and human herpesvirus 7 (HHV7)</t>
  </si>
  <si>
    <t>Hall CB, Caserta MT, Schnabel KC, Boettrich C, McDermott MP, Lofthus GK, Carnahan JA, Dewhurst S.</t>
  </si>
  <si>
    <t>J Pediatr. 2004 Oct;145(4):472-7. doi: 10.1016/j.jpeds.2004.06.017.</t>
  </si>
  <si>
    <t>J Pediatr</t>
  </si>
  <si>
    <t>Human herpesvirus 6A and 6B and NK cells</t>
  </si>
  <si>
    <t>Rizzo R, Di Luca D.</t>
  </si>
  <si>
    <t>Acta Microbiol Immunol Hung. 2018 Jun 1;65(2):119-125. doi: 10.1556/030.65.2018.010. Epub 2018 Mar 7.</t>
  </si>
  <si>
    <t>Acta Microbiol Immunol Hung</t>
  </si>
  <si>
    <t>Update on infections with human herpesviruses 6A, 6B, and 7</t>
  </si>
  <si>
    <t>Med Mal Infect. 2017 Mar;47(2):83-91. doi: 10.1016/j.medmal.2016.09.004. Epub 2016 Oct 20.</t>
  </si>
  <si>
    <t>Med Mal Infect</t>
  </si>
  <si>
    <t>The Roseoloviruses Downregulate the Protein Tyrosine Phosphatase PTPRC (CD45)</t>
  </si>
  <si>
    <t>Whyte ML, Smith KA, Buchberger A, Berg Luecke L, Tjan LH, Mori Y, Gundry RL, Hudson AW.</t>
  </si>
  <si>
    <t>J Virol. 2021 Jun 24;95(14):e0162820. doi: 10.1128/JVI.01628-20. Epub 2021 Jun 24.</t>
  </si>
  <si>
    <t>J Virol</t>
  </si>
  <si>
    <t>PMC8223955</t>
  </si>
  <si>
    <t>HHV-6 and the immune system: mechanisms of immunomodulation and viral escape</t>
  </si>
  <si>
    <t>Lusso P.</t>
  </si>
  <si>
    <t>J Clin Virol. 2006 Dec;37 Suppl 1:S4-10. doi: 10.1016/S1386-6532(06)70004-X.</t>
  </si>
  <si>
    <t>J Clin Virol</t>
  </si>
  <si>
    <t>Human herpesvirus-6 infections in kidney, liver, lung, and heart transplantation: review</t>
  </si>
  <si>
    <t>Lautenschlager I, Razonable RR.</t>
  </si>
  <si>
    <t>Transpl Int. 2012 May;25(5):493-502. doi: 10.1111/j.1432-2277.2012.01443.x. Epub 2012 Feb 23.</t>
  </si>
  <si>
    <t>Transpl Int</t>
  </si>
  <si>
    <t>Chromosomally integrated human herpesvirus 6: questions and answers</t>
  </si>
  <si>
    <t>Pellett PE, Ablashi DV, Ambros PF, Agut H, Caserta MT, Descamps V, Flamand L, Gautheret-Dejean A, Hall CB, Kamble RT, Kuehl U, Lassner D, Lautenschlager I, Loomis KS, Luppi M, Lusso P, Medveczky PG, Montoya JG, Mori Y, Ogata M, Pritchett JC, Rogez S, Seto E, Ward KN, Yoshikawa T, Razonable RR.</t>
  </si>
  <si>
    <t>Rev Med Virol. 2012 May;22(3):144-55. doi: 10.1002/rmv.715. Epub 2011 Nov 4.</t>
  </si>
  <si>
    <t>PMC3498727</t>
  </si>
  <si>
    <t>HHV-6 in liver transplantation: A literature review</t>
  </si>
  <si>
    <t>Phan TL, Lautenschlager I, Razonable RR, Munoz FM.</t>
  </si>
  <si>
    <t>Liver Int. 2018 Feb;38(2):210-223. doi: 10.1111/liv.13506. Epub 2017 Jul 29.</t>
  </si>
  <si>
    <t>Liver Int</t>
  </si>
  <si>
    <t>Differential Impacts of HHV-6A versus HHV-6B Infection in Differentiated Human Neural Stem Cells</t>
  </si>
  <si>
    <t>Bahramian E, Furr M, Wu JT, Ceballos RM.</t>
  </si>
  <si>
    <t>Front Immunol. 2022 Jul 13;13:847106. doi: 10.3389/fimmu.2022.847106. eCollection 2022.</t>
  </si>
  <si>
    <t>Front Immunol</t>
  </si>
  <si>
    <t>PMC9326508</t>
  </si>
  <si>
    <t>Human herpesvirus 6 and central nervous system disease in hematopoietic cell transplantation</t>
  </si>
  <si>
    <t>Zerr DM.</t>
  </si>
  <si>
    <t>J Clin Virol. 2006 Dec;37 Suppl 1:S52-6. doi: 10.1016/S1386-6532(06)70012-9.</t>
  </si>
  <si>
    <t>Human herpesvirus 6 and central nervous system disease in oncology patients: A retrospective case series and literature review</t>
  </si>
  <si>
    <t>Handley G, Hasbun R, Okhuysen P.</t>
  </si>
  <si>
    <t>J Clin Virol. 2021 Mar;136:104740. doi: 10.1016/j.jcv.2021.104740. Epub 2021 Jan 28.</t>
  </si>
  <si>
    <t>Presence and clinical impact of human herpesvirus-6 infection in patients with moderate to critical coronavirus disease-19</t>
  </si>
  <si>
    <t>Lino K, Alves LS, Raposo JV, Medeiros T, Souza CF, Silva AAD, de Paula VS, Almeida JR.</t>
  </si>
  <si>
    <t>J Med Virol. 2022 Mar;94(3):1212-1216. doi: 10.1002/jmv.27392. Epub 2021 Oct 19.</t>
  </si>
  <si>
    <t>J Med Virol</t>
  </si>
  <si>
    <t>PMC8662171</t>
  </si>
  <si>
    <t>Human herpesvirus 6 and human herpesvirus 7: emerging pathogens in transplant patients</t>
  </si>
  <si>
    <t>Int J Hematol. 2002 Aug;76 Suppl 2:246-52. doi: 10.1007/BF03165124.</t>
  </si>
  <si>
    <t>Int J Hematol</t>
  </si>
  <si>
    <t>Child and adult forms of human herpesvirus 6 encephalitis: looking back, looking forward</t>
  </si>
  <si>
    <t>Ward KN.</t>
  </si>
  <si>
    <t>Curr Opin Neurol. 2014 Jun;27(3):349-55. doi: 10.1097/WCO.0000000000000085.</t>
  </si>
  <si>
    <t>Curr Opin Neurol</t>
  </si>
  <si>
    <t>Human Herpesvirus 6B and Lower Respiratory Tract Disease After Hematopoietic Cell Transplantation</t>
  </si>
  <si>
    <t>Hill JA, Vande Vusse LK, Xie H, Chung EL, Yeung CCS, Seo S, Stevens-Ayers T, Fisher CE, Huang ML, Stewart FM, Jerome KR, Zerr DM, Corey L, Leisenring WM, Boeckh M.</t>
  </si>
  <si>
    <t>J Clin Oncol. 2019 Oct 10;37(29):2670-2681. doi: 10.1200/JCO.19.00908. Epub 2019 Aug 26.</t>
  </si>
  <si>
    <t>J Clin Oncol</t>
  </si>
  <si>
    <t>PMC7351330</t>
  </si>
  <si>
    <t>Recent developments in animal models for human herpesvirus 6A and 6B</t>
  </si>
  <si>
    <t>Horvat B, Berges BK, Lusso P.</t>
  </si>
  <si>
    <t>Curr Opin Virol. 2014 Dec;9:97-103. doi: 10.1016/j.coviro.2014.09.012. Epub 2014 Oct 14.</t>
  </si>
  <si>
    <t>PMC4268362</t>
  </si>
  <si>
    <t>NIHMS632692</t>
  </si>
  <si>
    <t>Roseoloviruses in transplant recipients: clinical consequences and prospects for treatment and prevention trials</t>
  </si>
  <si>
    <t>Hill JA, Zerr DM.</t>
  </si>
  <si>
    <t>Curr Opin Virol. 2014 Dec;9:53-60. doi: 10.1016/j.coviro.2014.09.006. Epub 2014 Oct 4.</t>
  </si>
  <si>
    <t>PMC4570620</t>
  </si>
  <si>
    <t>NIHMS721610</t>
  </si>
  <si>
    <t>AMPK restricts HHV-6A replication by inhibiting glycolysis and mTOR signaling</t>
  </si>
  <si>
    <t>Yang X, Tian S, Min Z, Garbarino E, Ma J, Jia J, Tang H, Li L.</t>
  </si>
  <si>
    <t>Virology. 2024 Jul;595:110080. doi: 10.1016/j.virol.2024.110080. Epub 2024 Apr 9.</t>
  </si>
  <si>
    <t>Virology</t>
  </si>
  <si>
    <t>Human herpesvirus-6 (HHV-6) (short review)</t>
  </si>
  <si>
    <t>Ablashi DV, Salahuddin SZ, Josephs SF, Balachandran N, Krueger GR, Gallo RC.</t>
  </si>
  <si>
    <t>In Vivo. 1991 May-Jun;5(3):193-9.</t>
  </si>
  <si>
    <t>In Vivo</t>
  </si>
  <si>
    <t>Deciphering the clinical impact of acute human herpesvirus 6 (HHV-6) infections</t>
  </si>
  <si>
    <t>Agut H.</t>
  </si>
  <si>
    <t>J Clin Virol. 2011 Nov;52(3):164-71. doi: 10.1016/j.jcv.2011.06.008. Epub 2011 Jul 22.</t>
  </si>
  <si>
    <t>Roseolovirus-associated encephalitis in immunocompetent and immunocompromised individuals</t>
  </si>
  <si>
    <t>Ongrádi J, Ablashi DV, Yoshikawa T, Stercz B, Ogata M.</t>
  </si>
  <si>
    <t>J Neurovirol. 2017 Feb;23(1):1-19. doi: 10.1007/s13365-016-0473-0. Epub 2016 Aug 18.</t>
  </si>
  <si>
    <t>J Neurovirol</t>
  </si>
  <si>
    <t>PMC5329081</t>
  </si>
  <si>
    <t>Impact of HHV-6A and HHV-6B lytic infection on autophagy and endoplasmic reticulum stress</t>
  </si>
  <si>
    <t>Romeo MA, Masuelli L, Gaeta A, Nazzari C, Granato M, Gilardini Montani MS, Faggioni A, Cirone M.</t>
  </si>
  <si>
    <t>J Gen Virol. 2019 Jan;100(1):89-98. doi: 10.1099/jgv.0.001176. Epub 2018 Nov 14.</t>
  </si>
  <si>
    <t>J Gen Virol</t>
  </si>
  <si>
    <t>[Human Herpesvirus-6 Encephalitis in Allogeneic Hematopoietic Stem Cell Transplantation]</t>
  </si>
  <si>
    <t>Ogata M.</t>
  </si>
  <si>
    <t>Brain Nerve. 2015 Jul;67(7):919-30. doi: 10.11477/mf.1416200231.</t>
  </si>
  <si>
    <t>Brain Nerve</t>
  </si>
  <si>
    <t>Reactivation of human herpesvirus 6 in pediatric allogeneic hematopoietic stem cell transplant recipients</t>
  </si>
  <si>
    <t>Pawlowska AB, Karras NA, Liu H, DiMundo J, Cheng JC, Sun W, Armenian S, Yang D, Palmer JM, Bell A, Tahoun A, Tegtmeier B, Dadwal S, Rosenthal J.</t>
  </si>
  <si>
    <t>Transpl Infect Dis. 2021 Feb;23(1):e13453. doi: 10.1111/tid.13453. Epub 2020 Sep 22.</t>
  </si>
  <si>
    <t>Transpl Infect Dis</t>
  </si>
  <si>
    <t>Human herpesvirus 6A partially suppresses functional properties of DC without viral replication</t>
  </si>
  <si>
    <t>Gustafsson RK, Engdahl EE, Hammarfjord O, Adikari SB, Lourda M, Klingström J, Svensson M, Fogdell-Hahn A.</t>
  </si>
  <si>
    <t>PLoS One. 2013;8(3):e58122. doi: 10.1371/journal.pone.0058122. Epub 2013 Mar 5.</t>
  </si>
  <si>
    <t>PLoS One</t>
  </si>
  <si>
    <t>PMC3590851</t>
  </si>
  <si>
    <t>HHV-6B detection and host gene expression implicate HHV-6B as pulmonary pathogen after hematopoietic cell transplant</t>
  </si>
  <si>
    <t>Hill JA, Lee YJ, Vande Vusse LK, Xie H, Chung EL, Waghmare A, Cheng GS, Zhu H, Huang ML, Hill GR, Jerome KR, Leisenring WM, Zerr DM, Gharib SA, Dadwal S, Boeckh M.</t>
  </si>
  <si>
    <t>Nat Commun. 2024 Jan 16;15(1):542. doi: 10.1038/s41467-024-44828-9.</t>
  </si>
  <si>
    <t>Nat Commun</t>
  </si>
  <si>
    <t>PMC10791683</t>
  </si>
  <si>
    <t>Human herpesvirus-6</t>
  </si>
  <si>
    <t>Caserta MT, Hall CB.</t>
  </si>
  <si>
    <t>Annu Rev Med. 1993;44:377-83. doi: 10.1146/annurev.me.44.020193.002113.</t>
  </si>
  <si>
    <t>Annu Rev Med</t>
  </si>
  <si>
    <t>Donor-Derived CD4+ T Cells and Human Herpesvirus 6B Detection After Allogeneic Hematopoietic Cell Transplantation</t>
  </si>
  <si>
    <t>Hanson DJ, Xie H, Zerr DM, Leisenring WM, Jerome KR, Huang ML, Stevens-Ayers T, Boeckh M, Koelle DM, Hill JA.</t>
  </si>
  <si>
    <t>J Infect Dis. 2021 Feb 24;223(4):709-713. doi: 10.1093/infdis/jiaa422.</t>
  </si>
  <si>
    <t>J Infect Dis</t>
  </si>
  <si>
    <t>PMC7904283</t>
  </si>
  <si>
    <t>Clinical impact of primary infection with roseoloviruses</t>
  </si>
  <si>
    <t>Tesini BL, Epstein LG, Caserta MT.</t>
  </si>
  <si>
    <t>Curr Opin Virol. 2014 Dec;9:91-6. doi: 10.1016/j.coviro.2014.09.013. Epub 2014 Oct 14.</t>
  </si>
  <si>
    <t>PMC4267952</t>
  </si>
  <si>
    <t>NIHMS632651</t>
  </si>
  <si>
    <t>Late-phase human herpesvirus 6B reactivation in hematopoietic stem cell transplant recipients</t>
  </si>
  <si>
    <t>Miura H, Kawamura Y, Hattori F, Tanaka M, Kudo K, Ihira M, Yatsuya H, Takahashi Y, Kojima S, Yoshikawa T.</t>
  </si>
  <si>
    <t>Transpl Infect Dis. 2018 Aug;20(4):e12916. doi: 10.1111/tid.12916. Epub 2018 Jun 13.</t>
  </si>
  <si>
    <t>Human herpesvirus 6: molecular biology and clinical features</t>
  </si>
  <si>
    <t>Dockrell DH.</t>
  </si>
  <si>
    <t>J Med Microbiol. 2003 Jan;52(Pt 1):5-18. doi: 10.1099/jmm.0.05074-0.</t>
  </si>
  <si>
    <t>J Med Microbiol</t>
  </si>
  <si>
    <t>Maturation of human herpesvirus 6A glycoprotein O requires coexpression of glycoprotein H and glycoprotein L</t>
  </si>
  <si>
    <t>Tang H, Mahmoud NF, Mori Y.</t>
  </si>
  <si>
    <t>J Virol. 2015 May;89(9):5159-63. doi: 10.1128/JVI.00140-15. Epub 2015 Feb 18.</t>
  </si>
  <si>
    <t>PMC4403471</t>
  </si>
  <si>
    <t>Update on human herpesvirus 6 biology, clinical features, and therapy</t>
  </si>
  <si>
    <t>De Bolle L, Naesens L, De Clercq E.</t>
  </si>
  <si>
    <t>Clin Microbiol Rev. 2005 Jan;18(1):217-45. doi: 10.1128/CMR.18.1.217-245.2005.</t>
  </si>
  <si>
    <t>PMC544175</t>
  </si>
  <si>
    <t>Comprehensive Screening of Mouse T-Cell Epitopes in Human Herpesvirus 6B Glycoprotein H/L/Q1/Q2 Tetramer Complex</t>
  </si>
  <si>
    <t>Okutani M, Kawabata A, Nishimura M, Nagamata S, Kuwabara S, Haseda Y, Munakata L, Suzuki R, Mori Y, Aoshi T.</t>
  </si>
  <si>
    <t>J Immunol Res. 2020 Jul 26;2020:4697529. doi: 10.1155/2020/4697529. eCollection 2020.</t>
  </si>
  <si>
    <t>J Immunol Res</t>
  </si>
  <si>
    <t>PMC7399772</t>
  </si>
  <si>
    <t>The Telomeric Repeats of HHV-6A Do Not Determine the Chromosome into Which the Virus Is Integrated</t>
  </si>
  <si>
    <t>Kusakin AV, Goleva OV, Danilov LG, Krylov AV, Tsay VV, Kalinin RS, Tian NS, Eismont YA, Mukomolova AL, Chukhlovin AB, Komissarov AS, Glotov OS.</t>
  </si>
  <si>
    <t>Genes (Basel). 2023 Feb 18;14(2):521. doi: 10.3390/genes14020521.</t>
  </si>
  <si>
    <t>Genes (Basel)</t>
  </si>
  <si>
    <t>PMC9957103</t>
  </si>
  <si>
    <t>Leukocytoclastic Vasculitis Associated with HHV6-A/ciHHV6-A and HHV6-B Coinfection in an Immunocompetent Woman</t>
  </si>
  <si>
    <t>Calvario A, Foti C, Scarasciulli M, Romita P, Eliassen E, Marzullo A, Colacicco AM, Miragliotta G.</t>
  </si>
  <si>
    <t>Endocr Metab Immune Disord Drug Targets. 2019;19(2):221-225. doi: 10.2174/1871530318666181106153758.</t>
  </si>
  <si>
    <t>Endocr Metab Immune Disord Drug Targets</t>
  </si>
  <si>
    <t>[HHV-6 encephalopathy]</t>
  </si>
  <si>
    <t>Kawamura Y, Yoshikawa T.</t>
  </si>
  <si>
    <t>Nihon Rinsho. 2011 Mar;69(3):423-8.</t>
  </si>
  <si>
    <t>Nihon Rinsho</t>
  </si>
  <si>
    <t>Fifth (human parvovirus) and sixth (herpesvirus 6) diseases</t>
  </si>
  <si>
    <t>Koch WC.</t>
  </si>
  <si>
    <t>Curr Opin Infect Dis. 2001 Jun;14(3):343-56. doi: 10.1097/00001432-200106000-00016.</t>
  </si>
  <si>
    <t>Curr Opin Infect Dis</t>
  </si>
  <si>
    <t>gp96 Is Critical for both Human Herpesvirus 6A (HHV-6A) and HHV-6B Infections</t>
  </si>
  <si>
    <t>Ma J, Jia J, Jiang X, Xu M, Guo J, Tang T, Xu X, Wu Z, Hu B, Yao K, Li L, Tang H.</t>
  </si>
  <si>
    <t>J Virol. 2020 Jun 16;94(13):e00311-20. doi: 10.1128/JVI.00311-20. Print 2020 Jun 16.</t>
  </si>
  <si>
    <t>PMC7307172</t>
  </si>
  <si>
    <t>Fetal cord plasma herpesviruses and preeclampsia: an observational cohort study</t>
  </si>
  <si>
    <t>Häkkinen I, Yazgeldi Gunaydin G, Pyöriä L, Kojima S, Parrish N, Perdomo MF, Wedenoja J, Hedman K, Heinonen S, Kajantie E, Laivuori H, Kere J, Katayama S, Wedenoja S.</t>
  </si>
  <si>
    <t>Sci Rep. 2024 Jun 25;14(1):14605. doi: 10.1038/s41598-024-65386-6.</t>
  </si>
  <si>
    <t>Sci Rep</t>
  </si>
  <si>
    <t>PMC11199493</t>
  </si>
  <si>
    <t>[Human herpesvirus-6B encephalitis following allogeneic hematopoietic stem cell transplantation: how should it be managed?]</t>
  </si>
  <si>
    <t>Rinsho Ketsueki. 2020;61(8):945-952. doi: 10.11406/rinketsu.61.945.</t>
  </si>
  <si>
    <t>Rinsho Ketsueki</t>
  </si>
  <si>
    <t>Human herpesvirus 6 infection after autologous stem cell transplantation: A multicenter prospective study in adult patients</t>
  </si>
  <si>
    <t>Balsat M, Pillet S, Tavernier E, Cacheux V, Escuret V, Moluçon-Chabrot C, Augeul-Meunier K, Mirand A, Regagnon C, Tinquaut F, Bousser V, Oriol M, Guyotat D, Salles G, Bay JO, Pozzetto B, Cornillon J.</t>
  </si>
  <si>
    <t>J Infect. 2019 Jul;79(1):36-42. doi: 10.1016/j.jinf.2019.05.001. Epub 2019 May 7.</t>
  </si>
  <si>
    <t>J Infect</t>
  </si>
  <si>
    <t>Pathogenesis of human herpesvirus 6 (HHV-6)</t>
  </si>
  <si>
    <t>Yamanishi K.</t>
  </si>
  <si>
    <t>Infect Agents Dis. 1992 Jun;1(3):149-55.</t>
  </si>
  <si>
    <t>Infect Agents Dis</t>
  </si>
  <si>
    <t>Cross-sectional analysis of CD8 T cell immunity to human herpesvirus 6B</t>
  </si>
  <si>
    <t>Martin LK, Hollaus A, Stahuber A, Hübener C, Fraccaroli A, Tischer J, Schub A, Moosmann A.</t>
  </si>
  <si>
    <t>PLoS Pathog. 2018 Apr 26;14(4):e1006991. doi: 10.1371/journal.ppat.1006991. eCollection 2018 Apr.</t>
  </si>
  <si>
    <t>PLoS Pathog</t>
  </si>
  <si>
    <t>PMC5919459</t>
  </si>
  <si>
    <t>Phenotypic and Functional Differences between Human Herpesvirus 6- and Human Cytomegalovirus-Specific T Cells</t>
  </si>
  <si>
    <t>Fastenackels S, Bayard C, Larsen M, Magnier P, Bonnafous P, Seddiki N, Appay V, Gautheret-Dejean A, Sauce D.</t>
  </si>
  <si>
    <t>J Virol. 2019 Jun 14;93(13):e02321-18. doi: 10.1128/JVI.02321-18. Print 2019 Jul 1.</t>
  </si>
  <si>
    <t>PMC6580948</t>
  </si>
  <si>
    <t>Structural Models for Roseolovirus U20 And U21: Non-Classical MHC-I Like Proteins From HHV-6A, HHV-6B, and HHV-7</t>
  </si>
  <si>
    <t>Weaver GC, Arya R, Schneider CL, Hudson AW, Stern LJ.</t>
  </si>
  <si>
    <t>Front Immunol. 2022 Apr 4;13:864898. doi: 10.3389/fimmu.2022.864898. eCollection 2022.</t>
  </si>
  <si>
    <t>PMC9013968</t>
  </si>
  <si>
    <t>[Human herpesvirus-6 and human herpesvirus-7 (HHV-6, HHV-7)]</t>
  </si>
  <si>
    <t>Tang H, Sadaoka T, Mori Y.</t>
  </si>
  <si>
    <t>Uirusu. 2010 Dec;60(2):221-35. doi: 10.2222/jsv.60.221.</t>
  </si>
  <si>
    <t>Uirusu</t>
  </si>
  <si>
    <t>Human Herpesvirus 6 Infection Following Haploidentical Transplantation: Immune Recovery and Outcome</t>
  </si>
  <si>
    <t>Greco R, Crucitti L, Noviello M, Racca S, Mannina D, Forcina A, Lorentino F, Valtolina V, Rolla S, Dvir R, Morelli M, Giglio F, Barbanti MC, Lupo Stanghellini MT, Oltolini C, Vago L, Scarpellini P, Assanelli A, Carrabba MG, Marktel S, Bernardi M, Corti C, Clementi M, Peccatori J, Bonini C, Ciceri F.</t>
  </si>
  <si>
    <t>Biol Blood Marrow Transplant. 2016 Dec;22(12):2250-2255. doi: 10.1016/j.bbmt.2016.09.018. Epub 2016 Sep 30.</t>
  </si>
  <si>
    <t>Biol Blood Marrow Transplant</t>
  </si>
  <si>
    <t>Human herpesvirus type 6: review</t>
  </si>
  <si>
    <t>Oren I, Sobel JD.</t>
  </si>
  <si>
    <t>Clin Infect Dis. 1992 Mar;14(3):741-6. doi: 10.1093/clinids/14.3.741.</t>
  </si>
  <si>
    <t>Clin Infect Dis</t>
  </si>
  <si>
    <t>CD46 Isoforms Influence the Mode of Entry by Human Herpesvirus 6A/B in T Cells</t>
  </si>
  <si>
    <t>Rossen LS, Schack VR, Thuesen KKH, Bundgaard B, Höllsberg P.</t>
  </si>
  <si>
    <t>J Virol. 2022 Mar 9;96(5):e0155721. doi: 10.1128/JVI.01557-21. Epub 2022 Jan 12.</t>
  </si>
  <si>
    <t>PMC8906420</t>
  </si>
  <si>
    <t>Human herpesviruses 6 and 7: effects on hematopoiesis and mode of transmission</t>
  </si>
  <si>
    <t>Yamada M.</t>
  </si>
  <si>
    <t>Jpn J Infect Dis. 2001 Apr;54(2):47-54.</t>
  </si>
  <si>
    <t>Jpn J Infect Dis</t>
  </si>
  <si>
    <t>Genome-Wide Approach to the CD4 T-Cell Response to Human Herpesvirus 6B</t>
  </si>
  <si>
    <t>Hanson DJ, Tsvetkova O, Rerolle GF, Greninger AL, Sette A, Jing L, Campbell VL, Koelle DM.</t>
  </si>
  <si>
    <t>J Virol. 2019 Jun 28;93(14):e00321-19. doi: 10.1128/JVI.00321-19. Print 2019 Jul 15.</t>
  </si>
  <si>
    <t>PMC6600184</t>
  </si>
  <si>
    <t>Lusso P, Gallo RC.</t>
  </si>
  <si>
    <t>Baillieres Clin Haematol. 1995 Mar;8(1):201-23. doi: 10.1016/s0950-3536(05)80238-0.</t>
  </si>
  <si>
    <t>Baillieres Clin Haematol</t>
  </si>
  <si>
    <t>Human herpesvirus-6 infection and bone marrow transplantation</t>
  </si>
  <si>
    <t>Yoshikawa T, Kojima S, Asano Y.</t>
  </si>
  <si>
    <t>Leuk Lymphoma. 1992 Sep;8(1-2):65-73. doi: 10.3109/10428199209049819.</t>
  </si>
  <si>
    <t>Leuk Lymphoma</t>
  </si>
  <si>
    <t>Molecular biology and clinical associations of Roseoloviruses human herpesvirus 6 and human herpesvirus 7</t>
  </si>
  <si>
    <t>Caselli E, Di Luca D.</t>
  </si>
  <si>
    <t>New Microbiol. 2007 Jul;30(3):173-87.</t>
  </si>
  <si>
    <t>New Microbiol</t>
  </si>
  <si>
    <t>Absence of human herpesvirus 6B detection in association with illness in children undergoing cancer chemotherapy</t>
  </si>
  <si>
    <t>Goldfarb J, Borges N, Gowans LK, Kohn D, Worley S, Li L, Yen-Lieberman B, Lach D, Danziger-Isakov L, Yee-Guardino S, Trunick C, Pellett PE.</t>
  </si>
  <si>
    <t>J Med Virol. 2016 Aug;88(8):1427-37. doi: 10.1002/jmv.24482. Epub 2016 Feb 3.</t>
  </si>
  <si>
    <t>Human Herpesvirus 6 DNAemia Is Associated With Worse Survival After Ex Vivo T-Cell-Depleted Hematopoietic Cell Transplant</t>
  </si>
  <si>
    <t>Lee YJ, Su Y, Cho C, Tamari R, Perales MA, Jakubowski AA, Papanicolaou GA.</t>
  </si>
  <si>
    <t>J Infect Dis. 2022 Feb 1;225(3):453-464. doi: 10.1093/infdis/jiab412.</t>
  </si>
  <si>
    <t>PMC8807153</t>
  </si>
  <si>
    <t>Divergent tropism of HHV-6A(GS) and HHV-6B(PL1) in T cells expressing different CD46 isoform patterns</t>
  </si>
  <si>
    <t>Hansen AS, Bundgaard BB, Biltoft M, Rossen LS, Höllsberg P.</t>
  </si>
  <si>
    <t>Virology. 2017 Feb;502:160-170. doi: 10.1016/j.virol.2016.12.027. Epub 2017 Jan 2.</t>
  </si>
  <si>
    <t>Human herpesvirus 6: An emerging pathogen</t>
  </si>
  <si>
    <t>Campadelli-Fiume G, Mirandola P, Menotti L.</t>
  </si>
  <si>
    <t>Emerg Infect Dis. 1999 May-Jun;5(3):353-66. doi: 10.3201/eid0503.990306.</t>
  </si>
  <si>
    <t>Emerg Infect Dis</t>
  </si>
  <si>
    <t>PMC2640789</t>
  </si>
  <si>
    <t>HHV-6B reduces autophagy and induces ER stress in primary monocytes impairing their survival and differentiation into dendritic cells</t>
  </si>
  <si>
    <t>Romeo MA, Gilardini Montani MS, Falcinelli L, Gaeta A, Nazzari C, Faggioni A, Cirone M.</t>
  </si>
  <si>
    <t>Virus Res. 2019 Nov;273:197757. doi: 10.1016/j.virusres.2019.197757. Epub 2019 Sep 12.</t>
  </si>
  <si>
    <t>Virus Res</t>
  </si>
  <si>
    <t>Human herpesvirus-6B infection in pediatric allogenic hematopoietic stem cell transplant patients: Risk factors and encephalitis</t>
  </si>
  <si>
    <t>Miura H, Kawamura Y, Hattori F, Tanaka M, Kudo K, Ihira M, Yatsuya H, Takahashi Y, Kojima S, Sakaguchi H, Yoshida N, Hama A, Yoshikawa T.</t>
  </si>
  <si>
    <t>Transpl Infect Dis. 2020 Feb;22(1):e13203. doi: 10.1111/tid.13203. Epub 2019 Nov 11.</t>
  </si>
  <si>
    <t>Unique Challenges to Diagnosing Human Herpesvirus-6 (HHV-6) Encephalitis Following Post-Hematopoietic Stem Cell Transplant: A Case and Brief Review</t>
  </si>
  <si>
    <t>Zhu H, Ali A, Woan KV, Tam E, Yaghmour G, Flores A, Chaudhary P.</t>
  </si>
  <si>
    <t>Cell Transplant. 2022 Jan-Dec;31:9636897221119734. doi: 10.1177/09636897221119734.</t>
  </si>
  <si>
    <t>Cell Transplant</t>
  </si>
  <si>
    <t>PMC9478732</t>
  </si>
  <si>
    <t>Detection of human herpesvirus (HHV)-6 and HHV-7 in transplant recipients: minding the gap</t>
  </si>
  <si>
    <t>Vinnard C, Blumberg EA.</t>
  </si>
  <si>
    <t>Transpl Infect Dis. 2009 Dec;11(6):477-9. doi: 10.1111/j.1399-3062.2009.00468.x. Epub 2009 Nov 3.</t>
  </si>
  <si>
    <t>Human herpesviruses-6 and -7 infections</t>
  </si>
  <si>
    <t>Curr Opin Infect Dis. 2005 Jun;18(3):247-52. doi: 10.1097/01.qco.0000168386.16519.93.</t>
  </si>
  <si>
    <t>Human Herpes Virus-6 (HHV-6) Reactivation after Hematopoietic Cell Transplant and Chimeric Antigen Receptor (CAR)- T Cell Therapy: A Shifting Landscape</t>
  </si>
  <si>
    <t>Kampouri E, Handley G, Hill JA.</t>
  </si>
  <si>
    <t>Viruses. 2024 Mar 24;16(4):498. doi: 10.3390/v16040498.</t>
  </si>
  <si>
    <t>PMC11054085</t>
  </si>
  <si>
    <t>[Human herpesvirus type 6 and type 7 in transplant recipients]</t>
  </si>
  <si>
    <t>Benito N, Moreno A, Pumarola T, Marcos MA.</t>
  </si>
  <si>
    <t>Enferm Infecc Microbiol Clin. 2003 Oct;21(8):424-32. doi: 10.1016/s0213-005x(03)72980-2.</t>
  </si>
  <si>
    <t>Enferm Infecc Microbiol Clin</t>
  </si>
  <si>
    <t>Impact of Specific Antibody Level on Human Herpesvirus 6 Reactivation after Allogeneic Stem Cell Transplantation</t>
  </si>
  <si>
    <t>Nakayama H, Yamazaki R, Kato J, Koda Y, Sakurai M, Mori T.</t>
  </si>
  <si>
    <t>Transplant Cell Ther. 2021 Feb;27(2):174.e1-174.e5. doi: 10.1016/j.jtct.2020.10.011. Epub 2020 Dec 11.</t>
  </si>
  <si>
    <t>Quantitative detection of HHV-6 and HHV-7 in transbronchial biopsies from lung transplant recipients</t>
  </si>
  <si>
    <t>Costa C, Curtoni A, Bergallo M, Solidoro P, Lorusso M, Delsedime L, Sapino A, Cavallo R.</t>
  </si>
  <si>
    <t>New Microbiol. 2011 Jul;34(3):275-80. Epub 2011 Jul 30.</t>
  </si>
  <si>
    <t>Virologic and immunologic evidence supporting an association between HHV-6 and Hashimoto's thyroiditis</t>
  </si>
  <si>
    <t>Caselli E, Zatelli MC, Rizzo R, Benedetti S, Martorelli D, Trasforini G, Cassai E, degli Uberti EC, Di Luca D, Dolcetti R.</t>
  </si>
  <si>
    <t>PLoS Pathog. 2012;8(10):e1002951. doi: 10.1371/journal.ppat.1002951. Epub 2012 Oct 4.</t>
  </si>
  <si>
    <t>PMC3464215</t>
  </si>
  <si>
    <t>The complex relationship between human herpesvirus 6 and acute graft-versus-host disease</t>
  </si>
  <si>
    <t>Pichereau C, Desseaux K, Janin A, Scieux C, Peffault de Latour R, Xhaard A, Robin M, Ribaud P, Agbalika F, Chevret S, Socié G.</t>
  </si>
  <si>
    <t>Biol Blood Marrow Transplant. 2012 Jan;18(1):141-4. doi: 10.1016/j.bbmt.2011.07.018. Epub 2011 Jul 27.</t>
  </si>
  <si>
    <t>Human Herpesvirus 6 replication predicts Cytomegalovirus reactivation after allogeneic stem cell transplantation from haploidentical donor</t>
  </si>
  <si>
    <t>Crocchiolo R, Giordano L, Rimondo A, Bologna M, Sarina B, Morabito L, Bramanti S, Castagna L, Mineri R.</t>
  </si>
  <si>
    <t>J Clin Virol. 2016 Nov;84:24-26. doi: 10.1016/j.jcv.2016.09.008. Epub 2016 Sep 20.</t>
  </si>
  <si>
    <t>Human herpesvirus 6A and 6B and polyomavirus JC and BK infections in renal cell carcinoma and their relationship with p53, p16INK4a, Ki-67, and nuclear factor-kappa B expression</t>
  </si>
  <si>
    <t>Namdari S, Chong PP, Behzad-Behbahani A, Geramizadeh B, Nazhvani AD, Sekawi Z, Farhadi A.</t>
  </si>
  <si>
    <t>Microbiol Immunol. 2022 Nov;66(11):510-518. doi: 10.1111/1348-0421.13026. Epub 2022 Sep 26.</t>
  </si>
  <si>
    <t>Microbiol Immunol</t>
  </si>
  <si>
    <t>Detection of human herpesvirus 6 DNA and chromosomal integration after allogeneic hematopoietic stem cell transplantation: A retrospective single center analysis</t>
  </si>
  <si>
    <t>Berneking L, Both A, Langebrake C, Aepfelbacher M, Lütgehetmann M, Kröger N, Christopeit M.</t>
  </si>
  <si>
    <t>Transpl Infect Dis. 2022 Jun;24(3):e13836. doi: 10.1111/tid.13836. Epub 2022 May 8.</t>
  </si>
  <si>
    <t>Human herpesvirus 6 (HHV-6) causes severe thymocyte depletion in SCID-hu Thy/Liv mice</t>
  </si>
  <si>
    <t>Gobbi A, Stoddart CA, Malnati MS, Locatelli G, Santoro F, Abbey NW, Bare C, Linquist-Stepps V, Moreno MB, Herndier BG, Lusso P, McCune JM.</t>
  </si>
  <si>
    <t>J Exp Med. 1999 Jun 21;189(12):1953-60. doi: 10.1084/jem.189.12.1953.</t>
  </si>
  <si>
    <t>J Exp Med</t>
  </si>
  <si>
    <t>PMC2192958</t>
  </si>
  <si>
    <t>The Telomeric Repeats of Human Herpesvirus 6A (HHV-6A) Are Required for Efficient Virus Integration</t>
  </si>
  <si>
    <t>Wallaschek N, Sanyal A, Pirzer F, Gravel A, Mori Y, Flamand L, Kaufer BB.</t>
  </si>
  <si>
    <t>PLoS Pathog. 2016 May 31;12(5):e1005666. doi: 10.1371/journal.ppat.1005666. eCollection 2016 May.</t>
  </si>
  <si>
    <t>PMC4887096</t>
  </si>
  <si>
    <t>[Human herpesvirus-6 and -7 infection and bone marrow transplantation (BMT)]</t>
  </si>
  <si>
    <t>Tanaka-Taya K, Okada S.</t>
  </si>
  <si>
    <t>Nihon Rinsho. 1998 Jan;56(1):208-12.</t>
  </si>
  <si>
    <t>HHV-6A in vitro infection of thyrocytes and T cells alters the expression of miRNA associated to autoimmune thyroiditis</t>
  </si>
  <si>
    <t>Caselli E, D'Accolti M, Soffritti I, Zatelli MC, Rossi R, Degli Uberti E, Di Luca D.</t>
  </si>
  <si>
    <t>Virol J. 2017 Jan 11;14(1):3. doi: 10.1186/s12985-016-0672-6.</t>
  </si>
  <si>
    <t>PMC5234148</t>
  </si>
  <si>
    <t>Cell cycle perturbations induced by human herpesvirus 6 infection and their effect on virus replication</t>
  </si>
  <si>
    <t>Li L, Gu B, Zhou F, Chi J, Feng D, Xie F, Wang F, Ma C, Li M, Wang J, Yao K.</t>
  </si>
  <si>
    <t>Arch Virol. 2014 Feb;159(2):365-70. doi: 10.1007/s00705-013-1826-0. Epub 2013 Sep 8.</t>
  </si>
  <si>
    <t>Arch Virol</t>
  </si>
  <si>
    <t>PMC7086940</t>
  </si>
  <si>
    <t>Human Herpesvirus-6 (HHV-6) infection in multiple sclerosis: a preliminary report</t>
  </si>
  <si>
    <t>Ablashi DV, Lapps W, Kaplan M, Whitman JE, Richert JR, Pearson GR.</t>
  </si>
  <si>
    <t>Mult Scler. 1998 Dec;4(6):490-6. doi: 10.1177/135245859800400606.</t>
  </si>
  <si>
    <t>Mult Scler</t>
  </si>
  <si>
    <t>Inhibition of cord blood cell expansion by human herpesvirus 6 in vitro</t>
  </si>
  <si>
    <t>Nitsche A, Fleischmann J, Klima KM, Radonić A, Thulke S, Siegert W.</t>
  </si>
  <si>
    <t>Stem Cells Dev. 2004 Apr;13(2):197-203. doi: 10.1089/154732804323046800.</t>
  </si>
  <si>
    <t>Stem Cells Dev</t>
  </si>
  <si>
    <t>Human herpesvirus 6 infection and associated pathogenesis following bone marrow transplantation</t>
  </si>
  <si>
    <t>Kadakia MP.</t>
  </si>
  <si>
    <t>Leuk Lymphoma. 1998 Oct;31(3-4):251-66. doi: 10.3109/10428199809059218.</t>
  </si>
  <si>
    <t>Quantitative HHV-6B antigenemia test for the monitoring of transplant patients</t>
  </si>
  <si>
    <t>Loginov R, Karlsson T, Höckerstedt K, Ablashi D, Lautenschlager I.</t>
  </si>
  <si>
    <t>Eur J Clin Microbiol Infect Dis. 2010 Jul;29(7):881-6. doi: 10.1007/s10096-010-0923-1. Epub 2010 Apr 21.</t>
  </si>
  <si>
    <t>Eur J Clin Microbiol Infect Dis</t>
  </si>
  <si>
    <t>Prophylactic Foscarnet for Human Herpesvirus 6: Effect on Hematopoietic Engraftment after Reduced-Intensity Conditioning Umbilical Cord Blood Transplantation</t>
  </si>
  <si>
    <t>El Jurdi N, Rogosheske J, DeFor T, Bejanyan N, Arora M, Bachanova V, Betts B, He F, Holtan S, Janakiram M, Larson S, Maakaron J, Rashidi A, Warlick E, Wagner JE, Young JH, Weisdorf D, Brunstein CG.</t>
  </si>
  <si>
    <t>Transplant Cell Ther. 2021 Jan;27(1):84.e1-84.e5. doi: 10.1016/j.bbmt.2020.10.008. Epub 2020 Oct 11.</t>
  </si>
  <si>
    <t>PMC8569886</t>
  </si>
  <si>
    <t>NIHMS1748800</t>
  </si>
  <si>
    <t>Impact of human herpesvirus-6 after haematopoietic stem cell transplantation</t>
  </si>
  <si>
    <t>Hentrich M, Oruzio D, Jäger G, Schlemmer M, Schleuning M, Schiel X, Hiddemann W, Kolb HJ.</t>
  </si>
  <si>
    <t>Br J Haematol. 2005 Jan;128(1):66-72. doi: 10.1111/j.1365-2141.2004.05254.x.</t>
  </si>
  <si>
    <t>Br J Haematol</t>
  </si>
  <si>
    <t>Expression of the human herpesvirus 6A latency-associated transcript U94A impairs cytoskeletal functions in human neural cells</t>
  </si>
  <si>
    <t>Hogestyn JM, Salois G, Xie L, Apa C, Youngyunpipatkul J, Pröschel C, Mayer-Pröschel M.</t>
  </si>
  <si>
    <t>Mol Cell Neurosci. 2022 Dec;123:103770. doi: 10.1016/j.mcn.2022.103770. Epub 2022 Aug 30.</t>
  </si>
  <si>
    <t>Mol Cell Neurosci</t>
  </si>
  <si>
    <t>PMC10124163</t>
  </si>
  <si>
    <t>NIHMS1892573</t>
  </si>
  <si>
    <t>Human herpesvirus 6: its impact and influence on infectious diseases and their management</t>
  </si>
  <si>
    <t>Khare MD.</t>
  </si>
  <si>
    <t>Expert Opin Pharmacother. 2001 Feb;2(2):213-21. doi: 10.1517/14656566.2.2.213.</t>
  </si>
  <si>
    <t>Expert Opin Pharmacother</t>
  </si>
  <si>
    <t>Early human herpesvirus type 6 reactivation after allogeneic stem cell transplantation: a large-scale clinical study</t>
  </si>
  <si>
    <t>Dulery R, Salleron J, Dewilde A, Rossignol J, Boyle EM, Gay J, de Berranger E, Coiteux V, Jouet JP, Duhamel A, Yakoub-Agha I.</t>
  </si>
  <si>
    <t>Biol Blood Marrow Transplant. 2012 Jul;18(7):1080-9. doi: 10.1016/j.bbmt.2011.12.579. Epub 2011 Dec 30.</t>
  </si>
  <si>
    <t>Human herpesvirus 6A U27 plays an essential role for the virus propagation</t>
  </si>
  <si>
    <t>Poetranto AL, Wakata A, Tjan LH, Nishimura M, Arii J, Mori Y.</t>
  </si>
  <si>
    <t>Microbiol Immunol. 2020 Oct;64(10):703-711. doi: 10.1111/1348-0421.12840.</t>
  </si>
  <si>
    <t>Human herpesvirus-6 infection in solid organ and stem cell transplant recipients</t>
  </si>
  <si>
    <t>Ljungman P, Singh N.</t>
  </si>
  <si>
    <t>J Clin Virol. 2006 Dec;37 Suppl 1:S87-91. doi: 10.1016/S1386-6532(06)70018-X.</t>
  </si>
  <si>
    <t>Prevalence of human herpesvirus-6B in Korean hematopoietic stem cell transplantation recipients</t>
  </si>
  <si>
    <t>Lee DG, Park ST, Choi SM, Kim SH, Choi JH, Yoo JH, Park SW, Lee GC, Paik SY, Shin WS, Kim CC.</t>
  </si>
  <si>
    <t>Mol Cells. 2003 Dec 31;16(3):307-15.</t>
  </si>
  <si>
    <t>Mol Cells</t>
  </si>
  <si>
    <t>[Human herpesvirus-6-associated diseases in hematopoietic stem cell transplantation: an update]</t>
  </si>
  <si>
    <t>Rinsho Ketsueki. 2016 Mar;57(3):298-306. doi: 10.11406/rinketsu.57.298.</t>
  </si>
  <si>
    <t>Different characteristics of human herpesvirus 6 encephalitis between primary infection and viral reactivation</t>
  </si>
  <si>
    <t>Kawamura Y, Sugata K, Ihira M, Mihara T, Mutoh T, Asano Y, Yoshikawa T.</t>
  </si>
  <si>
    <t>J Clin Virol. 2011 May;51(1):12-9. doi: 10.1016/j.jcv.2011.02.002. Epub 2011 Mar 3.</t>
  </si>
  <si>
    <t>Human herpesvirus 6, 7, and 8 in solid organ transplantation: Guidelines from the American Society of Transplantation Infectious Diseases Community of Practice</t>
  </si>
  <si>
    <t>Pellett Madan R, Hand J; AST Infectious Diseases Community of Practice.</t>
  </si>
  <si>
    <t>Clin Transplant. 2019 Sep;33(9):e13518. doi: 10.1111/ctr.13518. Epub 2019 Apr 4.</t>
  </si>
  <si>
    <t>Clin Transplant</t>
  </si>
  <si>
    <t>Human herpesvirus 6 as a possible cause of pneumonia</t>
  </si>
  <si>
    <t>Cone RW.</t>
  </si>
  <si>
    <t>Semin Respir Infect. 1995 Dec;10(4):254-8.</t>
  </si>
  <si>
    <t>Semin Respir Infect</t>
  </si>
  <si>
    <t>What's new in human herpesvirus-6? Clinical immunopathology of the HHV-6 infection</t>
  </si>
  <si>
    <t>Krueger GR, Sander C.</t>
  </si>
  <si>
    <t>Pathol Res Pract. 1989 Dec;185(6):915-29. doi: 10.1016/s0344-0338(89)80299-7.</t>
  </si>
  <si>
    <t>Pathol Res Pract</t>
  </si>
  <si>
    <t>Human herpesvirus 6B encephalitis in a liver transplant recipient: A case report and review of the literature</t>
  </si>
  <si>
    <t>Wang Y, Wang D, Tao X.</t>
  </si>
  <si>
    <t>Transpl Infect Dis. 2021 Feb;23(1):e13403. doi: 10.1111/tid.13403. Epub 2020 Jul 21.</t>
  </si>
  <si>
    <t>PMC7988578</t>
  </si>
  <si>
    <t>Human herpesvirus-6 encephalitis during hematopoietic stem cell transplantation leads to poor prognosis</t>
  </si>
  <si>
    <t>Shimazu Y, Kondo T, Ishikawa T, Yamashita K, Takaori-Kondo A.</t>
  </si>
  <si>
    <t>Transpl Infect Dis. 2013 Apr;15(2):195-201. doi: 10.1111/tid.12049. Epub 2013 Jan 18.</t>
  </si>
  <si>
    <t>HHV-6B infection after umbilical cord blood stem cell transplantation with pruritus as the first symptom</t>
  </si>
  <si>
    <t>Xu B, Jia Y, Lv L, Chen L, Cheng P, Ren S, Liu H, Zhang M, Zhang H.</t>
  </si>
  <si>
    <t>Acta Biochim Biophys Sin (Shanghai). 2023 Oct 25;55(10):1693-1696. doi: 10.3724/abbs.2023161.</t>
  </si>
  <si>
    <t>Acta Biochim Biophys Sin (Shanghai)</t>
  </si>
  <si>
    <t>PMC10577449</t>
  </si>
  <si>
    <t>Differentiation and quantitation of human herpesviruses 6A, 6B and 7 by real-time PCR</t>
  </si>
  <si>
    <t>Safronetz D, Humar A, Tipples GA.</t>
  </si>
  <si>
    <t>J Virol Methods. 2003 Sep;112(1-2):99-105. doi: 10.1016/s0166-0934(03)00196-4.</t>
  </si>
  <si>
    <t>J Virol Methods</t>
  </si>
  <si>
    <t>Significance of herpesvirus 6 in BAL fluid of hematology patients with acute respiratory failure</t>
  </si>
  <si>
    <t>Mariotte E, Schnell D, Scieux C, Agbalika F, Legoff J, Ribaud P, Boissel N, Schlemmer B, Azoulay E.</t>
  </si>
  <si>
    <t>Infection. 2011 Jun;39(3):225-30. doi: 10.1007/s15010-011-0114-8. Epub 2011 May 3.</t>
  </si>
  <si>
    <t>Infection</t>
  </si>
  <si>
    <t>Copy Number Heterogeneity, Large Origin Tandem Repeats, and Interspecies Recombination in Human Herpesvirus 6A (HHV-6A) and HHV-6B Reference Strains</t>
  </si>
  <si>
    <t>Greninger AL, Roychoudhury P, Makhsous N, Hanson D, Chase J, Krueger G, Xie H, Huang ML, Saunders L, Ablashi D, Koelle DM, Cook L, Jerome KR.</t>
  </si>
  <si>
    <t>J Virol. 2018 Apr 27;92(10):e00135-18. doi: 10.1128/JVI.00135-18. Print 2018 May 15.</t>
  </si>
  <si>
    <t>PMC5923074</t>
  </si>
  <si>
    <t>Chromosomally integrated human herpesvirus-6 in transplant recipients</t>
  </si>
  <si>
    <t>Lee SO, Brown RA, Razonable RR.</t>
  </si>
  <si>
    <t>Transpl Infect Dis. 2012 Aug;14(4):346-54. doi: 10.1111/j.1399-3062.2011.00715.x. Epub 2012 Feb 9.</t>
  </si>
  <si>
    <t>Association of Inherited Chromosomally Integrated Human Herpesvirus 6 with Neurologic Symptoms and Management after Allogeneic Hematopoietic Cell Transplantation</t>
  </si>
  <si>
    <t>Heldman MR, Job C, Maalouf J, Morris J, Xie H, Davis C, Stevens-Ayers T, Huang ML, Jerome KR, Fann JR, Zerr DM, Boeckh M, Hill JA.</t>
  </si>
  <si>
    <t>Transplant Cell Ther. 2021 Sep;27(9):795.e1-795.e8. doi: 10.1016/j.jtct.2021.05.029. Epub 2021 Jun 7.</t>
  </si>
  <si>
    <t>PMC8403634</t>
  </si>
  <si>
    <t>NIHMS1712123</t>
  </si>
  <si>
    <t>Studying the Interactions of U24 from HHV-6 in Order to Further Elucidate Its Potential Role in MS</t>
  </si>
  <si>
    <t>Pi KS, Bortolotti D, Sang Y, Schiuma G, Beltrami S, Rizzo S, Bortoluzzi A, Baldi E, Creagh AL, Haynes CA, Rizzo R, Straus SK.</t>
  </si>
  <si>
    <t>Viruses. 2022 Oct 28;14(11):2384. doi: 10.3390/v14112384.</t>
  </si>
  <si>
    <t>PMC9696605</t>
  </si>
  <si>
    <t>Considerations on human Herpesvirus 6 reactivation after cord blood transplantation</t>
  </si>
  <si>
    <t>Phan T, Zerr DM, Boussiotis V, Lusso P, Di Luca D.</t>
  </si>
  <si>
    <t>Am J Hematol. 2018 Sep;93(9):E249-E250. doi: 10.1002/ajh.25207. Epub 2018 Jul 30.</t>
  </si>
  <si>
    <t>Am J Hematol</t>
  </si>
  <si>
    <t>Human herpesvirus 6 infection in adult living related liver transplant recipients</t>
  </si>
  <si>
    <t>Ohashi M, Sugata K, Ihira M, Asano Y, Egawa H, Takada Y, Uemoto S, Yoshikawa T.</t>
  </si>
  <si>
    <t>Liver Transpl. 2008 Jan;14(1):100-9. doi: 10.1002/lt.21304.</t>
  </si>
  <si>
    <t>Liver Transpl</t>
  </si>
  <si>
    <t>Clinical outcomes of human herpesvirus 6 reactivation after hematopoietic stem cell transplantation</t>
  </si>
  <si>
    <t>Zerr DM, Corey L, Kim HW, Huang ML, Nguy L, Boeckh M.</t>
  </si>
  <si>
    <t>Clin Infect Dis. 2005 Apr 1;40(7):932-40. doi: 10.1086/428060. Epub 2005 Mar 2.</t>
  </si>
  <si>
    <t>Evaluating for Human Herpesvirus 6 in the Liver Explants of Children With Liver Failure of Unknown Etiology</t>
  </si>
  <si>
    <t>Yang CH, Sahoo MK, Fitzpatrick M, Lau AH, Pinsky BA, Martinez OM.</t>
  </si>
  <si>
    <t>J Infect Dis. 2019 Jul 2;220(3):361-369. doi: 10.1093/infdis/jiy644.</t>
  </si>
  <si>
    <t>Elevation of HHV-6 viral load mimicking HHV-6 reactivation after second umbilical cord blood transplantation in chromosomally integrated human herpesvirus-6</t>
  </si>
  <si>
    <t>Katagiri S, Akahane D, Inukai T, Otsuki S, Yamada A, Moriyama M, Yamada A, Asano M, Yoshizawa S, Tanaka Y, Furuya N, Fujimoto H, Gotoh M, Nakamura S, Gotoh A.</t>
  </si>
  <si>
    <t>J Infect Chemother. 2021 Oct;27(10):1517-1519. doi: 10.1016/j.jiac.2021.05.016. Epub 2021 May 31.</t>
  </si>
  <si>
    <t>J Infect Chemother</t>
  </si>
  <si>
    <t>Diagnostic assays for active infection with human herpesvirus 6 (HHV-6)</t>
  </si>
  <si>
    <t>Caserta MT, Hall CB, Schnabel K, Lofthus G, Marino A, Shelley L, Yoo C, Carnahan J, Anderson L, Wang H.</t>
  </si>
  <si>
    <t>J Clin Virol. 2010 May;48(1):55-7. doi: 10.1016/j.jcv.2010.02.007. Epub 2010 Mar 7.</t>
  </si>
  <si>
    <t>PMC2855742</t>
  </si>
  <si>
    <t>NIHMS182142</t>
  </si>
  <si>
    <t>Human herpesvirus-6 induces MVB formation, and virus egress occurs by an exosomal release pathway</t>
  </si>
  <si>
    <t>Mori Y, Koike M, Moriishi E, Kawabata A, Tang H, Oyaizu H, Uchiyama Y, Yamanishi K.</t>
  </si>
  <si>
    <t>Traffic. 2008 Sep;9(10):1728-42. doi: 10.1111/j.1600-0854.2008.00796.x. Epub 2008 Jul 11.</t>
  </si>
  <si>
    <t>Traffic</t>
  </si>
  <si>
    <t>PMC2613231</t>
  </si>
  <si>
    <t>Human herpesvirus 6 in biopsies from patients with gastrointestinal symptoms after allogeneic stem cell transplantation</t>
  </si>
  <si>
    <t>Mousset S, Martin H, Berger A, Heß S, Bug G, Kriener S, Engels K, Hoelzer D, Klein SA.</t>
  </si>
  <si>
    <t>Ann Hematol. 2012 May;91(5):737-742. doi: 10.1007/s00277-011-1354-5. Epub 2011 Nov 3.</t>
  </si>
  <si>
    <t>Ann Hematol</t>
  </si>
  <si>
    <t>Human herpesvirus 6B reactivation and delirium are frequent and associated events after cord blood transplantation</t>
  </si>
  <si>
    <t>Hill JA, Boeckh M, Leisenring WM, Xie H, Adler AL, Huang ML, Fann JR, Delaney C, Zerr DM.</t>
  </si>
  <si>
    <t>Bone Marrow Transplant. 2015 Oct;50(10):1348-51. doi: 10.1038/bmt.2015.154. Epub 2015 Jun 29.</t>
  </si>
  <si>
    <t>PMC4486349</t>
  </si>
  <si>
    <t>NIHMS688139</t>
  </si>
  <si>
    <t>Strong interaction between human herpesvirus 6 and peripheral blood monocytes/macrophages during acute infection</t>
  </si>
  <si>
    <t>Kondo K, Kondo T, Shimada K, Amo K, Miyagawa H, Yamanishi K.</t>
  </si>
  <si>
    <t>J Med Virol. 2002 Jul;67(3):364-9. doi: 10.1002/jmv.10082.</t>
  </si>
  <si>
    <t>Coinfection with human herpesvirus 6 variants A and B in lung tissue</t>
  </si>
  <si>
    <t>Cone RW, Huang ML, Hackman RC, Corey L.</t>
  </si>
  <si>
    <t>J Clin Microbiol. 1996 Apr;34(4):877-81. doi: 10.1128/jcm.34.4.877-881.1996.</t>
  </si>
  <si>
    <t>J Clin Microbiol</t>
  </si>
  <si>
    <t>PMC228909</t>
  </si>
  <si>
    <t>The role of early natural killer cell adoptive infusion before engraftment in protecting against human herpesvirus-6B encephalitis after naïve T-cell-depleted allogeneic stem cell transplantation</t>
  </si>
  <si>
    <t>Gasior M, Ferreras C, de Paz R, Bueno D, Mozo Y, Sisinni L, Canizales JT, González B, Olivas-Mazón R, Marcos A, Romero AB, Constanzo A, Mirones I, Fernández-Arroyo A, Balas A, Vicario JL, Escudero A, Yuste VJ, Pérez-Martínez A.</t>
  </si>
  <si>
    <t>Transfusion. 2021 May;61(5):1505-1517. doi: 10.1111/trf.16354. Epub 2021 Mar 13.</t>
  </si>
  <si>
    <t>Transfusion</t>
  </si>
  <si>
    <t>Chromosomally integrated human herpesvirus 6 in the Japanese population</t>
  </si>
  <si>
    <t>Miura H, Kawamura Y, Hattori F, Kozawa K, Ihira M, Ohye T, Kurahashi H, Yoshikawa T.</t>
  </si>
  <si>
    <t>J Med Virol. 2018 Oct;90(10):1636-1642. doi: 10.1002/jmv.25244. Epub 2018 Jul 10.</t>
  </si>
  <si>
    <t>Immunotherapeutic strategies to prevent and treat human herpesvirus 6 reactivation after allogeneic stem cell transplantation</t>
  </si>
  <si>
    <t>Gerdemann U, Keukens L, Keirnan JM, Katari UL, Nguyen CT, de Pagter AP, Ramos CA, Kennedy-Nasser A, Gottschalk SM, Heslop HE, Brenner MK, Rooney CM, Leen AM.</t>
  </si>
  <si>
    <t>Blood. 2013 Jan 3;121(1):207-18. doi: 10.1182/blood-2012-05-430413. Epub 2012 Nov 14.</t>
  </si>
  <si>
    <t>Blood</t>
  </si>
  <si>
    <t>PMC3709638</t>
  </si>
  <si>
    <t>The ND10 Complex Represses Lytic Human Herpesvirus 6A Replication and Promotes Silencing of the Viral Genome</t>
  </si>
  <si>
    <t>Sanyal A, Wallaschek N, Glass M, Flamand L, Wight DJ, Kaufer BB.</t>
  </si>
  <si>
    <t>Viruses. 2018 Jul 29;10(8):401. doi: 10.3390/v10080401.</t>
  </si>
  <si>
    <t>PMC6115956</t>
  </si>
  <si>
    <t>In vitro and in vivo analysis of human herpesvirus-6 U90 protein expression</t>
  </si>
  <si>
    <t>Nishimura N, Yoshikawa T, Ozaki T, Sun H, Goshima F, Nishiyama Y, Asano Y, Kurata T, Iwasaki T.</t>
  </si>
  <si>
    <t>J Med Virol. 2005 Jan;75(1):86-92. doi: 10.1002/jmv.20241.</t>
  </si>
  <si>
    <t>Human herpesvirus type 6 indirectly enhances oligodendrocyte cell death</t>
  </si>
  <si>
    <t>Kong H, Baerbig Q, Duncan L, Shepel N, Mayne M.</t>
  </si>
  <si>
    <t>J Neurovirol. 2003 Oct;9(5):539-50. doi: 10.1080/13550280390241241.</t>
  </si>
  <si>
    <t>Differential HHV-6A gene expression in T cells and primary human astrocytes based on multi-virus array analysis</t>
  </si>
  <si>
    <t>Yao K, Mandel M, Akyani N, Maynard K, Sengamalay N, Fotheringham J, Ghedin E, Kashanchi F, Jacobson S.</t>
  </si>
  <si>
    <t>Glia. 2006 Jun;53(8):789-98. doi: 10.1002/glia.20333.</t>
  </si>
  <si>
    <t>Glia</t>
  </si>
  <si>
    <t>Human herpesvirus 6 DNA in plasma after allogeneic stem cell transplantation: incidence and clinical significance</t>
  </si>
  <si>
    <t>Ogata M, Kikuchi H, Satou T, Kawano R, Ikewaki J, Kohno K, Kashima K, Ohtsuka E, Kadota J.</t>
  </si>
  <si>
    <t>J Infect Dis. 2006 Jan 1;193(1):68-79. doi: 10.1086/498531. Epub 2005 Nov 30.</t>
  </si>
  <si>
    <t>Inherited Chromosomally Integrated Human Herpesvirus 6 Genomes Are Ancient, Intact, and Potentially Able To Reactivate from Telomeres</t>
  </si>
  <si>
    <t>Zhang E, Bell AJ, Wilkie GS, Suárez NM, Batini C, Veal CD, Armendáriz-Castillo I, Neumann R, Cotton VE, Huang Y, Porteous DJ, Jarrett RF, Davison AJ, Royle NJ.</t>
  </si>
  <si>
    <t>J Virol. 2017 Oct 27;91(22):e01137-17. doi: 10.1128/JVI.01137-17. Print 2017 Nov 15.</t>
  </si>
  <si>
    <t>PMC5660504</t>
  </si>
  <si>
    <t>Human herpesvirus 7: antigenic properties and prevalence in children and adults</t>
  </si>
  <si>
    <t>Wyatt LS, Rodriguez WJ, Balachandran N, Frenkel N.</t>
  </si>
  <si>
    <t>J Virol. 1991 Nov;65(11):6260-5. doi: 10.1128/JVI.65.11.6260-6265.1991.</t>
  </si>
  <si>
    <t>PMC250327</t>
  </si>
  <si>
    <t>Human herpesvirus 6B genome sequence: coding content and comparison with human herpesvirus 6A</t>
  </si>
  <si>
    <t>Dominguez G, Dambaugh TR, Stamey FR, Dewhurst S, Inoue N, Pellett PE.</t>
  </si>
  <si>
    <t>J Virol. 1999 Oct;73(10):8040-52. doi: 10.1128/JVI.73.10.8040-8052.1999.</t>
  </si>
  <si>
    <t>PMC112820</t>
  </si>
  <si>
    <t>Human herpesvirus 6 in lung tissue from patients with pneumonitis after bone marrow transplantation</t>
  </si>
  <si>
    <t>Cone RW, Hackman RC, Huang ML, Bowden RA, Meyers JD, Metcalf M, Zeh J, Ashley R, Corey L.</t>
  </si>
  <si>
    <t>N Engl J Med. 1993 Jul 15;329(3):156-61. doi: 10.1056/NEJM199307153290302.</t>
  </si>
  <si>
    <t>N Engl J Med</t>
  </si>
  <si>
    <t>[Human herpesvirus 6]</t>
  </si>
  <si>
    <t>Ongrádi J, Kövesdi V, Medveczky GP.</t>
  </si>
  <si>
    <t>Orv Hetil. 2010 Mar 28;151(13):523-32. doi: 10.1556/OH.2010.28848.</t>
  </si>
  <si>
    <t>Orv Hetil</t>
  </si>
  <si>
    <t>Analysis of a glycoprotein of human herpesvirus 6 (HHV-6) using monoclonal antibodies</t>
  </si>
  <si>
    <t>Okuno T, Sao H, Asada H, Shiraki K, Takahashi M, Yamanishi K.</t>
  </si>
  <si>
    <t>Virology. 1990 Jun;176(2):625-8. doi: 10.1016/0042-6822(90)90033-n.</t>
  </si>
  <si>
    <t>Detection of human herpesvirus 6 DNA in T and B cell lymphomas</t>
  </si>
  <si>
    <t>Chen JY, Cheng CY, Hsu TY, Su IJ, Pao CC, Liu MY, Yang CS.</t>
  </si>
  <si>
    <t>Zhonghua Min Guo Wei Sheng Wu Ji Mian Yi Xue Za Zhi. 1991 Feb;24(1):44-54.</t>
  </si>
  <si>
    <t>Zhonghua Min Guo Wei Sheng Wu Ji Mian Yi Xue Za Zhi</t>
  </si>
  <si>
    <t>Effects of human herpesvirus 6B reactivation on cognitive function in cord blood transplant recipients: a prospective multicenter study</t>
  </si>
  <si>
    <t>Ogata M, Oshima K, Takano K, Kawano R, Ueda Y, Imamura T, Nakamura Y, Okada T, Toubai T, Ueki T, Uoshima N, Ishida H, Shinohara A, Seo S, Fukuda T, Inagaki M.</t>
  </si>
  <si>
    <t>Int J Hematol. 2024 Apr;119(4):432-441. doi: 10.1007/s12185-024-03714-2. Epub 2024 Feb 26.</t>
  </si>
  <si>
    <t>PMC10960775</t>
  </si>
  <si>
    <t>Human herpesvirus 6A infection and immunopathogenesis in humanized Rag2⁻/⁻ γc⁻/⁻ mice</t>
  </si>
  <si>
    <t>Tanner A, Carlson SA, Nukui M, Murphy EA, Berges BK.</t>
  </si>
  <si>
    <t>J Virol. 2013 Nov;87(22):12020-8. doi: 10.1128/JVI.01556-13. Epub 2013 Sep 4.</t>
  </si>
  <si>
    <t>PMC3807896</t>
  </si>
  <si>
    <t>Human herpesvirus 6 glycoprotein M is essential for virus growth and requires glycoprotein N for its maturation</t>
  </si>
  <si>
    <t>Kawabata A, Jasirwan C, Yamanishi K, Mori Y.</t>
  </si>
  <si>
    <t>Virology. 2012 Jul 20;429(1):21-8. doi: 10.1016/j.virol.2012.03.027. Epub 2012 Apr 24.</t>
  </si>
  <si>
    <t>Quantitative analysis of human herpesvirus 6 cell tropism</t>
  </si>
  <si>
    <t>De Bolle L, Van Loon J, De Clercq E, Naesens L.</t>
  </si>
  <si>
    <t>J Med Virol. 2005 Jan;75(1):76-85. doi: 10.1002/jmv.20240.</t>
  </si>
  <si>
    <t>HHV-6B induces IFN-lambda1 responses in cord plasmacytoid dendritic cells through TLR9</t>
  </si>
  <si>
    <t>Nordström I, Eriksson K.</t>
  </si>
  <si>
    <t>PLoS One. 2012;7(6):e38683. doi: 10.1371/journal.pone.0038683. Epub 2012 Jun 6.</t>
  </si>
  <si>
    <t>PMC3368904</t>
  </si>
  <si>
    <t>Hepatitis due to human herpesvirus 6B after hematopoietic cell transplantation and a review of the literature</t>
  </si>
  <si>
    <t>Hill JA, Myerson D, Sedlak RH, Jerome KR, Zerr DM.</t>
  </si>
  <si>
    <t>Transpl Infect Dis. 2014 Jun;16(3):477-83. doi: 10.1111/tid.12208. Epub 2014 Apr 7.</t>
  </si>
  <si>
    <t>PMC4573554</t>
  </si>
  <si>
    <t>NIHMS721611</t>
  </si>
  <si>
    <t>HHV-6 and HHV-7 as exogenous agents in human lymphocytes</t>
  </si>
  <si>
    <t>Frenkel N, Wyatt LS.</t>
  </si>
  <si>
    <t>Dev Biol Stand. 1992;76:259-65.</t>
  </si>
  <si>
    <t>Dev Biol Stand</t>
  </si>
  <si>
    <t>Fatal human herpes virus 6B myocarditis: Postmortem diagnosis of HHV-6B based on CD134(+) T-cell tropism</t>
  </si>
  <si>
    <t>Yamada A, Takeichi T, Kiryu K, Takashino S, Yoshida M, Kitamura O.</t>
  </si>
  <si>
    <t>Leg Med (Tokyo). 2022 Feb;54:102007. doi: 10.1016/j.legalmed.2021.102007. Epub 2021 Dec 27.</t>
  </si>
  <si>
    <t>Leg Med (Tokyo)</t>
  </si>
  <si>
    <t>HHV-6A in syncytial giant-cell hepatitis</t>
  </si>
  <si>
    <t>Potenza L, Luppi M, Barozzi P, Rossi G, Cocchi S, Codeluppi M, Pecorari M, Masetti M, Di Benedetto F, Gennari W, Portolani M, Gerunda GE, Lazzarotto T, Landini MP, Schulz TF, Torelli G, Guaraldi G.</t>
  </si>
  <si>
    <t>N Engl J Med. 2008 Aug 7;359(6):593-602. doi: 10.1056/NEJMoa074479.</t>
  </si>
  <si>
    <t>Human herpesvirus 6A (HHV-6A) and HHV-6B alter E2F1/Rb pathways and E2F1 localization and cause cell cycle arrest in infected T cells</t>
  </si>
  <si>
    <t>Mlechkovich G, Frenkel N.</t>
  </si>
  <si>
    <t>J Virol. 2007 Dec;81(24):13499-508. doi: 10.1128/JVI.01496-07. Epub 2007 Oct 3.</t>
  </si>
  <si>
    <t>PMC2168879</t>
  </si>
  <si>
    <t>Cycling probe-based real-time PCR for the detection of Human herpesvirus 6A and B</t>
  </si>
  <si>
    <t>Ihira M, Yamaki A, Kato Y, Higashimoto Y, Kawamura Y, Yoshikawa T.</t>
  </si>
  <si>
    <t>J Med Virol. 2016 Sep;88(9):1628-35. doi: 10.1002/jmv.24513. Epub 2016 Mar 16.</t>
  </si>
  <si>
    <t>Infection by human herpesvirus 6 (HHV-6) of human lymphoid T cells occurs through an endocytic pathway</t>
  </si>
  <si>
    <t>Cirone M, Zompetta C, Angeloni A, Ablashi DV, Salahuddin SZ, Pavan A, Torrisi MR, Frati L, Faggioni A.</t>
  </si>
  <si>
    <t>AIDS Res Hum Retroviruses. 1992 Dec;8(12):2031-7. doi: 10.1089/aid.1992.8.2031.</t>
  </si>
  <si>
    <t>AIDS Res Hum Retroviruses</t>
  </si>
  <si>
    <t>Detection of inherited chromosomally integrated HHV-6 (ciHHV-6) in a marker chromosome</t>
  </si>
  <si>
    <t>Campioni D, Gentili V, Cavazzini F, Bortolotti D, Nacheva EP, Cuneo A, Di Luca D, Rizzo R.</t>
  </si>
  <si>
    <t>Eur J Haematol. 2017 Jun;98(6):635-637. doi: 10.1111/ejh.12872. Epub 2017 Mar 31.</t>
  </si>
  <si>
    <t>Eur J Haematol</t>
  </si>
  <si>
    <t>Human herpesvirus 6B induces cell cycle arrest concomitant with p53 phosphorylation and accumulation in T cells</t>
  </si>
  <si>
    <t>Øster B, Bundgaard B, Höllsberg P.</t>
  </si>
  <si>
    <t>J Virol. 2005 Feb;79(3):1961-5. doi: 10.1128/JVI.79.3.1961-1965.2005.</t>
  </si>
  <si>
    <t>PMC544083</t>
  </si>
  <si>
    <t>Human herpesvirus-6 and acute liver failure</t>
  </si>
  <si>
    <t>Härmä M, Höckerstedt K, Lautenschlager I.</t>
  </si>
  <si>
    <t>Transplantation. 2003 Aug 15;76(3):536-9. doi: 10.1097/01.TP.0000069233.13409.DF.</t>
  </si>
  <si>
    <t>Transplantation</t>
  </si>
  <si>
    <t>Importance of chromosomally integrated HHV-6A and -6B in the diagnosis of active HHV-6 infection</t>
  </si>
  <si>
    <t>Clark DA, Ward KN.</t>
  </si>
  <si>
    <t>Herpes. 2008 Nov;15(2):28-32.</t>
  </si>
  <si>
    <t>Herpes</t>
  </si>
  <si>
    <t>Betaherpesviruses in transplant recipients</t>
  </si>
  <si>
    <t>Griffiths PD, Clark DA, Emery VC.</t>
  </si>
  <si>
    <t>J Antimicrob Chemother. 2000 Apr;45 Suppl T3:29-34. doi: 10.1093/jac/45.suppl_4.29.</t>
  </si>
  <si>
    <t>J Antimicrob Chemother</t>
  </si>
  <si>
    <t>Human herpesvirus-6 and human herpesvirus-7 in the bone marrow from healthy subjects</t>
  </si>
  <si>
    <t>Gautheret-Dejean A, Dejean O, Vastel L, Kerboull M, Aubin JT, Franti M, Agut H.</t>
  </si>
  <si>
    <t>Transplantation. 2000 Apr 27;69(8):1722-3. doi: 10.1097/00007890-200004270-00032.</t>
  </si>
  <si>
    <t>High Incidence of Early Human Herpesvirus-6 Infection in Children Undergoing Haploidentical Manipulated Stem Cell Transplantation for Hematologic Malignancies</t>
  </si>
  <si>
    <t>Perruccio K, Sisinni L, Perez-Martinez A, Valentin J, Capolsini I, Massei MS, Caniglia M, Cesaro S.</t>
  </si>
  <si>
    <t>Biol Blood Marrow Transplant. 2018 Dec;24(12):2549-2557. doi: 10.1016/j.bbmt.2018.07.033. Epub 2018 Jul 29.</t>
  </si>
  <si>
    <t>HHV-6B is frequently found in the gastrointestinal tract in kidney transplantation patients</t>
  </si>
  <si>
    <t>Lempinen M, Halme L, Arola J, Honkanen E, Salmela K, Lautenschlager I.</t>
  </si>
  <si>
    <t>Transpl Int. 2012 Jul;25(7):776-82. doi: 10.1111/j.1432-2277.2012.01502.x. Epub 2012 May 22.</t>
  </si>
  <si>
    <t>An infectious HHV-6B isolate from a healthy adult with chromosomally integrated virus and a reporter based relative viral titer assay</t>
  </si>
  <si>
    <t>Goel P, Tailor P, Chande AG, Basu A, Mukhopadhyaya R.</t>
  </si>
  <si>
    <t>Virus Res. 2013 May;173(2):280-5. doi: 10.1016/j.virusres.2013.02.006. Epub 2013 Feb 20.</t>
  </si>
  <si>
    <t>Comparison of antiviral compounds against human herpesvirus 6 and 7</t>
  </si>
  <si>
    <t>Yoshida M, Yamada M, Tsukazaki T, Chatterjee S, Lakeman FD, Nii S, Whitley RJ.</t>
  </si>
  <si>
    <t>Antiviral Res. 1998 Dec;40(1-2):73-84. doi: 10.1016/s0166-3542(98)00049-7.</t>
  </si>
  <si>
    <t>Antiviral Res</t>
  </si>
  <si>
    <t>Prevalence of chromosomally integrated human herpesvirus 6 in patients with human herpesvirus 6-central nervous system dysfunction</t>
  </si>
  <si>
    <t>Hill JA, Sedlak RH, Zerr DM, Huang ML, Yeung C, Myerson D, Jerome KR, Boeckh MJ.</t>
  </si>
  <si>
    <t>Biol Blood Marrow Transplant. 2015 Feb;21(2):371-3. doi: 10.1016/j.bbmt.2014.09.015. Epub 2014 Sep 22.</t>
  </si>
  <si>
    <t>PMC4438705</t>
  </si>
  <si>
    <t>NIHMS686000</t>
  </si>
  <si>
    <t>[Clinical features of primary HHV-6 and HHV-7 infections]</t>
  </si>
  <si>
    <t>Suga S, Suzuki K, Ihira M, Furukawa H, Yoshikawa T, Asano Y.</t>
  </si>
  <si>
    <t>Nihon Rinsho. 1998 Jan;56(1):203-7.</t>
  </si>
  <si>
    <t>Quantitative serum PCR argues against long-term persistence of HHV-6 viremia after umbilical cord blood transplantation</t>
  </si>
  <si>
    <t>Ebadi M, Wasko J, Weisdorf DJ, Miller JS, Rashidi A.</t>
  </si>
  <si>
    <t>Transpl Infect Dis. 2021 Jun;23(3):e13555. doi: 10.1111/tid.13555. Epub 2021 Jan 8.</t>
  </si>
  <si>
    <t>Humanization of Murine Neutralizing Antibodies against Human Herpesvirus 6B</t>
  </si>
  <si>
    <t>Wang B, Nishimura M, Maekawa Y, Kotari T, Okuno T, Mori Y.</t>
  </si>
  <si>
    <t>J Virol. 2019 May 1;93(10):e02270-18. doi: 10.1128/JVI.02270-18. Print 2019 May 15.</t>
  </si>
  <si>
    <t>PMC6498045</t>
  </si>
  <si>
    <t>Preemptive therapy of human herpesvirus-6 encephalitis with foscarnet sodium for high-risk patients after hematopoietic SCT</t>
  </si>
  <si>
    <t>Ishiyama K, Katagiri T, Hoshino T, Yoshida T, Yamaguchi M, Nakao S.</t>
  </si>
  <si>
    <t>Bone Marrow Transplant. 2011 Jun;46(6):863-9. doi: 10.1038/bmt.2010.201. Epub 2010 Sep 13.</t>
  </si>
  <si>
    <t>Human Herpesvirus 6 Reactivation Evaluated by Digital Polymerase Chain Reaction and Its Association With Dynamics of CD134-Positive T Cells After Allogeneic Hematopoietic Stem Cell Transplantation</t>
  </si>
  <si>
    <t>Nakayama H, Yamazaki R, Kato J, Koda Y, Sakurai M, Abe R, Watanuki S, Sumiya C, Shiroshita K, Fujita S, Yamaguchi K, Okamoto S, Mori T.</t>
  </si>
  <si>
    <t>J Infect Dis. 2019 Aug 9;220(6):1001-1007. doi: 10.1093/infdis/jiz237.</t>
  </si>
  <si>
    <t>Human herpesvirus 6 infection of CD4+ T-cell subsets</t>
  </si>
  <si>
    <t>Otani N, Okuno T.</t>
  </si>
  <si>
    <t>Microbiol Immunol. 2007;51(10):993-1001. doi: 10.1111/j.1348-0421.2007.tb03996.x.</t>
  </si>
  <si>
    <t>Variations in the replication and antigenic properties of human herpesvirus 6 strains</t>
  </si>
  <si>
    <t>Wyatt LS, Balachandran N, Frenkel N.</t>
  </si>
  <si>
    <t>J Infect Dis. 1990 Oct;162(4):852-7. doi: 10.1093/infdis/162.4.852.</t>
  </si>
  <si>
    <t>T-cell immune response to human herpesvirus-6 in healthy adults</t>
  </si>
  <si>
    <t>Yakushijin Y, Yasukawa M, Kobayashi Y.</t>
  </si>
  <si>
    <t>Microbiol Immunol. 1991;35(8):655-60. doi: 10.1111/j.1348-0421.1991.tb01597.x.</t>
  </si>
  <si>
    <t>Chromosomally integrated human herpesvirus 6 (ci-HHV-6) in autologous bone marrow transplant recipients: are we missing a reactivation or is it just mimicking?</t>
  </si>
  <si>
    <t>Peri AM, Cagliani R, Bozzi G, Pompa A, Manganaro L, Baldini L, Gori A, Bandera A.</t>
  </si>
  <si>
    <t>J Clin Virol. 2021 Jun;139:104823. doi: 10.1016/j.jcv.2021.104823. Epub 2021 Apr 16.</t>
  </si>
  <si>
    <t>Effect of antivirals on human herpesvirus 6 replication in hematopoietic stem cell transplant recipients</t>
  </si>
  <si>
    <t>Zerr DM, Gupta D, Huang ML, Carter R, Corey L.</t>
  </si>
  <si>
    <t>Clin Infect Dis. 2002 Feb 1;34(3):309-17. doi: 10.1086/338044. Epub 2001 Dec 26.</t>
  </si>
  <si>
    <t>Roseoloviruses and their modulation of host defenses</t>
  </si>
  <si>
    <t>Hudson AW.</t>
  </si>
  <si>
    <t>Curr Opin Virol. 2014 Dec;9:178-87. doi: 10.1016/j.coviro.2014.09.009. Epub 2014 Dec 2.</t>
  </si>
  <si>
    <t>Calibrated real-time polymerase chain reaction for specific quantitation of HHV-6A and HHV-6B in clinical samples</t>
  </si>
  <si>
    <t>Cassina G, Russo D, De Battista D, Broccolo F, Lusso P, Malnati MS.</t>
  </si>
  <si>
    <t>J Virol Methods. 2013 Apr;189(1):172-9. doi: 10.1016/j.jviromet.2013.01.018. Epub 2013 Feb 4.</t>
  </si>
  <si>
    <t>Human herpesvirus-6 and sudden death in infancy: report of a case and review of the literature</t>
  </si>
  <si>
    <t>Hoang MP, Ross KF, Dawson DB, Scheuermann RH, Rogers BB.</t>
  </si>
  <si>
    <t>J Forensic Sci. 1999 Mar;44(2):432-7.</t>
  </si>
  <si>
    <t>J Forensic Sci</t>
  </si>
  <si>
    <t>[Human herpesvirus-6 associated with hematopoietic stem cell transplantation]</t>
  </si>
  <si>
    <t>Rinsho Ketsueki. 2015 Oct;56(10):2160-9. doi: 10.11406/rinketsu.56.2160.</t>
  </si>
  <si>
    <t>Viral gene expression patterns in human herpesvirus 6B-infected T cells</t>
  </si>
  <si>
    <t>Øster B, Höllsberg P.</t>
  </si>
  <si>
    <t>J Virol. 2002 Aug;76(15):7578-86. doi: 10.1128/jvi.76.15.7578-7586.2002.</t>
  </si>
  <si>
    <t>PMC136387</t>
  </si>
  <si>
    <t>Infection of natural killer cells by human herpesvirus 6</t>
  </si>
  <si>
    <t>Lusso P, Malnati MS, Garzino-Demo A, Crowley RW, Long EO, Gallo RC.</t>
  </si>
  <si>
    <t>Nature. 1993 Apr 1;362(6419):458-62. doi: 10.1038/362458a0.</t>
  </si>
  <si>
    <t>Human herpesvirus-6 and human herpesvirus-7 infections in bone marrow transplant recipients</t>
  </si>
  <si>
    <t>Chan PK, Peiris JS, Yuen KY, Liang RH, Lau YL, Chen FE, Lo SK, Cheung CY, Chan TK, Ng MH.</t>
  </si>
  <si>
    <t>J Med Virol. 1997 Nov;53(3):295-305. doi: 10.1002/(sici)1096-9071(199711)53:3&lt;295::aid-jmv20&gt;3.0.co;2-f.</t>
  </si>
  <si>
    <t>Human herpesvirus 6 U11 protein is critical for virus infection</t>
  </si>
  <si>
    <t>Mahmoud NF, Kawabata A, Tang H, Wakata A, Wang B, Serada S, Naka T, Mori Y.</t>
  </si>
  <si>
    <t>Virology. 2016 Feb;489:151-7. doi: 10.1016/j.virol.2015.12.011. Epub 2016 Jan 4.</t>
  </si>
  <si>
    <t>Human herpesvirus 6 infection in autologous bone marrow transplant recipients: a prospective study</t>
  </si>
  <si>
    <t>Moschettini D, Galieni P, Valensin PE, Laszlo D, Scalia G, Tozzi M, Lauria F, Donati D.</t>
  </si>
  <si>
    <t>J Med Virol. 2000 Jan;60(1):39-42.</t>
  </si>
  <si>
    <t>Lymphocyte Area Under the Curve as a Predictive Factor for Viral Infection after Allogenic Hematopoietic Stem Cell Transplantation</t>
  </si>
  <si>
    <t>Watanabe M, Kanda J, Hishizawa M, Kondo T, Yamashita K, Takaori-Kondo A.</t>
  </si>
  <si>
    <t>Biol Blood Marrow Transplant. 2019 Mar;25(3):587-593. doi: 10.1016/j.bbmt.2018.10.014. Epub 2018 Oct 22.</t>
  </si>
  <si>
    <t>Apoptotic effects of Human Herpesvirus-6A on glia and neurons as potential triggers for central nervous system autoimmunity</t>
  </si>
  <si>
    <t>Gardell JL, Dazin P, Islar J, Menge T, Genain CP, Lalive PH.</t>
  </si>
  <si>
    <t>J Clin Virol. 2006 Dec;37 Suppl 1:S11-6. doi: 10.1016/S1386-6532(06)70005-1.</t>
  </si>
  <si>
    <t>Clinical course of human herpesvirus 6 infection in pediatric living donor liver transplantation</t>
  </si>
  <si>
    <t>Yasui T, Suzuki T, Yoshikawa T, Yatsuya H, Kawamura Y, Miura H, Hara F, Watanabe S, Uga N, Naoe A.</t>
  </si>
  <si>
    <t>Pediatr Transplant. 2018 Nov;22(7):e13239. doi: 10.1111/petr.13239. Epub 2018 Jun 3.</t>
  </si>
  <si>
    <t>Pediatr Transplant</t>
  </si>
  <si>
    <t>Human CD134 (OX40) expressed on T cells plays a key role for human herpesvirus 6B replication after allogeneic hematopoietic stem cell transplantation</t>
  </si>
  <si>
    <t>Nagamata S, Nagasaka M, Kawabata A, Kishimoto K, Hasegawa D, Kosaka Y, Mori T, Morioka I, Nishimura N, Iijima K, Yamada H, Kawamoto S, Yakushijin K, Matsuoka H, Mori Y.</t>
  </si>
  <si>
    <t>J Clin Virol. 2018 May;102:50-55. doi: 10.1016/j.jcv.2018.02.011. Epub 2018 Feb 21.</t>
  </si>
  <si>
    <t>HHV-6 is frequently detected in dried cord blood spots from babies born to HIV-positive mothers</t>
  </si>
  <si>
    <t>D'Agaro P, Burgnich P, Comar M, Dal Molin G, Bernardon M, Busetti M, Alberico S, Poli A, Campello C; SIGO Italian Group.</t>
  </si>
  <si>
    <t>Curr HIV Res. 2008 Sep;6(5):441-6. doi: 10.2174/157016208785861122.</t>
  </si>
  <si>
    <t>Curr HIV Res</t>
  </si>
  <si>
    <t>Human herpesvirus 6 latently infects early bone marrow progenitors in vivo</t>
  </si>
  <si>
    <t>Luppi M, Barozzi P, Morris C, Maiorana A, Garber R, Bonacorsi G, Donelli A, Marasca R, Tabilio A, Torelli G.</t>
  </si>
  <si>
    <t>J Virol. 1999 Jan;73(1):754-9. doi: 10.1128/JVI.73.1.754-759.1999.</t>
  </si>
  <si>
    <t>PMC103884</t>
  </si>
  <si>
    <t>Human herpesvirus-6 infection in bone marrow transplantation</t>
  </si>
  <si>
    <t>Yoshikawa T, Suga S, Asano Y, Nakashima T, Yazaki T, Sobue R, Hirano M, Fukuda M, Kojima S, Matsuyama T.</t>
  </si>
  <si>
    <t>Blood. 1991 Sep 1;78(5):1381-4.</t>
  </si>
  <si>
    <t>Effectiveness of ganciclovir against human herpesvirus-6 excreted in saliva in stem cell transplant recipients</t>
  </si>
  <si>
    <t>Ljungman P, Dahl H, Xu YH, Larsson K, Brytting M, Linde A.</t>
  </si>
  <si>
    <t>Bone Marrow Transplant. 2007 Apr;39(8):497-9. doi: 10.1038/sj.bmt.1705617. Epub 2007 Mar 5.</t>
  </si>
  <si>
    <t>Unexpected High Incidence of Human Herpesvirus-6 Encephalitis after Naive T Cell-Depleted Graft of Haploidentical Stem Cell Transplantation in Pediatric Patients</t>
  </si>
  <si>
    <t>Sisinni L, Gasior M, de Paz R, Querol S, Bueno D, Fernández L, Marsal J, Sastre A, Gimeno R, Alonso L, Badell I, López-Granados E, Torres J, Medina L, Torrent M, Diaz de Heredia C, Escudero A, Pérez-Martínez A.</t>
  </si>
  <si>
    <t>Biol Blood Marrow Transplant. 2018 Nov;24(11):2316-2323. doi: 10.1016/j.bbmt.2018.07.016. Epub 2018 Jul 19.</t>
  </si>
  <si>
    <t>Specific CD8⁺ T cells recognize human herpesvirus 6B</t>
  </si>
  <si>
    <t>Martin LK, Schub A, Dillinger S, Moosmann A.</t>
  </si>
  <si>
    <t>Eur J Immunol. 2012 Nov;42(11):2901-12. doi: 10.1002/eji.201242439. Epub 2012 Sep 26.</t>
  </si>
  <si>
    <t>Eur J Immunol</t>
  </si>
  <si>
    <t>Human herpesvirus (HHV)-6 and HHV-7: two closely related viruses with different infection profiles in stem cell transplantation recipients</t>
  </si>
  <si>
    <t>Boutolleau D, Fernandez C, André E, Imbert-Marcille BM, Milpied N, Agut H, Gautheret-Dejean A.</t>
  </si>
  <si>
    <t>J Infect Dis. 2003 Jan 15;187(2):179-86. doi: 10.1086/367677. Epub 2003 Jan 6.</t>
  </si>
  <si>
    <t>Reactivation of human herpesvirus 6 during ex vivo expansion of circulating CD34+ haematopoietic stem cells</t>
  </si>
  <si>
    <t>Andre-Garnier E, Milpied N, Boutolleau D, Saiagh S, Billaudel S, Imbert-Marcille BM.</t>
  </si>
  <si>
    <t>J Gen Virol. 2004 Nov;85(Pt 11):3333-3336. doi: 10.1099/vir.0.80319-0.</t>
  </si>
  <si>
    <t>Human herpesvirus-6 infection: a prospective study evaluating HHV-6 DNA levels in liver from children with acute liver failure</t>
  </si>
  <si>
    <t>Chevret L, Boutolleau D, Halimi-Idri N, Branchereau S, Baujard C, Fabre M, Gautheret-Dejean A, Debray D.</t>
  </si>
  <si>
    <t>J Med Virol. 2008 Jun;80(6):1051-7. doi: 10.1002/jmv.21143.</t>
  </si>
  <si>
    <t>Human herpesvirus 6 glycoprotein complex formation is required for folding and trafficking of the gH/gL/gQ1/gQ2 complex and its cellular receptor binding</t>
  </si>
  <si>
    <t>Tang H, Hayashi M, Maeki T, Yamanishi K, Mori Y.</t>
  </si>
  <si>
    <t>J Virol. 2011 Nov;85(21):11121-30. doi: 10.1128/JVI.05251-11. Epub 2011 Aug 17.</t>
  </si>
  <si>
    <t>PMC3194968</t>
  </si>
  <si>
    <t>Increased proportion of perforin-expressing CD8+T-cells indicates control of herpesvirus reactivation in children after stem cell transplantation</t>
  </si>
  <si>
    <t>de Pagter PJ, Boelens JJ, Jacobi R, Schuurman R, Nanlohy NM, Sanders EA, van Baarle D.</t>
  </si>
  <si>
    <t>Clin Immunol. 2013 Jul;148(1):92-8. doi: 10.1016/j.clim.2013.02.023. Epub 2013 Mar 22.</t>
  </si>
  <si>
    <t>Clin Immunol</t>
  </si>
  <si>
    <t>Human herpesvirus 6 and multiple sclerosis: a study of T cell cross-reactivity to viral and myelin basic protein antigens</t>
  </si>
  <si>
    <t>Cirone M, Cuomo L, Zompetta C, Ruggieri S, Frati L, Faggioni A, Ragona G.</t>
  </si>
  <si>
    <t>J Med Virol. 2002 Oct;68(2):268-72. doi: 10.1002/jmv.10190.</t>
  </si>
  <si>
    <t>PMC7167112</t>
  </si>
  <si>
    <t>Detection of β-herpesviruses in Polish adult cord blood stem cell recipients by real-time PCR: single centre study</t>
  </si>
  <si>
    <t>Dzieciątkowski T, Przybylski M, Basak GW, Torosian T, Tomaszewska A, Jędrzejczak WW, Młynarczyk G.</t>
  </si>
  <si>
    <t>Arch Immunol Ther Exp (Warsz). 2010 Dec;58(6):467-72. doi: 10.1007/s00005-010-0096-8. Epub 2010 Sep 25.</t>
  </si>
  <si>
    <t>Arch Immunol Ther Exp (Warsz)</t>
  </si>
  <si>
    <t>PMC7095810</t>
  </si>
  <si>
    <t>Identification of human herpesvirus 6 variants A and B by primer-specific real-time PCR may help to revisit their respective role in pathology</t>
  </si>
  <si>
    <t>Boutolleau D, Duros C, Bonnafous P, Caïola D, Karras A, Castro ND, Ouachée M, Narcy P, Gueudin M, Agut H, Gautheret-Dejean A.</t>
  </si>
  <si>
    <t>J Clin Virol. 2006 Mar;35(3):257-63. doi: 10.1016/j.jcv.2005.08.002. Epub 2005 Sep 23.</t>
  </si>
  <si>
    <t>Atypical exanthems associated with HHV-6 reactivation after hematopoietic cell transplantation</t>
  </si>
  <si>
    <t>Drago F, Ciccarese G, Broccolo F, Cozzani E, Parodi A.</t>
  </si>
  <si>
    <t>J Clin Virol. 2015 Nov;72:119-21. doi: 10.1016/j.jcv.2015.09.005. Epub 2015 Oct 22.</t>
  </si>
  <si>
    <t>Human herpesvirus 6 encoded glycoprotein Q1 gene is essential for virus growth</t>
  </si>
  <si>
    <t>Tang H, Kawabata A, Yoshida M, Oyaizu H, Maeki T, Yamanishi K, Mori Y.</t>
  </si>
  <si>
    <t>Virology. 2010 Nov 25;407(2):360-7. doi: 10.1016/j.virol.2010.08.018. Epub 2010 Sep 21.</t>
  </si>
  <si>
    <t>HHV-6 encephalitis may complicate the early phase after allogeneic hematopoietic stem cell transplantation: Detection by qualitative multiplex PCR and subsequent quantitative real-time PCR</t>
  </si>
  <si>
    <t>Inazawa N, Hori T, Yamamoto M, Hatakeyama N, Yoto Y, Nojima M, Yasui H, Suzuki N, Shimizu N, Tsutsumi H.</t>
  </si>
  <si>
    <t>J Med Virol. 2016 Feb;88(2):319-23. doi: 10.1002/jmv.24340. Epub 2015 Aug 20.</t>
  </si>
  <si>
    <t>Ganciclovir-resistant human herpesvirus-6 encephalitis in a liver transplant patient: a case report</t>
  </si>
  <si>
    <t>Baldwin K.</t>
  </si>
  <si>
    <t>J Neurovirol. 2011 Apr;17(2):193-5. doi: 10.1007/s13365-011-0019-4. Epub 2011 Feb 2.</t>
  </si>
  <si>
    <t>Inflammatory Cytokine Profile in Individuals with Inherited Chromosomally Integrated Human Herpesvirus 6</t>
  </si>
  <si>
    <t>Weschke DP, Leisenring WM, Lawler RL, Stevens-Ayers T, Huang ML, Jerome KR, Zerr DM, Hansen JA, Boeckh M, Hill JA.</t>
  </si>
  <si>
    <t>Biol Blood Marrow Transplant. 2020 Feb;26(2):254-261. doi: 10.1016/j.bbmt.2019.10.023. Epub 2019 Oct 31.</t>
  </si>
  <si>
    <t>PMC6943191</t>
  </si>
  <si>
    <t>NIHMS1545394</t>
  </si>
  <si>
    <t>Atypical exanthems related to human herpesvirus-6 reactivations in transplant recipients</t>
  </si>
  <si>
    <t>Drago F, Ciccarese G, Parodi A.</t>
  </si>
  <si>
    <t>Transpl Infect Dis. 2016 Aug;18(4):639-40. doi: 10.1111/tid.12543. Epub 2016 Jun 20.</t>
  </si>
  <si>
    <t>Human Herpesvirus-6B Reactivation Is a Risk Factor for Grades II to IV Acute Graft-versus-Host Disease after Hematopoietic Stem Cell Transplantation: A Systematic Review and Meta-Analysis</t>
  </si>
  <si>
    <t>Phan TL, Carlin K, Ljungman P, Politikos I, Boussiotis V, Boeckh M, Shaffer ML, Zerr DM.</t>
  </si>
  <si>
    <t>Biol Blood Marrow Transplant. 2018 Nov;24(11):2324-2336. doi: 10.1016/j.bbmt.2018.04.021. Epub 2018 Apr 21.</t>
  </si>
  <si>
    <t>PMC8934525</t>
  </si>
  <si>
    <t>NIHMS1685193</t>
  </si>
  <si>
    <t>Herpesvirus type 6 in patients undergoing bone marrow transplantation: serologic features and detection by polymerase chain reaction</t>
  </si>
  <si>
    <t>Wilborn F, Brinkmann V, Schmidt CA, Neipel F, Gelderblom H, Siegert W.</t>
  </si>
  <si>
    <t>Blood. 1994 May 15;83(10):3052-8.</t>
  </si>
  <si>
    <t>Human herpesvirus 6 is an important pathogen in infectious lung disease after allogeneic bone marrow transplantation</t>
  </si>
  <si>
    <t>Buchbinder S, Elmaagacli AH, Schaefer UW, Roggendorf M.</t>
  </si>
  <si>
    <t>Bone Marrow Transplant. 2000 Sep;26(6):639-44. doi: 10.1038/sj.bmt.1702569.</t>
  </si>
  <si>
    <t>The human herpesvirus 6 U21-U24 gene cluster is dispensable for virus growth</t>
  </si>
  <si>
    <t>Jasirwan C, Tang H, Kawabata A, Mori Y.</t>
  </si>
  <si>
    <t>Microbiol Immunol. 2015 Jan;59(1):48-53. doi: 10.1111/1348-0421.12208.</t>
  </si>
  <si>
    <t>Distribution of HHV-6 variants in human tissues</t>
  </si>
  <si>
    <t>Di Luca D, Mirandola P, Ravaioli T, Bigoni B, Cassai E.</t>
  </si>
  <si>
    <t>Infect Agents Dis. 1996 Oct;5(4):203-14.</t>
  </si>
  <si>
    <t>Detection of Herpesviridae in whole blood by multiplex PCR DNA-based microarray analysis after hematopoietic stem cell transplantation</t>
  </si>
  <si>
    <t>Debaugnies F, Busson L, Ferster A, Lewalle P, Azzi N, Aoun M, Verhaegen G, Mahadeb B, de Marchin J, Vandenberg O, Hallin M.</t>
  </si>
  <si>
    <t>J Clin Microbiol. 2014 Jul;52(7):2552-6. doi: 10.1128/JCM.00061-14. Epub 2014 May 14.</t>
  </si>
  <si>
    <t>PMC4097728</t>
  </si>
  <si>
    <t>Investigation of Inherited Chromosomally Integrated Human Herpesvirus-6A+ and -6B+ in a Patient with Ulipristal Acetate-Induced Fulminant Hepatic Failure</t>
  </si>
  <si>
    <t>Izquierdo L, Canivet CM, De Martin E, Antonini TM, Roque-Afonso AM, Coilly A, Deback C.</t>
  </si>
  <si>
    <t>Viruses. 2021 Dec 30;14(1):62. doi: 10.3390/v14010062.</t>
  </si>
  <si>
    <t>PMC8778448</t>
  </si>
  <si>
    <t>Differential tropism of human herpesvirus 6 (HHV-6) variants and induction of latency by HHV-6A in oligodendrocytes</t>
  </si>
  <si>
    <t>Ahlqvist J, Fotheringham J, Akhyani N, Yao K, Fogdell-Hahn A, Jacobson S.</t>
  </si>
  <si>
    <t>J Neurovirol. 2005 Aug;11(4):384-94. doi: 10.1080/13550280591002379.</t>
  </si>
  <si>
    <t>PMC7095087</t>
  </si>
  <si>
    <t>Bone marrow transplant recipients harbor the B variant of human herpesvirus 6</t>
  </si>
  <si>
    <t>Frenkel N, Katsafanas GC, Wyatt LS, Yoshikawa T, Asano Y.</t>
  </si>
  <si>
    <t>Bone Marrow Transplant. 1994 Nov;14(5):839-43.</t>
  </si>
  <si>
    <t>Human herpesvirus 6 infection and transient acquired myelodysplasia in children</t>
  </si>
  <si>
    <t>Kagialis-Girard S, Durand B, Mialou V, Pagès MP, Galambrun C, Bertrand Y, Negrier C.</t>
  </si>
  <si>
    <t>Pediatr Blood Cancer. 2006 Oct 15;47(5):543-8. doi: 10.1002/pbc.20667.</t>
  </si>
  <si>
    <t>Pediatr Blood Cancer</t>
  </si>
  <si>
    <t>HHV-6 infection after allogeneic hematopoietic stem cell transplantation: From chromosomal integration to viral co-infections and T-cell reconstitution patterns</t>
  </si>
  <si>
    <t>Quintela A, Escuret V, Roux S, Bonnafous P, Gilis L, Barraco F, Labussière-Wallet H, Duscastelle-Leprêtre S, Nicolini FE, Thomas X, Chidiac C, Ferry T, Frobert E, Morisset S, Poitevin-Later F, Monneret G, Michallet M, Ader F; Lyon HEMINF Study Group.</t>
  </si>
  <si>
    <t>J Infect. 2016 Feb;72(2):214-22. doi: 10.1016/j.jinf.2015.09.039. Epub 2015 Oct 28.</t>
  </si>
  <si>
    <t>Detection of Human Herpesvirus 6B (HHV-6B) Reactivation in Hematopoietic Cell Transplant Recipients with Inherited Chromosomally Integrated HHV-6A by Droplet Digital PCR</t>
  </si>
  <si>
    <t>Sedlak RH, Hill JA, Nguyen T, Cho M, Levin G, Cook L, Huang ML, Flamand L, Zerr DM, Boeckh M, Jerome KR.</t>
  </si>
  <si>
    <t>J Clin Microbiol. 2016 May;54(5):1223-7. doi: 10.1128/JCM.03275-15. Epub 2016 Feb 17.</t>
  </si>
  <si>
    <t>PMC4844705</t>
  </si>
  <si>
    <t>Chromosomal integration of human herpesvirus 6 is the major mode of congenital human herpesvirus 6 infection</t>
  </si>
  <si>
    <t>Hall CB, Caserta MT, Schnabel K, Shelley LM, Marino AS, Carnahan JA, Yoo C, Lofthus GK, McDermott MP.</t>
  </si>
  <si>
    <t>Pediatrics. 2008 Sep;122(3):513-20. doi: 10.1542/peds.2007-2838.</t>
  </si>
  <si>
    <t>Pediatrics</t>
  </si>
  <si>
    <t>Human herpesvirus 6 infection impairs Toll-like receptor signaling</t>
  </si>
  <si>
    <t>Murakami Y, Tanimoto K, Fujiwara H, An J, Suemori K, Ochi T, Hasegawa H, Yasukawa M.</t>
  </si>
  <si>
    <t>Virol J. 2010 May 10;7:91. doi: 10.1186/1743-422X-7-91.</t>
  </si>
  <si>
    <t>PMC2874541</t>
  </si>
  <si>
    <t>Human herpesvirus 6 in AIDS</t>
  </si>
  <si>
    <t>Immunol Today. 1995 Feb;16(2):67-71. doi: 10.1016/0167-5699(95)80090-5.</t>
  </si>
  <si>
    <t>Immunol Today</t>
  </si>
  <si>
    <t>Quantitation of human herpesvirus-6 (HHV-6) DNA in a cord blood transplant recipient with chromosomal integration of HHV-6</t>
  </si>
  <si>
    <t>Kobayashi D, Kogawa K, Imai K, Tanaka T, Hiroi S, Satoh H, Tanaka-Taya K, Nonoyama S.</t>
  </si>
  <si>
    <t>Transpl Infect Dis. 2011 Dec;13(6):650-3. doi: 10.1111/j.1399-3062.2011.00693.x. Epub 2011 Nov 17.</t>
  </si>
  <si>
    <t>Identification of chromosomally integrated human herpesvirus 6 by droplet digital PCR</t>
  </si>
  <si>
    <t>Sedlak RH, Cook L, Huang ML, Magaret A, Zerr DM, Boeckh M, Jerome KR.</t>
  </si>
  <si>
    <t>Clin Chem. 2014 May;60(5):765-72. doi: 10.1373/clinchem.2013.217240. Epub 2014 Mar 4.</t>
  </si>
  <si>
    <t>Clin Chem</t>
  </si>
  <si>
    <t>PMC4511388</t>
  </si>
  <si>
    <t>NIHMS707427</t>
  </si>
  <si>
    <t>Identification and expression of the human herpesvirus 6 glycoprotein H and interaction with an accessory 40K glycoprotein</t>
  </si>
  <si>
    <t>Liu DX, Gompels UA, Nicholas J, Lelliott C.</t>
  </si>
  <si>
    <t>J Gen Virol. 1993 Sep;74 ( Pt 9):1847-57. doi: 10.1099/0022-1317-74-9-1847.</t>
  </si>
  <si>
    <t>Downregulation of the T-cell receptor complex and impairment of T-cell activation by human herpesvirus 6 u24 protein</t>
  </si>
  <si>
    <t>Sullivan BM, Coscoy L.</t>
  </si>
  <si>
    <t>J Virol. 2008 Jan;82(2):602-8. doi: 10.1128/JVI.01571-07. Epub 2007 Oct 31.</t>
  </si>
  <si>
    <t>PMC2224597</t>
  </si>
  <si>
    <t>Posterior reversible encephalopathy syndrome concurrent with human herpesvirus-6B encephalitis after allogeneic hematopoietic stem cell transplantation</t>
  </si>
  <si>
    <t>Ito Y, Toyama K, Honda A, Nakazaki K, Arai S, Kurokawa M.</t>
  </si>
  <si>
    <t>J Infect Chemother. 2020 Feb;26(2):265-268. doi: 10.1016/j.jiac.2019.07.016. Epub 2019 Aug 14.</t>
  </si>
  <si>
    <t>Human Herpesvirus-6 cytopathic inclusions: an exceptional and recognizable finding on skin biopsy during HHV6 reactivation after autologous stem-cell transplantation</t>
  </si>
  <si>
    <t>Roux J, Battistella M, Fornecker L, Legoff J, Deau B, Houhou N, Bouaziz JD, Thieblemont C, Janin A.</t>
  </si>
  <si>
    <t>Am J Dermatopathol. 2012 Aug;34(6):e73-6. doi: 10.1097/DAD.0b013e31825667ed.</t>
  </si>
  <si>
    <t>Am J Dermatopathol</t>
  </si>
  <si>
    <t>The long-term outcomes of patients transplanted due to acute liver failure with hepatic human herpesvirus-6 infection</t>
  </si>
  <si>
    <t>Transplant Proc. 2013 Jun;45(5):1910-2. doi: 10.1016/j.transproceed.2013.01.091.</t>
  </si>
  <si>
    <t>Transplant Proc</t>
  </si>
  <si>
    <t>Role of dendritic cells infected with human herpesvirus 6 in virus transmission to CD4(+) T cells</t>
  </si>
  <si>
    <t>Takemoto M, Imasawa T, Yamanishi K, Mori Y.</t>
  </si>
  <si>
    <t>Virology. 2009 Mar 15;385(2):294-302. doi: 10.1016/j.virol.2008.11.049. Epub 2009 Jan 14.</t>
  </si>
  <si>
    <t>Human herpesvirus 6 and multiple sclerosis: systemic active infections in patients with early disease</t>
  </si>
  <si>
    <t>Knox KK, Brewer JH, Henry JM, Harrington DJ, Carrigan DR.</t>
  </si>
  <si>
    <t>Clin Infect Dis. 2000 Oct;31(4):894-903. doi: 10.1086/318141. Epub 2000 Oct 20.</t>
  </si>
  <si>
    <t>Pericarditis Associated With Human Herpesvirus-6 Reactivation in a Patient After Unrelated Cord Blood Transplant</t>
  </si>
  <si>
    <t>Yoshida M, Nakamae H, Okamura H, Nishimoto M, Hayashi Y, Koh H, Nakane T, Hino M.</t>
  </si>
  <si>
    <t>Exp Clin Transplant. 2017 Apr;15(2):235-238. doi: 10.6002/ect.2014.0261. Epub 2015 Oct 14.</t>
  </si>
  <si>
    <t>Exp Clin Transplant</t>
  </si>
  <si>
    <t>Quantitation of human herpesvirus-6A, -6B and -7 DNAs in whole blood, mononuclear and polymorphonuclear cell fractions from healthy blood donors</t>
  </si>
  <si>
    <t>Géraudie B, Charrier M, Bonnafous P, Heurté D, Desmonet M, Bartoletti MA, Penasse C, Agut H, Gautheret-Dejean A.</t>
  </si>
  <si>
    <t>J Clin Virol. 2012 Feb;53(2):151-5. doi: 10.1016/j.jcv.2011.10.017. Epub 2011 Nov 30.</t>
  </si>
  <si>
    <t>Human herpesvirus 6 reactivation and encephalitis in allogeneic bone marrow transplant recipients</t>
  </si>
  <si>
    <t>Zerr DM, Gooley TA, Yeung L, Huang ML, Carpenter P, Wade JC, Corey L, Anasetti C.</t>
  </si>
  <si>
    <t>Clin Infect Dis. 2001 Sep 15;33(6):763-71. doi: 10.1086/322642. Epub 2001 Aug 13.</t>
  </si>
  <si>
    <t>Presence of HHV-6A in Endometrial Epithelial Cells from Women with Primary Unexplained Infertility</t>
  </si>
  <si>
    <t>Marci R, Gentili V, Bortolotti D, Lo Monte G, Caselli E, Bolzani S, Rotola A, Di Luca D, Rizzo R.</t>
  </si>
  <si>
    <t>PLoS One. 2016 Jul 1;11(7):e0158304. doi: 10.1371/journal.pone.0158304. eCollection 2016.</t>
  </si>
  <si>
    <t>PMC4930213</t>
  </si>
  <si>
    <t>Transmission of integrated human herpesvirus-6 in allogeneic hematopoietic stem cell transplantation</t>
  </si>
  <si>
    <t>Kamble RT, Clark DA, Leong HN, Heslop HE, Brenner MK, Carrum G.</t>
  </si>
  <si>
    <t>Bone Marrow Transplant. 2007 Sep;40(6):563-6. doi: 10.1038/sj.bmt.1705780. Epub 2007 Jul 16.</t>
  </si>
  <si>
    <t>Highlights from 5th International Conference on HHV-6 and -7</t>
  </si>
  <si>
    <t>Komaroff AL, Jacobson S, Ablashi DV, Yamanishi K.</t>
  </si>
  <si>
    <t>Herpes. 2006 Nov;13(3):81-2.</t>
  </si>
  <si>
    <t>Fatal outcome after reactivation of inherited chromosomally integrated HHV-6A (iciHHV-6A) transmitted through liver transplantation</t>
  </si>
  <si>
    <t>Bonnafous P, Marlet J, Bouvet D, Salamé E, Tellier AC, Guyetant S, Goudeau A, Agut H, Gautheret-Dejean A, Gaudy-Graffin C.</t>
  </si>
  <si>
    <t>Am J Transplant. 2018 Jun;18(6):1548-1551. doi: 10.1111/ajt.14657. Epub 2018 Jan 27.</t>
  </si>
  <si>
    <t>Am J Transplant</t>
  </si>
  <si>
    <t>Longitudinal study of human herpesvirus 6 infection in organ transplant recipients</t>
  </si>
  <si>
    <t>Herbein G, Strasswimmer J, Altieri M, Woehl-Jaegle ML, Wolf P, Obert G.</t>
  </si>
  <si>
    <t>Clin Infect Dis. 1996 Jan;22(1):171-3. doi: 10.1093/clinids/22.1.171.</t>
  </si>
  <si>
    <t>Human herpesvirus 6 infection after autologous or allogeneic stem cell transplantation: a single-center prospective longitudinal study of 92 patients</t>
  </si>
  <si>
    <t>Imbert-Marcille BM, Tang XW, Lepelletier D, Besse B, Moreau P, Billaudel S, Milpied N.</t>
  </si>
  <si>
    <t>Clin Infect Dis. 2000 Oct;31(4):881-6. doi: 10.1086/318142. Epub 2000 Oct 25.</t>
  </si>
  <si>
    <t>An assessment of the effect of human herpesvirus-6 replication on active cytomegalovirus infection after allogeneic stem cell transplantation</t>
  </si>
  <si>
    <t>Tormo N, Solano C, de la Cámara R, Garcia-Noblejas A, Cardeñoso L, Clari MA, Nieto J, López J, Hernández-Boluda JC, Remigia MJ, Benet I, Navarro D.</t>
  </si>
  <si>
    <t>Biol Blood Marrow Transplant. 2010 May;16(5):653-61. doi: 10.1016/j.bbmt.2009.12.003. Epub 2010 Jan 29.</t>
  </si>
  <si>
    <t>CD4+ T Cells Coexpressing CD134 (OX40) Harbor Significantly Increased Levels of Human Herpesvirus 6B DNA Following Umbilical Cord Blood Transplantation</t>
  </si>
  <si>
    <t>Pritchett JC, Green JS, Thomm AM, Knox KK, Verneris MR, Lund TC.</t>
  </si>
  <si>
    <t>J Infect Dis. 2016 Dec 15;214(12):1911-1915. doi: 10.1093/infdis/jiw469. Epub 2016 Oct 4.</t>
  </si>
  <si>
    <t>PMC5142091</t>
  </si>
  <si>
    <t>Ganciclovir is effective for prophylaxis and treatment of human herpesvirus-6 in allogeneic stem cell transplantation</t>
  </si>
  <si>
    <t>Tokimasa S, Hara J, Osugi Y, Ohta H, Matsuda Y, Fujisaki H, Sawada A, Kim JY, Sashihara J, Amou K, Miyagawa H, Tanaka-Taya K, Yamanishi K, Okada S.</t>
  </si>
  <si>
    <t>Bone Marrow Transplant. 2002 Apr;29(7):595-8. doi: 10.1038/sj.bmt.1703423.</t>
  </si>
  <si>
    <t>Case report: human herpesvirus 6 reactivation associated with colitis in a lung transplant recipient</t>
  </si>
  <si>
    <t>Lamoth F, Jayet PY, Aubert JD, Rotman S, Mottet C, Sahli R, Lautenschlager I, Pascual M, Meylan P.</t>
  </si>
  <si>
    <t>J Med Virol. 2008 Oct;80(10):1804-7. doi: 10.1002/jmv.21268.</t>
  </si>
  <si>
    <t>Use of real-time PCR to monitor human herpesvirus 6 reactivation after allogeneic bone marrow transplantation</t>
  </si>
  <si>
    <t>Ohyashiki JH, Suzuki A, Aritaki K, Nagate A, Shoji N, Ohyashiki K, Ojima T, Abe K, Yamamoto K.</t>
  </si>
  <si>
    <t>Int J Mol Med. 2000 Oct;6(4):427-32. doi: 10.3892/ijmm.6.4.427.</t>
  </si>
  <si>
    <t>Int J Mol Med</t>
  </si>
  <si>
    <t>The DR1 and DR6 first exons of human herpesvirus 6A are not required for virus replication in culture and are deleted in virus stocks that replicate well in T-cell lines</t>
  </si>
  <si>
    <t>Borenstein R, Zeigerman H, Frenkel N.</t>
  </si>
  <si>
    <t>J Virol. 2010 Mar;84(6):2648-56. doi: 10.1128/JVI.01951-09. Epub 2010 Jan 6.</t>
  </si>
  <si>
    <t>PMC2826055</t>
  </si>
  <si>
    <t>Risk factors for human herpesvirus 6 reactivation and its relationship with syndrome of inappropriate antidiuretic hormone secretion after stem cell transplantation in pediatric patients</t>
  </si>
  <si>
    <t>Toriumi N, Kobayashi R, Yoshida M, Iguchi A, Sarashina T, Okubo H, Suzuki D, Sano H, Ogata M, Azuma H.</t>
  </si>
  <si>
    <t>J Pediatr Hematol Oncol. 2014 Jul;36(5):379-83. doi: 10.1097/MPH.0b013e3182a11676.</t>
  </si>
  <si>
    <t>J Pediatr Hematol Oncol</t>
  </si>
  <si>
    <t>IL-2-regulated persistent human herpesvirus-6B infection facilitates growth of adult T cell leukemia cells</t>
  </si>
  <si>
    <t>Ojima T, Abe K, Ohyashiki JH, Shirakata M, Yamamoto K.</t>
  </si>
  <si>
    <t>J Med Dent Sci. 2005 Jun;52(2):135-41.</t>
  </si>
  <si>
    <t>J Med Dent Sci</t>
  </si>
  <si>
    <t>Optimisation of a quantitative polymerase chain reaction-based strategy for the detection and quantification of human herpesvirus 6 DNA in patients undergoing allogeneic haematopoietic stem cell transplantation</t>
  </si>
  <si>
    <t>Ueda MY, Alvarenga PG, Real JM, Moreira Ede S, Watanabe A, Passos-Castilho AM, Vescovi M, Novis Y, Rocha V, Seber A, Oliveira JS, Rodrigues CA, Granato CF.</t>
  </si>
  <si>
    <t>Mem Inst Oswaldo Cruz. 2015 Jun;110(4):461-7. doi: 10.1590/0074-02760150004. Epub 2015 Jun 2.</t>
  </si>
  <si>
    <t>Mem Inst Oswaldo Cruz</t>
  </si>
  <si>
    <t>PMC4501408</t>
  </si>
  <si>
    <t>Evaluation of liver failure in a pediatric transplant recipient of a liver allograft with inherited chromosomally integrated HHV-6B</t>
  </si>
  <si>
    <t>Bonnafous P, Phan TL, Himes R, Eldin K, Gautheret-Dejean A, Prusty BK, Agut H, Munoz FM.</t>
  </si>
  <si>
    <t>J Med Virol. 2020 Feb;92(2):241-250. doi: 10.1002/jmv.25600. Epub 2019 Oct 20.</t>
  </si>
  <si>
    <t>Cross-reactivity of autoreactive T cells with MBP and viral antigens in patients with MS</t>
  </si>
  <si>
    <t>Cheng W, Ma Y, Gong F, Hu C, Qian L, Huang Q, Yu Q, Zhang J, Chen S, Liu Z, Chen X, Zhou T, Zhang D.</t>
  </si>
  <si>
    <t>Front Biosci (Landmark Ed). 2012 Jan 1;17(5):1648-58. doi: 10.2741/4010.</t>
  </si>
  <si>
    <t>Front Biosci (Landmark Ed)</t>
  </si>
  <si>
    <t>Donor-to-recipient transmission and reactivation in a kidney transplant recipient of an inherited chromosomally integrated HHV-6A: Evidence and outcomes</t>
  </si>
  <si>
    <t>Petit V, Bonnafous P, Fages V, Gautheret-Dejean A, Engelmann I, Baras A, Hober D, Gérard R, Gibier JB, Leteurtre E, Glowacki F, Moulonguet F, Decaestecker A, Provôt F, Chamley P, Faure E, Prusty BK, Maanaoui M, Hazzan M.</t>
  </si>
  <si>
    <t>Am J Transplant. 2020 Dec;20(12):3667-3672. doi: 10.1111/ajt.16067. Epub 2020 Jun 28.</t>
  </si>
  <si>
    <t>Ganciclovir-resistant HHV-6 encephalitis that progressed rapidly after bone marrow transplantation</t>
  </si>
  <si>
    <t>Imataki O, Uemura M.</t>
  </si>
  <si>
    <t>J Clin Virol. 2015 Aug;69:176-8. doi: 10.1016/j.jcv.2015.06.097. Epub 2015 Jun 25.</t>
  </si>
  <si>
    <t>Divergent susceptibilities of human herpesvirus 6 variants to type I interferons</t>
  </si>
  <si>
    <t>Jaworska J, Gravel A, Flamand L.</t>
  </si>
  <si>
    <t>Proc Natl Acad Sci U S A. 2010 May 4;107(18):8369-74. doi: 10.1073/pnas.0909951107. Epub 2010 Apr 19.</t>
  </si>
  <si>
    <t>Proc Natl Acad Sci U S A</t>
  </si>
  <si>
    <t>PMC2889514</t>
  </si>
  <si>
    <t>Human herpesvirus 6 inhibits the proliferative responses of human peripheral blood mononuclear cells</t>
  </si>
  <si>
    <t>Horvat RT, Parmely MJ, Chandran B.</t>
  </si>
  <si>
    <t>J Infect Dis. 1993 Jun;167(6):1274-80. doi: 10.1093/infdis/167.6.1274.</t>
  </si>
  <si>
    <t>Analysis of human herpes virus 6 infections with a quantitative, standardized, commercial kit in pediatric stem cell transplant recipients after transplantation</t>
  </si>
  <si>
    <t>Mutlu D, Uygun V, Yazisiz H, Tezcan G, Hazar V, Colak D.</t>
  </si>
  <si>
    <t>Ann Saudi Med. 2014 Jan-Feb;34(1):6-11. doi: 10.5144/0256-4947.2014.6.</t>
  </si>
  <si>
    <t>Ann Saudi Med</t>
  </si>
  <si>
    <t>PMC6074933</t>
  </si>
  <si>
    <t>Different expression of human herpesvirus-6 (HHV-6) load in whole blood may have a significant impact on the diagnosis of active infection</t>
  </si>
  <si>
    <t>Gautheret-Dejean A, Henquell C, Mousnier F, Boutolleau D, Bonnafous P, Dhédin N, Settegrana C, Agut H.</t>
  </si>
  <si>
    <t>J Clin Virol. 2009 Sep;46(1):33-6. doi: 10.1016/j.jcv.2009.05.020. Epub 2009 Jun 7.</t>
  </si>
  <si>
    <t>Human herpesvirus 6 antigenaemia in allogeneic stem cell transplant recipients: impact on clinical course and association with other beta-herpesviruses</t>
  </si>
  <si>
    <t>Volin L, Lautenschlager I, Juvonen E, Nihtinen A, Anttila VJ, Ruutu T.</t>
  </si>
  <si>
    <t>Br J Haematol. 2004 Sep;126(5):690-6. doi: 10.1111/j.1365-2141.2004.05101.x.</t>
  </si>
  <si>
    <t>Transcriptome sequencing of neurologic diseases associated genes in HHV-6A infected human astrocyte</t>
  </si>
  <si>
    <t>Shao Q, Lin Z, Wu X, Tang J, Lu S, Feng D, Cheng C, Qing L, Yao K, Chen Y.</t>
  </si>
  <si>
    <t>Oncotarget. 2016 Jul 26;7(30):48070-48080. doi: 10.18632/oncotarget.10127.</t>
  </si>
  <si>
    <t>Oncotarget</t>
  </si>
  <si>
    <t>PMC5217001</t>
  </si>
  <si>
    <t>Inherited chromosomally integrated human herpesvirus-6 in a patient with XIAP deficiency</t>
  </si>
  <si>
    <t>Inoue K, Miura H, Hoshino A, Kamiya T, Tanita K, Ohye T, Park MJ, Yanagimachi M, Takagi M, Imai K, Morio T, Yoshikawa T, Kanegane H.</t>
  </si>
  <si>
    <t>Transpl Infect Dis. 2020 Oct;22(5):e13331. doi: 10.1111/tid.13331. Epub 2020 Jun 8.</t>
  </si>
  <si>
    <t>Transmission of integrated human herpesvirus 6 through stem cell transplantation: implications for laboratory diagnosis</t>
  </si>
  <si>
    <t>Clark DA, Nacheva EP, Leong HN, Brazma D, Li YT, Tsao EH, Buyck HC, Atkinson CE, Lawson HM, Potter MN, Griffiths PD.</t>
  </si>
  <si>
    <t>J Infect Dis. 2006 Apr 1;193(7):912-6. doi: 10.1086/500838. Epub 2006 Feb 22.</t>
  </si>
  <si>
    <t>Human herpesvirus 6 infection after allogeneic stem cell transplantation: incidence, outcome, and factors associated with HHV-6 reactivation</t>
  </si>
  <si>
    <t>Jeulin H, Agrinier N, Guery M, Salmon A, Clément L, Bordigoni P, Venard V.</t>
  </si>
  <si>
    <t>Transplantation. 2013 May 27;95(10):1292-8. doi: 10.1097/TP.0b013e318289958b.</t>
  </si>
  <si>
    <t>Human parvovirus B19, varicella zoster virus, and human herpesvirus-6 in mesenchymal stem cells of patients with osteoarthritis: analysis with quantitative real-time polymerase chain reaction</t>
  </si>
  <si>
    <t>Rollín R, Alvarez-Lafuente R, Marco F, Jover JA, Hernández-García C, Rodríguez-Navas C, López-Durán L, Fernández-Gutiérrez B.</t>
  </si>
  <si>
    <t>Osteoarthritis Cartilage. 2007 Apr;15(4):475-8. doi: 10.1016/j.joca.2006.11.007. Epub 2007 Jan 3.</t>
  </si>
  <si>
    <t>Osteoarthritis Cartilage</t>
  </si>
  <si>
    <t>Analysis of ganciclovir-resistant human herpesvirus 6B clinical isolates using quenching probe PCR methodology</t>
  </si>
  <si>
    <t>Hiramatsu H, Suzuki R, Yamada S, Ihira M, Isegawa Y, Kawamura Y, Matsuoka E, Miura H, Yoshikawa T.</t>
  </si>
  <si>
    <t>Antimicrob Agents Chemother. 2015 May;59(5):2618-24. doi: 10.1128/AAC.04692-14. Epub 2015 Feb 17.</t>
  </si>
  <si>
    <t>Antimicrob Agents Chemother</t>
  </si>
  <si>
    <t>PMC4394808</t>
  </si>
  <si>
    <t>Kaposi's sarcoma-associated herpesvirus infection of endothelial cells inhibits neutrophil recruitment through an interleukin-6-dependent mechanism: a new paradigm for viral immune evasion</t>
  </si>
  <si>
    <t>Butler LM, Jeffery HC, Wheat RL, Rae PC, Townsend K, Alkharsah KR, Schulz TF, Nash GB, Blackbourn DJ.</t>
  </si>
  <si>
    <t>J Virol. 2011 Jul;85(14):7321-32. doi: 10.1128/JVI.00021-11. Epub 2011 May 4.</t>
  </si>
  <si>
    <t>PMC3126554</t>
  </si>
  <si>
    <t>A novel screening method detects herpesviral DNA in the idiopathic pulmonary fibrosis lung</t>
  </si>
  <si>
    <t>Pulkkinen V, Salmenkivi K, Kinnula VL, Sutinen E, Halme M, Hodgson U, Lehto J, Jääskeläinen A, Piiparinen H, Kere J, Lautenschlager I, Lappalainen M, Myllärniemi M.</t>
  </si>
  <si>
    <t>Ann Med. 2012 Mar;44(2):178-86. doi: 10.3109/07853890.2010.532151. Epub 2011 Jan 24.</t>
  </si>
  <si>
    <t>Ann Med</t>
  </si>
  <si>
    <t>Complementation of the function of glycoprotein H of human herpesvirus 6 variant A by glycoprotein H of variant B in the virus life cycle</t>
  </si>
  <si>
    <t>Oyaizu H, Tang H, Ota M, Takenaka N, Ozono K, Yamanishi K, Mori Y.</t>
  </si>
  <si>
    <t>J Virol. 2012 Aug;86(16):8492-8. doi: 10.1128/JVI.00504-12. Epub 2012 May 30.</t>
  </si>
  <si>
    <t>PMC3421736</t>
  </si>
  <si>
    <t>Reactivations of cytomegalovirus, human herpes virus 6, and Epstein-Barr virus differ with respect to risk factors and clinical outcome after hematopoietic stem cell transplantation</t>
  </si>
  <si>
    <t>Jaskula E, Dlubek D, Sedzimirska M, Duda D, Tarnowska A, Lange A.</t>
  </si>
  <si>
    <t>Transplant Proc. 2010 Oct;42(8):3273-6. doi: 10.1016/j.transproceed.2010.07.027.</t>
  </si>
  <si>
    <t>Drug-induced hypersensitivity syndrome (DIHS): a reaction induced by a complex interplay among herpesviruses and antiviral and antidrug immune responses</t>
  </si>
  <si>
    <t>Shiohara T, Inaoka M, Kano Y.</t>
  </si>
  <si>
    <t>Allergol Int. 2006 Mar;55(1):1-8. doi: 10.2332/allergolint.55.1.</t>
  </si>
  <si>
    <t>Allergol Int</t>
  </si>
  <si>
    <t>Quantification of human herpesvirus 6 in healthy volunteers and patients with lymphoproliferative disorders by PCR-ELISA</t>
  </si>
  <si>
    <t>Ohyashiki JH, Abe K, Ojima T, Wang P, Zhou CF, Suzuki A, Ohyashiki K, Yamamoto K.</t>
  </si>
  <si>
    <t>Leuk Res. 1999 Jul;23(7):625-30. doi: 10.1016/s0145-2126(99)00079-x.</t>
  </si>
  <si>
    <t>Leuk Res</t>
  </si>
  <si>
    <t>Direct detection of human herpesvirus 6 DNA in serum by variant specific loop-mediated isothermal amplification in hematopoietic stem cell transplant recipients</t>
  </si>
  <si>
    <t>Ihira M, Sugiyama H, Enomoto Y, Higashimoto Y, Sugata K, Asano Y, Yoshikawa T.</t>
  </si>
  <si>
    <t>J Virol Methods. 2010 Jul;167(1):103-6. doi: 10.1016/j.jviromet.2010.01.025. Epub 2010 Feb 6.</t>
  </si>
  <si>
    <t>HLA-mismatched CD34-selected stem cell transplant complicated by HHV-6 reactivation in the central nervous system</t>
  </si>
  <si>
    <t>Kawano Y, Miyazaki T, Watanabe T, Suzue A, Kan-nuki S, Kagechi T, Onishi T, Kaneko M, Kanamaru S, Wakata Y, Nakagawa R, Suenaga K, Suzuya H, Abe T, Nagahiro S, Kuroda Y, Takaue Y.</t>
  </si>
  <si>
    <t>Bone Marrow Transplant. 2000 Apr;25(7):787-90. doi: 10.1038/sj.bmt.1702220.</t>
  </si>
  <si>
    <t>Monitoring of active HHV-6 infection in bone marrow transplant recipients by real time PCR; comparison to detection of viral DNA in plasma by qualitative PCR</t>
  </si>
  <si>
    <t>Ihira M, Yoshikawa T, Suzuki K, Ohashi M, Suga S, Horibe K, Tanaka N, Kimura H, Kojima S, Kato K, Matsuyama T, Nishiyama Y, Asano Y.</t>
  </si>
  <si>
    <t>Microbiol Immunol. 2002;46(10):701-5. doi: 10.1111/j.1348-0421.2002.tb02754.x.</t>
  </si>
  <si>
    <t>Incidence of human herpes virus-6 and human cytomegalovirus infections in donated bone marrow and umbilical cord blood hematopoietic stem cells</t>
  </si>
  <si>
    <t>Behzad-Behbahani A, Entezam M, Mojiri A, Pouransari R, Rahsaz M, Banihashemi M, Heidari T, Farhadi A, Azarpira N, Yaghobi R, Jowkar Z, Ramzi M, Robati M.</t>
  </si>
  <si>
    <t>Indian J Med Microbiol. 2008 Jul-Sep;26(3):252-5. doi: 10.4103/0255-0857.42038.</t>
  </si>
  <si>
    <t>Indian J Med Microbiol</t>
  </si>
  <si>
    <t>Latent infection and reactivation of human herpesvirus 6 in two novel myeloid cell lines</t>
  </si>
  <si>
    <t>Yasukawa M, Ohminami H, Sada E, Yakushijin Y, Kaneko M, Yanagisawa K, Kohno H, Bando S, Fujita S.</t>
  </si>
  <si>
    <t>Blood. 1999 Feb 1;93(3):991-9.</t>
  </si>
  <si>
    <t>Induction of host cell protein synthesis by human herpesvirus 6</t>
  </si>
  <si>
    <t>Black JB, Lopez C, Pellett PE.</t>
  </si>
  <si>
    <t>Virus Res. 1992 Jan;22(1):13-23. doi: 10.1016/0168-1702(92)90086-o.</t>
  </si>
  <si>
    <t>Identification and characterization of the gene products of open reading frame U86/87 of human herpesvirus 6</t>
  </si>
  <si>
    <t>Papanikolaou E, Kouvatsis V, Dimitriadis G, Inoue N, Arsenakis M.</t>
  </si>
  <si>
    <t>Virus Res. 2002 Oct;89(1):89-101. doi: 10.1016/s0168-1702(02)00126-0.</t>
  </si>
  <si>
    <t>Prevalence of human herpesvirus 6 antibodies and DNA in allogeneic stem cell transplant patients: two-year single centre experience</t>
  </si>
  <si>
    <t>Dzieciatkowski T, Przybylski M, Torosian T, Tomaszewska A, Luczak M.</t>
  </si>
  <si>
    <t>Arch Immunol Ther Exp (Warsz). 2008 May-Jun;56(3):201-6. doi: 10.1007/s00005-008-0021-6. Epub 2008 May 30.</t>
  </si>
  <si>
    <t>PMC2766496</t>
  </si>
  <si>
    <t>[Relationship between human herpesvirus 6 infection and idiopathic thrombocytopenic purpura]</t>
  </si>
  <si>
    <t>Ma X, Lu D, Song Y, Mu G, Ji L, Li G, Lin Y, Yang R.</t>
  </si>
  <si>
    <t>Zhonghua Xue Ye Xue Za Zhi. 2000 Mar;21(3):135-7.</t>
  </si>
  <si>
    <t>Zhonghua Xue Ye Xue Za Zhi</t>
  </si>
  <si>
    <t>Detection of human herpesvirus 6 variant A in peripheral blood mononuclear cells from multiple sclerosis patients</t>
  </si>
  <si>
    <t>Kim JS, Lee KS, Park JH, Kim MY, Shin WS.</t>
  </si>
  <si>
    <t>Eur Neurol. 2000;43(3):170-3. doi: 10.1159/000008158.</t>
  </si>
  <si>
    <t>Eur Neurol</t>
  </si>
  <si>
    <t>Review Part 3: Human herpesvirus-6 in multiple non-neurological diseases</t>
  </si>
  <si>
    <t>Ablashi DV, Devin CL, Yoshikawa T, Lautenschlager I, Luppi M, Kühl U, Komaroff AL.</t>
  </si>
  <si>
    <t>J Med Virol. 2010 Nov;82(11):1903-10. doi: 10.1002/jmv.21860.</t>
  </si>
  <si>
    <t>Relationship between U83 gene variation in human herpesvirus 6 and secretion of the U83 gene product</t>
  </si>
  <si>
    <t>Sjahril R, Isegawa Y, Tanaka T, Nakano K, Yoshikawa T, Asano Y, Ohshima A, Yamanishi K, Sugimoto N.</t>
  </si>
  <si>
    <t>Arch Virol. 2009;154(2):273-83. doi: 10.1007/s00705-008-0307-3. Epub 2009 Jan 20.</t>
  </si>
  <si>
    <t>CD134 is a cellular receptor specific for human herpesvirus-6B entry</t>
  </si>
  <si>
    <t>Tang H, Serada S, Kawabata A, Ota M, Hayashi E, Naka T, Yamanishi K, Mori Y.</t>
  </si>
  <si>
    <t>Proc Natl Acad Sci U S A. 2013 May 28;110(22):9096-9. doi: 10.1073/pnas.1305187110. Epub 2013 May 14.</t>
  </si>
  <si>
    <t>PMC3670305</t>
  </si>
  <si>
    <t>The simultaneous presence and expression of human hepatitis C virus (HCV), human herpesvirus-6 (HHV-6), and human immunodeficiency virus-1 (HIV-1) in a single human T-cell</t>
  </si>
  <si>
    <t>Salahuddin SZ, Snyder KA, Godwin A, Grewal R, Prichard JG, Kelley AS, Revie D.</t>
  </si>
  <si>
    <t>Virol J. 2007 Oct 24;4:106. doi: 10.1186/1743-422X-4-106.</t>
  </si>
  <si>
    <t>PMC2170440</t>
  </si>
  <si>
    <t>Pretransplant human herpesvirus 6 infection of patients with acute liver failure is a risk factor for posttransplant human herpesvirus 6 infection of the liver</t>
  </si>
  <si>
    <t>Härmä M, Höckerstedt K, Krogerus L, Lautenschlager I.</t>
  </si>
  <si>
    <t>Transplantation. 2006 Feb 15;81(3):367-72. doi: 10.1097/01.tp.0000195771.83614.0b.</t>
  </si>
  <si>
    <t>Differentiated human neural stem cells: a new ex vivo model to study HHV-6 infection of the central nervous system</t>
  </si>
  <si>
    <t>De Filippis L, Foglieni C, Silva S, Vescovi AL, Lusso P, Malnati MS.</t>
  </si>
  <si>
    <t>J Clin Virol. 2006 Dec;37 Suppl 1:S27-32. doi: 10.1016/S1386-6532(06)70008-7.</t>
  </si>
  <si>
    <t>Monoclonal antibodies to gp100 inhibit penetration of human herpesvirus 6 and polykaryocyte formation in susceptible cells</t>
  </si>
  <si>
    <t>Foà-Tomasi L, Boscaro A, di Gaeta S, Campadelli-Fiume G.</t>
  </si>
  <si>
    <t>J Virol. 1991 Aug;65(8):4124-9. doi: 10.1128/JVI.65.8.4124-4129.1991.</t>
  </si>
  <si>
    <t>PMC248845</t>
  </si>
  <si>
    <t>Reactivation of human herpesvirus 6 during pregnancy</t>
  </si>
  <si>
    <t>Dahl H, Fjaertoft G, Norsted T, Wang FZ, Mousavi-Jazi M, Linde A.</t>
  </si>
  <si>
    <t>J Infect Dis. 1999 Dec;180(6):2035-8. doi: 10.1086/315115.</t>
  </si>
  <si>
    <t>Detection of HHV-6B in post-mortem central nervous system tissue of a post-bone marrow transplant recipient: a multi-virus array analysis</t>
  </si>
  <si>
    <t>Yao K, Akyani N, Donati D, Sengamalay N, Fotheringham J, Ghedin E, Bishop M, Barrett J, Kashanchi F, Jacobson S.</t>
  </si>
  <si>
    <t>J Clin Virol. 2006 Dec;37 Suppl 1:S57-62. doi: 10.1016/S1386-6532(06)70013-0.</t>
  </si>
  <si>
    <t>PMC7128682</t>
  </si>
  <si>
    <t>Detection of human herpesvirus 6 sequences in lymphoma tissues by immunohistochemistry and polymerase chain reactions</t>
  </si>
  <si>
    <t>Razzaque A, Francillon Y, Jilly PN, Varricchio F.</t>
  </si>
  <si>
    <t>Cancer Lett. 1996 Sep 10;106(2):221-6. doi: 10.1016/0304-3835(96)04329-7.</t>
  </si>
  <si>
    <t>Cancer Lett</t>
  </si>
  <si>
    <t>Primary human herpesvirus 6 infection in liver transplant recipients</t>
  </si>
  <si>
    <t>Yoshikawa T, Ihira M, Suzuki K, Suga S, Asano Y, Asonuma K, Tanaka K, Nishiyama Y.</t>
  </si>
  <si>
    <t>J Pediatr. 2001 Jun;138(6):921-5. doi: 10.1067/mpd.2001.113622.</t>
  </si>
  <si>
    <t>Long-lasting HHV-6 reactivation in long-term adult survivors after double umbilical cord blood allogeneic stem cell transplantation</t>
  </si>
  <si>
    <t>Illiaquer M, Malard F, Guillaume T, Imbert-Marcille BM, Delaunay J, Le Bourgeois A, Rimbert M, Bressollette-Bodin C, Precupanu C, Ayari S, Peterlin P, Moreau P, Mohty M, Chevallier P.</t>
  </si>
  <si>
    <t>J Infect Dis. 2014 Aug 15;210(4):567-70. doi: 10.1093/infdis/jiu129. Epub 2014 Mar 4.</t>
  </si>
  <si>
    <t>Quantitative expression analysis of HHV-6 cell receptor CD46 on cells of human cord blood, peripheral blood and G-CSF mobilised leukapheresis cells</t>
  </si>
  <si>
    <t>Thulke S, Radonić A, Nitsche A, Siegert W.</t>
  </si>
  <si>
    <t>Virol J. 2006 Sep 19;3:77. doi: 10.1186/1743-422X-3-77.</t>
  </si>
  <si>
    <t>PMC1584223</t>
  </si>
  <si>
    <t>Phenotypic and genetic polymorphisms among human herpesvirus-6 isolates from North American infants</t>
  </si>
  <si>
    <t>Dewhurst S, Chandran B, McIntyre K, Schnabel K, Hall CB.</t>
  </si>
  <si>
    <t>Virology. 1992 Sep;190(1):490-3. doi: 10.1016/0042-6822(92)91240-u.</t>
  </si>
  <si>
    <t>Human herpes virus 6 reactivation: important predictor for poor outcome after myeloablative, but not non-myeloablative allo-SCT</t>
  </si>
  <si>
    <t>de Pagter PJ, Schuurman R, Keukens L, Schutten M, Cornelissen JJ, van Baarle D, Fries E, Sanders EA, Minnema MC, van der Holt BR, Meijer E, Boelens JJ.</t>
  </si>
  <si>
    <t>Bone Marrow Transplant. 2013 Nov;48(11):1460-4. doi: 10.1038/bmt.2013.78. Epub 2013 Jun 17.</t>
  </si>
  <si>
    <t>High incidence of human herpesvirus 6 infection with a high viral load in cord blood stem cell transplant recipients</t>
  </si>
  <si>
    <t>Sashihara J, Tanaka-Taya K, Tanaka S, Amo K, Miyagawa H, Hosoi G, Taniguchi T, Fukui T, Kasuga N, Aono T, Sako M, Hara J, Yamanishi K, Okada S.</t>
  </si>
  <si>
    <t>Blood. 2002 Sep 15;100(6):2005-11.</t>
  </si>
  <si>
    <t>Genomic polymorphism, growth properties, and immunologic variations in human herpesvirus-6 isolates</t>
  </si>
  <si>
    <t>Ablashi DV, Balachandran N, Josephs SF, Hung CL, Krueger GR, Kramarsky B, Salahuddin SZ, Gallo RC.</t>
  </si>
  <si>
    <t>Virology. 1991 Oct;184(2):545-52. doi: 10.1016/0042-6822(91)90424-a.</t>
  </si>
  <si>
    <t>Fatal herpesvirus 6 encephalitis after unrelated bone marrow transplant</t>
  </si>
  <si>
    <t>Bosi A, Zazzi M, Amantini A, Cellerini M, Vannucchi AM, De Milito A, Guidi S, Saccardi R, Lombardini L, Laszlo D, Rossi Ferrini P.</t>
  </si>
  <si>
    <t>Bone Marrow Transplant. 1998 Aug;22(3):285-8. doi: 10.1038/sj.bmt.1701326.</t>
  </si>
  <si>
    <t>Plasma HHV-6 viral load-guided preemptive therapy against HHV-6 encephalopathy after allogeneic stem cell transplantation: a prospective evaluation</t>
  </si>
  <si>
    <t>Ogata M, Satou T, Kawano R, Goto K, Ikewaki J, Kohno K, Ando T, Miyazaki Y, Ohtsuka E, Saburi Y, Saikawa T, Kadota JI.</t>
  </si>
  <si>
    <t>Bone Marrow Transplant. 2008 Feb;41(3):279-85. doi: 10.1038/sj.bmt.1705907. Epub 2007 Nov 26.</t>
  </si>
  <si>
    <t>Transcriptional profiling of human herpesvirus type B (HHV-6B) in an adult T cell leukemia cell line as in vitro model for persistent infection</t>
  </si>
  <si>
    <t>Ohyashiki JH, Takaku T, Ojima T, Abe K, Yamamoto K, Zhang Y, Ohyashiki K.</t>
  </si>
  <si>
    <t>Biochem Biophys Res Commun. 2005 Apr 1;329(1):11-7. doi: 10.1016/j.bbrc.2005.01.090.</t>
  </si>
  <si>
    <t>Biochem Biophys Res Commun</t>
  </si>
  <si>
    <t>The U95 protein of human herpesvirus 6B interacts with human GRIM-19: silencing of U95 expression reduces viral load and abrogates loss of mitochondrial membrane potential</t>
  </si>
  <si>
    <t>Yeo WM, Isegawa Y, Chow VT.</t>
  </si>
  <si>
    <t>J Virol. 2008 Jan;82(2):1011-20. doi: 10.1128/JVI.01156-07. Epub 2007 Oct 10.</t>
  </si>
  <si>
    <t>PMC2224593</t>
  </si>
  <si>
    <t>Cytomegalovirus, human herpesvirus 6 and human T cell leukemia virus infection in renal transplanted patients in the northeast of Brazil</t>
  </si>
  <si>
    <t>Linhares MI, Eizuru Y, Stamford WP, Andrade GP, Carvalho Júnior LB, Minamishima Y.</t>
  </si>
  <si>
    <t>Braz J Med Biol Res. 1993 Jul;26(7):735-9.</t>
  </si>
  <si>
    <t>Braz J Med Biol Res</t>
  </si>
  <si>
    <t>Human herpesvirus-6 in transplantation: an emerging pathogen</t>
  </si>
  <si>
    <t>Singh N, Carrigan DR.</t>
  </si>
  <si>
    <t>Ann Intern Med. 1996 Jun 15;124(12):1065-71. doi: 10.7326/0003-4819-124-12-199606150-00007.</t>
  </si>
  <si>
    <t>Ann Intern Med</t>
  </si>
  <si>
    <t>Development of a real-time polymerase chain reaction assay for the diagnosis of human herpesvirus-6 infection and application to bone marrow transplant patients</t>
  </si>
  <si>
    <t>Gautheret-Dejean A, Manichanh C, Thien-Ah-Koon F, Fillet AM, Mangeney N, Vidaud M, Dhedin N, Vernant JP, Agut H.</t>
  </si>
  <si>
    <t>J Virol Methods. 2002 Feb;100(1-2):27-35. doi: 10.1016/s0166-0934(01)00390-1.</t>
  </si>
  <si>
    <t>Inverse relationship between human herpesvirus-6 and -7 detection after allogeneic and autologous stem cell transplantation</t>
  </si>
  <si>
    <t>Miyoshi H, Tanaka-Taya K, Hara J, Fujisaki H, Matsuda Y, Ohta H, Osugi Y, Okada S, Yamanishi K.</t>
  </si>
  <si>
    <t>Bone Marrow Transplant. 2001 May;27(10):1065-70. doi: 10.1038/sj.bmt.1703033.</t>
  </si>
  <si>
    <t>Detection of human herpesviruses 6 and 7 in heart transplant recipients by a multiplex polymerase chain reaction method</t>
  </si>
  <si>
    <t>Moschettini D, De Milito A, Catucci M, Marconi A, Rinina C, Bianchi-Bandinelli ML, Valensin PE.</t>
  </si>
  <si>
    <t>Eur J Clin Microbiol Infect Dis. 1998 Feb;17(2):117-9. doi: 10.1007/BF01682168.</t>
  </si>
  <si>
    <t>Human herpesvirus-6 and bone marrow transplantation</t>
  </si>
  <si>
    <t>Carrigan DR.</t>
  </si>
  <si>
    <t>Blood. 1995 Jan 1;85(1):294-5.</t>
  </si>
  <si>
    <t>Cytoplasmic tail domain of glycoprotein B is essential for HHV-6 infection</t>
  </si>
  <si>
    <t>Mahmoud NF, Jasirwan C, Kanemoto S, Wakata A, Wang B, Hata Y, Nagamata S, Kawabata A, Tang H, Mori Y.</t>
  </si>
  <si>
    <t>Virology. 2016 Mar;490:1-5. doi: 10.1016/j.virol.2015.12.018. Epub 2016 Jan 21.</t>
  </si>
  <si>
    <t>Suppressive effects of human herpesvirus 6 on in vitro colony formation of hematopoietic progenitor cells</t>
  </si>
  <si>
    <t>Isomura H, Yamada M, Yoshida M, Tanaka H, Kitamura T, Oda M, Nii S, Seino Y.</t>
  </si>
  <si>
    <t>J Med Virol. 1997 Aug;52(4):406-12. doi: 10.1002/(sici)1096-9071(199708)52:4&lt;406::aid-jmv11&gt;3.0.co;2-e.</t>
  </si>
  <si>
    <t>Detection of HHV-6 in over a thousand samples: new types of infection revealed by an analysis of positive results</t>
  </si>
  <si>
    <t>Revest M, Minjolle S, Veyer D, Lagathu G, Michelet C, Colimon R.</t>
  </si>
  <si>
    <t>J Clin Virol. 2011 May;51(1):20-4. doi: 10.1016/j.jcv.2011.02.001. Epub 2011 Mar 3.</t>
  </si>
  <si>
    <t>Pathogenesis of Severe Neutropenia in Patients With Primary Human Herpesvirus 6B Infection</t>
  </si>
  <si>
    <t>Miura H, Kawamura Y, Ozeki E, Ihira M, Ohashi M, Yoshikawa T.</t>
  </si>
  <si>
    <t>Pediatr Infect Dis J. 2015 Sep;34(9):1003-7. doi: 10.1097/INF.0000000000000777.</t>
  </si>
  <si>
    <t>Pediatr Infect Dis J</t>
  </si>
  <si>
    <t>The role of MAPK in CD4(+) T cells toll-like receptor 9-mediated signaling following HHV-6 infection</t>
  </si>
  <si>
    <t>Chi J, Wang F, Li L, Feng D, Qin J, Xie F, Zhou F, Chen Y, Wang J, Yao K.</t>
  </si>
  <si>
    <t>Virology. 2012 Jan 5;422(1):92-8. doi: 10.1016/j.virol.2011.09.026. Epub 2011 Nov 4.</t>
  </si>
  <si>
    <t>Human herpesvirus 6 reactivation on the 30th day after allogeneic hematopoietic stem cell transplantation can predict grade 2-4 acute graft-versus-host disease</t>
  </si>
  <si>
    <t>Gotoh M, Yoshizawa S, Katagiri S, Suguro T, Asano M, Kitahara T, Akahane D, Okabe S, Tauchi T, Ito Y, Ohyashiki K.</t>
  </si>
  <si>
    <t>Transpl Infect Dis. 2014 Jun;16(3):440-9. doi: 10.1111/tid.12229. Epub 2014 May 9.</t>
  </si>
  <si>
    <t>Suppressive effects of human herpesvirus-6 on thrombopoietin-inducible megakaryocytic colony formation in vitro</t>
  </si>
  <si>
    <t>Isomura H, Yoshida M, Namba H, Fujiwara N, Ohuchi R, Uno F, Oda M, Seino Y, Yamada M.</t>
  </si>
  <si>
    <t>J Gen Virol. 2000 Mar;81(Pt 3):663-73. doi: 10.1099/0022-1317-81-3-663.</t>
  </si>
  <si>
    <t>Electronmicroscopic study of human herpesvirus 6-infected human T cell lines superinfected with human immunodeficiency virus type 1</t>
  </si>
  <si>
    <t>Takasaki T, Ohkawa N, Sano K, Morimatsu S, Nakano T, Nakai M, Yamaguchi J, Kurane I.</t>
  </si>
  <si>
    <t>Acta Virol. 1997 Aug;41(4):221-9.</t>
  </si>
  <si>
    <t>Acta Virol</t>
  </si>
  <si>
    <t>The Neutralizing Linear Epitope of Human Herpesvirus 6A Glycoprotein B Does Not Affect Virus Infectivity</t>
  </si>
  <si>
    <t>Wakata A, Kanemoto S, Tang H, Kawabata A, Nishimura M, Jasirwan C, Mahmoud NF, Mori Y.</t>
  </si>
  <si>
    <t>J Virol. 2018 Feb 12;92(5):e02074-17. doi: 10.1128/JVI.02074-17. Print 2018 Mar 1.</t>
  </si>
  <si>
    <t>PMC5809734</t>
  </si>
  <si>
    <t>Human beta-herpesvirus interactions in solid organ transplant recipients</t>
  </si>
  <si>
    <t>Mendez JC, Dockrell DH, Espy MJ, Smith TF, Wilson JA, Harmsen WS, Ilstrup D, Paya CV.</t>
  </si>
  <si>
    <t>J Infect Dis. 2001 Jan 15;183(2):179-184. doi: 10.1086/317929. Epub 2000 Dec 15.</t>
  </si>
  <si>
    <t>Activation of monocyte cyclooxygenase-2 gene expression by human herpesvirus 6. Role for cyclic AMP-responsive element-binding protein and activator protein-1</t>
  </si>
  <si>
    <t>Janelle ME, Gravel A, Gosselin J, Tremblay MJ, Flamand L.</t>
  </si>
  <si>
    <t>J Biol Chem. 2002 Aug 23;277(34):30665-74. doi: 10.1074/jbc.M203041200. Epub 2002 Jun 14.</t>
  </si>
  <si>
    <t>J Biol Chem</t>
  </si>
  <si>
    <t>Circulating functional T cells specific to human herpes virus 6 (HHV6) antigens in individuals with chromosomally integrated HHV6</t>
  </si>
  <si>
    <t>Barozzi P, Riva G, Vallerini D, Quadrelli C, Lagreca I, Eccheli R, Forghieri F, Coluccio V, Maccaferri M, Paolini A, Colaci E, Morselli M, Marasca R, Narni F, Comoli P, Campioli D, Trenti T, Potenza L, Luppi M.</t>
  </si>
  <si>
    <t>Clin Microbiol Infect. 2016 Oct;22(10):893-895. doi: 10.1016/j.cmi.2016.07.006. Epub 2016 Jul 9.</t>
  </si>
  <si>
    <t>Infections with human herpesvirus 6 variant B delay platelet engraftment after allogeneic haematopoietic stem cell transplantation</t>
  </si>
  <si>
    <t>Radonić A, Oswald O, Thulke S, Brockhaus N, Nitsche A, Siegert W, Schetelig J.</t>
  </si>
  <si>
    <t>Br J Haematol. 2005 Nov;131(4):480-2. doi: 10.1111/j.1365-2141.2005.05788.x.</t>
  </si>
  <si>
    <t>Congenital infections with human herpesvirus 6</t>
  </si>
  <si>
    <t>Adams O, Krempe C, Kögler G, Wernet P, Scheid A.</t>
  </si>
  <si>
    <t>J Infect Dis. 1998 Aug;178(2):544-6. doi: 10.1086/517470.</t>
  </si>
  <si>
    <t>Human herpesvirus-6 infection induces the reorganization of membrane microdomains in target cells, which are required for virus entry</t>
  </si>
  <si>
    <t>Tang H, Kawabata A, Takemoto M, Yamanishi K, Mori Y.</t>
  </si>
  <si>
    <t>Virology. 2008 Sep 1;378(2):265-71. doi: 10.1016/j.virol.2008.05.028. Epub 2008 Jul 14.</t>
  </si>
  <si>
    <t>The impact of human herpesvirus 6B reactivation on early complications following allogeneic hematopoietic stem cell transplantation</t>
  </si>
  <si>
    <t>Wang LR, Dong LJ, Zhang MJ, Lu DP.</t>
  </si>
  <si>
    <t>Biol Blood Marrow Transplant. 2006 Oct;12(10):1031-7. doi: 10.1016/j.bbmt.2006.06.001.</t>
  </si>
  <si>
    <t>Association of human herpesvirus 6 reactivation with severe cytomegalovirus-associated disease in orthotopic liver transplant recipients</t>
  </si>
  <si>
    <t>DesJardin JA, Cho E, Supran S, Gibbons L, Werner BG, Snydman DR.</t>
  </si>
  <si>
    <t>Clin Infect Dis. 2001 Oct 15;33(8):1358-62. doi: 10.1086/323336. Epub 2001 Sep 20.</t>
  </si>
  <si>
    <t>Viral replication-independent blockade of dendritic cell maturation and interleukin-12 production by human herpesvirus 6</t>
  </si>
  <si>
    <t>Smith AP, Paolucci C, Di Lullo G, Burastero SE, Santoro F, Lusso P.</t>
  </si>
  <si>
    <t>J Virol. 2005 Mar;79(5):2807-13. doi: 10.1128/JVI.79.5.2807-2813.2005.</t>
  </si>
  <si>
    <t>PMC548462</t>
  </si>
  <si>
    <t>Case report: severe gastrointestinal inflammation and persistent HHV-6B infection in a paediatric cancer patient</t>
  </si>
  <si>
    <t>Breddemann A, Läer S, Schmidt KG, Harjes M, Adam R, Ludwig A, Niehues T, Schneider DT.</t>
  </si>
  <si>
    <t>Herpes. 2007 Sep;14(2):41-4.</t>
  </si>
  <si>
    <t>Seroconversion to human herpesvirus 6 following liver transplantation is a marker of cytomegalovirus disease</t>
  </si>
  <si>
    <t>Dockrell DH, Prada J, Jones MF, Patel R, Badley AD, Harmsen WS, Ilstrup DM, Wiesner RH, Krom RA, Smith TF, Paya CV.</t>
  </si>
  <si>
    <t>J Infect Dis. 1997 Nov;176(5):1135-40. doi: 10.1086/514104.</t>
  </si>
  <si>
    <t>MHC class I molecules are incorporated into human herpesvirus-6 viral particles and released into the extracellular environment</t>
  </si>
  <si>
    <t>Ota M, Serada S, Naka T, Mori Y.</t>
  </si>
  <si>
    <t>Microbiol Immunol. 2014 Feb;58(2):119-25. doi: 10.1111/1348-0421.12121.</t>
  </si>
  <si>
    <t>Analysis of HHV-6 mutations in solid organ transplant recipients at the onset of cytomegalovirus disease and following treatment with intravenous ganciclovir or oral valganciclovir</t>
  </si>
  <si>
    <t>Bounaadja L, Piret J, Goyette N, Boivin G.</t>
  </si>
  <si>
    <t>J Clin Virol. 2013 Sep;58(1):279-82. doi: 10.1016/j.jcv.2013.06.024. Epub 2013 Jul 16.</t>
  </si>
  <si>
    <t>Quantitative detection and differentiation of human herpesvirus 6 subtypes in bone marrow transplant patients by using a single real-time polymerase chain reaction assay</t>
  </si>
  <si>
    <t>Reddy S, Manna P.</t>
  </si>
  <si>
    <t>Biol Blood Marrow Transplant. 2005 Jul;11(7):530-41. doi: 10.1016/j.bbmt.2005.04.010.</t>
  </si>
  <si>
    <t>Infection with human herpesvirus 6 after kidney-pancreas transplant</t>
  </si>
  <si>
    <t>Benito N, Ricart MJ, Pumarola T, Marcos MA, Oppenheimer F, Camacho AM.</t>
  </si>
  <si>
    <t>Am J Transplant. 2004 Jul;4(7):1197-9. doi: 10.1111/j.1600-6143.2004.00449.x.</t>
  </si>
  <si>
    <t>Unrelated cord blood transplantation for severe congenital neutropenia: report of two cases with very different transplant courses</t>
  </si>
  <si>
    <t>Markel MK, Haut PR, Renbarger JA, Robertson KA, Goebel WS.</t>
  </si>
  <si>
    <t>Pediatr Transplant. 2008 Dec;12(8):896-901. doi: 10.1111/j.1399-3046.2008.00951.x. Epub 2008 Apr 22.</t>
  </si>
  <si>
    <t>Human herpesvirus 6 infection after living related liver transplantation</t>
  </si>
  <si>
    <t>Yoshikawa T, Ihira M, Suzuki K, Suga S, Iida K, Saito Y, Asonuma K, Tanaka K, Asano Y.</t>
  </si>
  <si>
    <t>J Med Virol. 2000 Sep;62(1):52-9.</t>
  </si>
  <si>
    <t>Elevated serum cytokine levels are associated with human herpesvirus 6 reactivation in hematopoietic stem cell transplantation recipients</t>
  </si>
  <si>
    <t>Fujita A, Ihira M, Suzuki R, Enomoto Y, Sugiyama H, Sugata K, Suga S, Asano Y, Yagasaki H, Kojima S, Matsumoto K, Kato K, Yoshikawa T.</t>
  </si>
  <si>
    <t>J Infect. 2008 Sep;57(3):241-8. doi: 10.1016/j.jinf.2008.06.014. Epub 2008 Jul 26.</t>
  </si>
  <si>
    <t>In vitro activation of human herpesviruses 6 and 7 from latency</t>
  </si>
  <si>
    <t>Katsafanas GC, Schirmer EC, Wyatt LS, Frenkel N.</t>
  </si>
  <si>
    <t>Proc Natl Acad Sci U S A. 1996 Sep 3;93(18):9788-92. doi: 10.1073/pnas.93.18.9788.</t>
  </si>
  <si>
    <t>PMC38507</t>
  </si>
  <si>
    <t>Assessment of human herpesvirus-6 infection in mesenchymal stromal cells ex vivo expanded for clinical use</t>
  </si>
  <si>
    <t>Pessina A, Bonomi A, Coccè V, Bernardo ME, Cometa AM, Ferrari M, Sisto F, Cavicchini L, Locatelli F.</t>
  </si>
  <si>
    <t>Transpl Infect Dis. 2009 Dec;11(6):491-6. doi: 10.1111/j.1399-3062.2009.00427.x. Epub 2009 Aug 2.</t>
  </si>
  <si>
    <t>Pneumonitis associated with coinfection by human herpesvirus 6 and Legionella in an immunocompetent adult</t>
  </si>
  <si>
    <t>Russler SK, Tapper MA, Knox KK, Liepins A, Carrigan DR.</t>
  </si>
  <si>
    <t>Am J Pathol. 1991 Jun;138(6):1405-11.</t>
  </si>
  <si>
    <t>Am J Pathol</t>
  </si>
  <si>
    <t>PMC1886405</t>
  </si>
  <si>
    <t>HHV-6 infection in a pediatric kidney transplant patient</t>
  </si>
  <si>
    <t>Koukourgianni F, Pichault V, Liutkus A, Gillet Y, Ranchin B, Mestrallet G, Cochat P.</t>
  </si>
  <si>
    <t>Pediatr Nephrol. 2009 Dec;24(12):2445-8. doi: 10.1007/s00467-009-1237-3. Epub 2009 Jul 7.</t>
  </si>
  <si>
    <t>Pediatr Nephrol</t>
  </si>
  <si>
    <t>In vitro suppression of bone marrow progenitor cell differentiation by human herpesvirus 6 infection</t>
  </si>
  <si>
    <t>Knox KK, Carrigan DR.</t>
  </si>
  <si>
    <t>J Infect Dis. 1992 May;165(5):925-9. doi: 10.1093/infdis/165.5.925.</t>
  </si>
  <si>
    <t>Latent human herpesvirus 6 infection of human monocytes/macrophages</t>
  </si>
  <si>
    <t>Kondo K, Kondo T, Okuno T, Takahashi M, Yamanishi K.</t>
  </si>
  <si>
    <t>J Gen Virol. 1991 Jun;72 ( Pt 6):1401-8. doi: 10.1099/0022-1317-72-6-1401.</t>
  </si>
  <si>
    <t>Human herpesvirus 6 (HHV-6) isolation from bone marrow: HHV-6-associated bone marrow suppression in bone marrow transplant patients</t>
  </si>
  <si>
    <t>Carrigan DR, Knox KK.</t>
  </si>
  <si>
    <t>Blood. 1994 Nov 15;84(10):3307-10.</t>
  </si>
  <si>
    <t>Identification and characterization of gene products of ORF U90/89 of human herpesvirus 6</t>
  </si>
  <si>
    <t>Nikolaou K, Varinou L, Inoue N, Arsenakis M.</t>
  </si>
  <si>
    <t>Acta Virol. 2003;47(1):17-26.</t>
  </si>
  <si>
    <t>Virological analysis of inherited chromosomally integrated human herpesvirus-6 in three hematopoietic stem cell transplant patients</t>
  </si>
  <si>
    <t>Miura H, Kawamura Y, Kudo K, Ihira M, Ohye T, Kurahashi H, Kawashima N, Miyamura K, Yoshida N, Kato K, Takahashi Y, Kojima S, Yoshikawa T.</t>
  </si>
  <si>
    <t>Transpl Infect Dis. 2015 Oct;17(5):728-31. doi: 10.1111/tid.12419. Epub 2015 Aug 22.</t>
  </si>
  <si>
    <t>Human herpesvirus 6 (HHV-6)-positive Burkitt's lymphoma: establishment of a novel cell line infected with HHV-6</t>
  </si>
  <si>
    <t>Bandobashi K, Daibata M, Kamioka M, Tanaka Y, Kubonishi I, Taguchi H, Ohtsuki Y, Miyoshi I.</t>
  </si>
  <si>
    <t>Blood. 1997 Aug 1;90(3):1200-7.</t>
  </si>
  <si>
    <t>Difference in permissiveness of human fibroblast cells to variants A and B of human herpesvirus-6</t>
  </si>
  <si>
    <t>Robert C, Aubin JT, Visse B, Fillet AM, Huraux JM, Agut H.</t>
  </si>
  <si>
    <t>Res Virol. 1996 Jul-Aug;147(4):219-25. doi: 10.1016/0923-2516(96)89652-x.</t>
  </si>
  <si>
    <t>Res Virol</t>
  </si>
  <si>
    <t>Quantitative PCR for human herpesviruses 6 and 7</t>
  </si>
  <si>
    <t>Secchiero P, Zella D, Crowley RW, Gallo RC, Lusso P.</t>
  </si>
  <si>
    <t>J Clin Microbiol. 1995 Aug;33(8):2124-30. doi: 10.1128/jcm.33.8.2124-2130.1995.</t>
  </si>
  <si>
    <t>PMC228347</t>
  </si>
  <si>
    <t>Human herpesvirus 6 variant B infection in adult patients after unrelated cord blood transplantation</t>
  </si>
  <si>
    <t>Tomonari A, Takahashi S, Ooi J, Iseki T, Takasugi K, Uchiyama M, Konuma T, Futami M, Ohno N, Uchimaru K, Tojo A, Asano S.</t>
  </si>
  <si>
    <t>Int J Hematol. 2005 May;81(4):352-5. doi: 10.1532/IJH97.04183.</t>
  </si>
  <si>
    <t>Efficacy of antiviral compounds in human herpesvirus-6-infected glial cells</t>
  </si>
  <si>
    <t>Akhyani N, Fotheringham J, Yao K, Rashti F, Jacobson S.</t>
  </si>
  <si>
    <t>J Neurovirol. 2006 Aug;12(4):284-93. doi: 10.1080/13550280600880772.</t>
  </si>
  <si>
    <t>Effects of non-specific immunostimulants (echinacin, isoprinosine and thymus factors) on the infection and antigen expression in herpesvirus-6 exposed human lymphoid cells</t>
  </si>
  <si>
    <t>Eichler F, Krueger GR.</t>
  </si>
  <si>
    <t>In Vivo. 1994 Jul-Aug;8(4):565-75.</t>
  </si>
  <si>
    <t>Can we distinguishing HHV-6B encephalitis/myelitis in the early phase of cord blood transplantation by next-generation sequencing of peripheral blood?</t>
  </si>
  <si>
    <t>Qiang P, Song K, Tang B, Shi L, Zhu X, Yao W, Zhang L, Zhu W, Geng L, Wang X, Liu X, Liu H, Sun Z, Ma X.</t>
  </si>
  <si>
    <t>J Infect. 2021 Feb;82(2):282-327. doi: 10.1016/j.jinf.2020.08.038. Epub 2020 Aug 26.</t>
  </si>
  <si>
    <t>Complete replication cycle and acquisition of tegument in nucleus of human herpesvirus 6A in astrocytes and in T-cells</t>
  </si>
  <si>
    <t>Ahlqvist J, Donati D, Martinelli E, Akhyani N, Hou J, Major EO, Jacobson S, Fogdell-Hahn A.</t>
  </si>
  <si>
    <t>J Med Virol. 2006 Dec;78(12):1542-53. doi: 10.1002/jmv.20737.</t>
  </si>
  <si>
    <t>Active HHV-6 infection in the lymph nodes of HIV-infected patients: in vitro evidence that HHV-6 can break HIV latency</t>
  </si>
  <si>
    <t>J Acquir Immune Defic Syndr Hum Retrovirol. 1996 Apr 1;11(4):370-8. doi: 10.1097/00042560-199604010-00007.</t>
  </si>
  <si>
    <t>J Acquir Immune Defic Syndr Hum Retrovirol</t>
  </si>
  <si>
    <t>Human herpesvirus-6 infection in liver transplant recipients: documentation of pathogenicity</t>
  </si>
  <si>
    <t>Singh N, Carrigan DR, Gayowski T, Marino IR.</t>
  </si>
  <si>
    <t>Transplantation. 1997 Sep 15;64(5):674-8. doi: 10.1097/00007890-199709150-00002.</t>
  </si>
  <si>
    <t>Human herpesvirus-6-associated suppression of growth factor-induced macrophage maturation in human bone marrow cultures</t>
  </si>
  <si>
    <t>Burd EM, Knox KK, Carrigan DR.</t>
  </si>
  <si>
    <t>Blood. 1993 Mar 15;81(6):1645-50.</t>
  </si>
  <si>
    <t>Human herpesvirus-6 (HHV-6) infection in allogeneic bone marrow transplant recipients: evidence of a marrow-suppressive role for HHV-6 in vivo</t>
  </si>
  <si>
    <t>Drobyski WR, Dunne WM, Burd EM, Knox KK, Ash RC, Horowitz MM, Flomenberg N, Carrigan DR.</t>
  </si>
  <si>
    <t>J Infect Dis. 1993 Mar;167(3):735-9. doi: 10.1093/infdis/167.3.735.</t>
  </si>
  <si>
    <t>Human herpesvirus 6 DNA in blood cells of human immunodeficiency virus-infected men: correlation of high levels with high CD4 cell counts</t>
  </si>
  <si>
    <t>Fairfax MR, Schacker T, Cone RW, Collier AC, Corey L.</t>
  </si>
  <si>
    <t>J Infect Dis. 1994 Jun;169(6):1342-5. doi: 10.1093/infdis/169.6.1342.</t>
  </si>
  <si>
    <t>Contribution of human herpesvirus 6 (HHV-6) viral load in whole blood and serum to investigate integrated HHV-6 transmission after haematopoietic stem cell transplantation</t>
  </si>
  <si>
    <t>Jeulin H, Salmon A, Gautheret-Dejean A, Agut H, Bordigoni P, Fortier B, Venard V.</t>
  </si>
  <si>
    <t>J Clin Virol. 2009 May;45(1):43-6. doi: 10.1016/j.jcv.2009.02.006. Epub 2009 Mar 24.</t>
  </si>
  <si>
    <t>Detection of active human herpesvirus-6 infection in the brain: correlation with polymerase chain reaction detection in cerebrospinal fluid</t>
  </si>
  <si>
    <t>Fotheringham J, Akhyani N, Vortmeyer A, Donati D, Williams E, Oh U, Bishop M, Barrett J, Gea-Banacloche J, Jacobson S.</t>
  </si>
  <si>
    <t>J Infect Dis. 2007 Feb 1;195(3):450-4. doi: 10.1086/510757. Epub 2006 Dec 27.</t>
  </si>
  <si>
    <t>Efficient propagation of human herpesvirus 6B in a T-cell line derived from a patient with adult T-cell leukemia/lymphoma</t>
  </si>
  <si>
    <t>Zhou CF, Abe K, Wang P, Ojima T, Yamamoto K.</t>
  </si>
  <si>
    <t>Microbiol Immunol. 1999;43(5):425-36. doi: 10.1111/j.1348-0421.1999.tb02426.x.</t>
  </si>
  <si>
    <t>Sequence analysis of transplacentally acquired human herpesvirus 6 DNA is consistent with transmission of a chromosomally integrated reactivated virus</t>
  </si>
  <si>
    <t>Gravel A, Hall CB, Flamand L.</t>
  </si>
  <si>
    <t>J Infect Dis. 2013 May 15;207(10):1585-9. doi: 10.1093/infdis/jit060. Epub 2013 Feb 13.</t>
  </si>
  <si>
    <t>CD4 promoter transactivation by human herpesvirus 6</t>
  </si>
  <si>
    <t>Flamand L, Romerio F, Reitz MS, Gallo RC.</t>
  </si>
  <si>
    <t>J Virol. 1998 Nov;72(11):8797-805. doi: 10.1128/JVI.72.11.8797-8805.1998.</t>
  </si>
  <si>
    <t>PMC110296</t>
  </si>
  <si>
    <t>HHV-6 genome in T-cell acute lymphoblastic leukaemia</t>
  </si>
  <si>
    <t>Luka J, Pirruccello SJ, Kersey JH.</t>
  </si>
  <si>
    <t>Lancet. 1991 Nov 16;338(8777):1277-8. doi: 10.1016/0140-6736(91)92148-u.</t>
  </si>
  <si>
    <t>Lancet</t>
  </si>
  <si>
    <t>[Prevalence of human herpesvirus-6 in allogeneic hematopoietic stem cell transplant recipients in correlation with cytomegalovirus infection]</t>
  </si>
  <si>
    <t>Wang LR, Dong LJ, Lu DP.</t>
  </si>
  <si>
    <t>Zhongguo Shi Yan Xue Ye Xue Za Zhi. 2006 Dec;14(6):1204-9.</t>
  </si>
  <si>
    <t>Zhongguo Shi Yan Xue Ye Xue Za Zhi</t>
  </si>
  <si>
    <t>Engraftment of donor cells with germ-line integration of HHV6 mimics HHV6 reactivation following cord blood/haplo transplantation</t>
  </si>
  <si>
    <t>Purev E, Winkler T, Danner RL, Fahle GA, Cook L, Zerr DM, Jerome KR, Childs RW.</t>
  </si>
  <si>
    <t>Blood. 2014 Aug 14;124(7):1198-9. doi: 10.1182/blood-2014-06-577684.</t>
  </si>
  <si>
    <t>PMC4133492</t>
  </si>
  <si>
    <t>Transient erythroblastopenia of childhood: prospective study of 10 patients with special reference to viral infections</t>
  </si>
  <si>
    <t>Skeppner G, Kreuger A, Elinder G.</t>
  </si>
  <si>
    <t>J Pediatr Hematol Oncol. 2002 May;24(4):294-8. doi: 10.1097/00043426-200205000-00015.</t>
  </si>
  <si>
    <t>[Acute liver failure due to human herpesvirus 6 in an infant]</t>
  </si>
  <si>
    <t>Tronconi GM, Mariani B, Pajno R, Fomasi M, Cococcioni L, Biffi V, Bove M, Corsin P, Garbetta G, Barera G.</t>
  </si>
  <si>
    <t>Pediatr Med Chir. 2012 Sep-Oct;34(5):229-33. doi: 10.4081/pmc.2012.59.</t>
  </si>
  <si>
    <t>Pediatr Med Chir</t>
  </si>
  <si>
    <t>Development of quantitative RT-PCR assays for detection of three classes of HHV-6B gene transcripts</t>
  </si>
  <si>
    <t>Ihira M, Enomoto Y, Kawamura Y, Nakai H, Sugata K, Asano Y, Tsuzuki M, Emi N, Goto T, Miyamura K, Matsumoto K, Kato K, Takahashi Y, Kojima S, Yoshikawa T.</t>
  </si>
  <si>
    <t>J Med Virol. 2012 Sep;84(9):1388-95. doi: 10.1002/jmv.23350.</t>
  </si>
  <si>
    <t>Inhibition of breast cancer cell proliferation through disturbance of the calcineurin/NFAT pathway by human herpesvirus 6B U54 tegument protein</t>
  </si>
  <si>
    <t>Iampietro M, Gravel A, Flamand L.</t>
  </si>
  <si>
    <t>J Virol. 2014 Nov;88(21):12910-4. doi: 10.1128/JVI.02107-14. Epub 2014 Aug 13.</t>
  </si>
  <si>
    <t>PMC4248891</t>
  </si>
  <si>
    <t>Characterisation of a human herpesvirus 6 variant A 'amplicon' and replication modulation by U94-Rep 'latency gene'</t>
  </si>
  <si>
    <t>Turner S, DiLuca D, Gompels U.</t>
  </si>
  <si>
    <t>J Virol Methods. 2002 Sep;105(2):331-41. doi: 10.1016/s0166-0934(02)00130-1.</t>
  </si>
  <si>
    <t>Encephalitis caused by an unusual human herpes virus type 6 and Toxoplasma gondii co-infection in a cord blood transplant recipient</t>
  </si>
  <si>
    <t>Chapuis A, Chabrot C, Mirand A, Poirier P, Nourrisson C.</t>
  </si>
  <si>
    <t>Int J Infect Dis. 2016 May;46:79-81. doi: 10.1016/j.ijid.2016.04.002. Epub 2016 Apr 6.</t>
  </si>
  <si>
    <t>Int J Infect Dis</t>
  </si>
  <si>
    <t>Recognition of virus-infected cells by natural killer cell clones is controlled by polymorphic target cell elements</t>
  </si>
  <si>
    <t>Malnati MS, Lusso P, Ciccone E, Moretta A, Moretta L, Long EO.</t>
  </si>
  <si>
    <t>J Exp Med. 1993 Sep 1;178(3):961-9. doi: 10.1084/jem.178.3.961.</t>
  </si>
  <si>
    <t>PMC2191173</t>
  </si>
  <si>
    <t>Infection with an endemic human herpesvirus disrupts critical glial precursor cell properties</t>
  </si>
  <si>
    <t>Dietrich J, Blumberg BM, Roshal M, Baker JV, Hurley SD, Mayer-Pröschel M, Mock DJ.</t>
  </si>
  <si>
    <t>J Neurosci. 2004 May 19;24(20):4875-83. doi: 10.1523/JNEUROSCI.5584-03.2004.</t>
  </si>
  <si>
    <t>J Neurosci</t>
  </si>
  <si>
    <t>PMC6729472</t>
  </si>
  <si>
    <t>Human herpesvirus 6-related pure red cell aplasia, secondary graft failure, and clinical severe immune suppression after allogeneic hematopoietic cell transplantation successfully treated with foscarnet</t>
  </si>
  <si>
    <t>Lagadinou ED, Marangos M, Liga M, Panos G, Tzouvara E, Dimitroulia E, Tiniakou M, Tsakris A, Zoumbos N, Spyridonidis A.</t>
  </si>
  <si>
    <t>Transpl Infect Dis. 2010 Oct;12(5):437-40. doi: 10.1111/j.1399-3062.2010.00515.x.</t>
  </si>
  <si>
    <t>[Human Herpesvirus 6: general information and infections in organ transplantations and hematopoietic stem cell grafts]</t>
  </si>
  <si>
    <t>Fontan J, Mougin C, Cahn JY.</t>
  </si>
  <si>
    <t>Presse Med. 1999 Jan 23;28(3):149-56.</t>
  </si>
  <si>
    <t>Presse Med</t>
  </si>
  <si>
    <t>Multiplex real-time PCR assay for simultaneous quantitation of human cytomegalovirus and herpesvirus-6 in polymorphonuclear and mononuclear cells of transplant recipients</t>
  </si>
  <si>
    <t>Pradeau K, Couty L, Szelag JC, Turlure P, Rolle F, Ferrat P, Bordessoule D, Le Meur Y, Denis F, Ranger-Rogez S.</t>
  </si>
  <si>
    <t>J Virol Methods. 2006 Mar;132(1-2):77-84. doi: 10.1016/j.jviromet.2005.09.001. Epub 2005 Nov 21.</t>
  </si>
  <si>
    <t>Cidofovir and foscarnet for treatment of human herpesvirus 6 encephalitis in a neutropenic stem cell transplant recipient</t>
  </si>
  <si>
    <t>Pöhlmann C, Schetelig J, Reuner U, Bornhäuser M, Illmer T, Kiani A, Ehninger G, Jacobs E, Rohayem J.</t>
  </si>
  <si>
    <t>Clin Infect Dis. 2007 Jun 15;44(12):e118-20. doi: 10.1086/518282. Epub 2007 May 2.</t>
  </si>
  <si>
    <t>Identification and mapping of the gene encoding the glycoprotein complex gp82-gp105 of human herpesvirus 6 and mapping of the neutralizing epitope recognized by monoclonal antibodies</t>
  </si>
  <si>
    <t>Pfeiffer B, Berneman ZN, Neipel F, Chang CK, Tirwatnapong S, Chandran B.</t>
  </si>
  <si>
    <t>J Virol. 1993 Aug;67(8):4611-20. doi: 10.1128/JVI.67.8.4611-4620.1993.</t>
  </si>
  <si>
    <t>PMC237846</t>
  </si>
  <si>
    <t>Congenital infection with human herpesvirus 6 variant B associated with neonatal seizures and poor neurological outcome</t>
  </si>
  <si>
    <t>Lanari M, Papa I, Venturi V, Lazzarotto T, Faldella G, Gabrielli L, Guerra B, Landini MP, Salvioli GP.</t>
  </si>
  <si>
    <t>J Med Virol. 2003 Aug;70(4):628-32. doi: 10.1002/jmv.10441.</t>
  </si>
  <si>
    <t>A case of pneumonitis and encephalitis associated with human herpesvirus 6 (HHV-6) infection after bone marrow transplantation</t>
  </si>
  <si>
    <t>Nakayama T, Okada F, Ando Y, Honda K, Ogata M, Goto K, Kadota J, Mori H.</t>
  </si>
  <si>
    <t>Br J Radiol. 2010 Dec;83(996):e255-8. doi: 10.1259/bjr/19375793.</t>
  </si>
  <si>
    <t>Br J Radiol</t>
  </si>
  <si>
    <t>PMC3473609</t>
  </si>
  <si>
    <t>Human herpes virus-6 infection in marrow graft recipients: role in pathogenesis of graft-versus-host disease. Newcastle upon Tyne Bone Marrow Transport Group</t>
  </si>
  <si>
    <t>Appleton AL, Sviland L, Peiris JS, Taylor CE, Wilkes J, Green MA, Pearson AD, Kelly PJ, Malcolm AJ, Proctor SJ, et al.</t>
  </si>
  <si>
    <t>Bone Marrow Transplant. 1995 Dec;16(6):777-82.</t>
  </si>
  <si>
    <t>Prokaryotic expression of an immediate-early gene of human herpesvirus 6 and analysis of its viral antigen expression in human cells</t>
  </si>
  <si>
    <t>Takeda K, Nakagawa N, Yamamoto T, Inagi R, Kawanishi K, Isegawa Y, Yamanishi K.</t>
  </si>
  <si>
    <t>Virus Res. 1996 Apr;41(2):193-200. doi: 10.1016/0168-1702(96)01287-7.</t>
  </si>
  <si>
    <t>The 41-kDa protein of human herpesvirus 6 specifically binds to viral DNA polymerase and greatly increases DNA synthesis</t>
  </si>
  <si>
    <t>Lin K, Ricciardi RP.</t>
  </si>
  <si>
    <t>Virology. 1998 Oct 10;250(1):210-9. doi: 10.1006/viro.1998.9348.</t>
  </si>
  <si>
    <t>Dominance of variant A in human herpesvirus 6 viraemia after renal transplantation</t>
  </si>
  <si>
    <t>Csoma E, Mészáros B, Gáll T, Asztalos L, Kónya J, Gergely L.</t>
  </si>
  <si>
    <t>Virol J. 2011 Aug 15;8:403. doi: 10.1186/1743-422X-8-403.</t>
  </si>
  <si>
    <t>PMC3166939</t>
  </si>
  <si>
    <t>Ampligen inhibits human herpesvirus-6 in vitro</t>
  </si>
  <si>
    <t>Ablashi DV, Berneman ZN, Williams M, Strayer DR, Kramarsky B, Suhadolnik RJ, Reichenbach N, Hiltzges P, Komaroff AL.</t>
  </si>
  <si>
    <t>In Vivo. 1994 Jul-Aug;8(4):587-91.</t>
  </si>
  <si>
    <t>Prevalence of human herpesvirus 6 variant A and B infections in bone marrow transplant recipients as determined by polymerase chain reaction and sequence-specific oligonucleotide probe hybridization</t>
  </si>
  <si>
    <t>Drobyski WR, Eberle M, Majewski D, Baxter-Lowe LA.</t>
  </si>
  <si>
    <t>J Clin Microbiol. 1993 Jun;31(6):1515-20. doi: 10.1128/jcm.31.6.1515-1520.1993.</t>
  </si>
  <si>
    <t>PMC265570</t>
  </si>
  <si>
    <t>Human herpesvirus 6A DNA Is detected frequently in plasma but rarely in peripheral blood leukocytes of patients after bone marrow transplantation</t>
  </si>
  <si>
    <t>Nitsche A, Müller CW, Radonic A, Landt O, Ellerbrok H, Pauli G, Siegert W.</t>
  </si>
  <si>
    <t>J Infect Dis. 2001 Jan 1;183(1):130-3. doi: 10.1086/317651. Epub 2000 Nov 10.</t>
  </si>
  <si>
    <t>Two groups of human herpesvirus 6 identified by sequence analyses of laboratory strains and variants from Hodgkin's lymphoma and bone marrow transplant patients</t>
  </si>
  <si>
    <t>Gompels UA, Carrigan DR, Carss AL, Arno J.</t>
  </si>
  <si>
    <t>J Gen Virol. 1993 Apr;74 ( Pt 4):613-22. doi: 10.1099/0022-1317-74-4-613.</t>
  </si>
  <si>
    <t>The utility of plasma polymerase chain reaction for human herpes virus-6 among pediatric bone marrow transplant recipients: results of a pilot study</t>
  </si>
  <si>
    <t>Allen UD, Tellier R, Doyle J, Petric M, Wasfy S, Kumar P, Calderwood S, Freedman M, Saunders F.</t>
  </si>
  <si>
    <t>Bone Marrow Transplant. 2001 Sep;28(5):473-7. doi: 10.1038/sj.bmt.1703153.</t>
  </si>
  <si>
    <t>SupT-1: a cell system suitable for an efficient propagation of both HHV-7 and HHV-6 variants A and B</t>
  </si>
  <si>
    <t>Cermelli C, Pietrosemoli P, Meacci M, Pecorari M, Sabbatini AM, Colombari B, Portolani M.</t>
  </si>
  <si>
    <t>New Microbiol. 1997 Jul;20(3):187-96.</t>
  </si>
  <si>
    <t>Inhibition of herpesvirus-6B RNA replication by short interference RNAs</t>
  </si>
  <si>
    <t>Yoon JS, Kim SH, Shin MC, Hong SK, Jung YT, Khang IG, Shin WS, Kim CC, Paik SY.</t>
  </si>
  <si>
    <t>J Biochem Mol Biol. 2004 May 31;37(3):383-5. doi: 10.5483/bmbrep.2004.37.3.383.</t>
  </si>
  <si>
    <t>J Biochem Mol Biol</t>
  </si>
  <si>
    <t>Analysis of a neutralizing antibody for human herpesvirus 6B reveals a role for glycoprotein Q1 in viral entry</t>
  </si>
  <si>
    <t>Kawabata A, Oyaizu H, Maeki T, Tang H, Yamanishi K, Mori Y.</t>
  </si>
  <si>
    <t>J Virol. 2011 Dec;85(24):12962-71. doi: 10.1128/JVI.05622-11. Epub 2011 Sep 28.</t>
  </si>
  <si>
    <t>PMC3233151</t>
  </si>
  <si>
    <t>Absence of maternal HHV-6-specific T-cell response in the setting of human Herpesvirus-6 chromosomal integration: Potential impact on congenital infection</t>
  </si>
  <si>
    <t>Machuca I, Aguado R, Veloza L, Marcos MÁ.</t>
  </si>
  <si>
    <t>Enferm Infecc Microbiol Clin (Engl Ed). 2021 Feb;39(2):104-106. doi: 10.1016/j.eimc.2020.04.003. Epub 2020 May 18.</t>
  </si>
  <si>
    <t>Enferm Infecc Microbiol Clin (Engl Ed)</t>
  </si>
  <si>
    <t>Inhibition of human immunodeficiency virus 1 (HIV-1) by variant B of human herpesvirus 6 (HHV-6)</t>
  </si>
  <si>
    <t>Bonura F, Perna AM, Vitale F, Villafrate MR, Viviano E, Guttadauro R, Mazzola G, Romano N.</t>
  </si>
  <si>
    <t>New Microbiol. 1999 Jul;22(3):161-71.</t>
  </si>
  <si>
    <t>Transmission of chromosomally integrated human herpesvirsus 6 (HHV-6) variant A from a parent to children leading to misdiagnosis of active HHV-6 infection</t>
  </si>
  <si>
    <t>Mori T, Tanaka-Taya K, Satoh H, Aisa Y, Yamazaki R, Kato J, Ikeda Y, Okamoto S.</t>
  </si>
  <si>
    <t>Transpl Infect Dis. 2009 Dec;11(6):503-6. doi: 10.1111/j.1399-3062.2009.00430.x. Epub 2009 Jul 28.</t>
  </si>
  <si>
    <t>[Human herpesvirus-6 infection and hepatitis following heart transplantation]</t>
  </si>
  <si>
    <t>Robert C, Agut H, Lunel-Fabiani F, Leger P.</t>
  </si>
  <si>
    <t>Presse Med. 1994 Sep 3-10;23(26):1209-10.</t>
  </si>
  <si>
    <t>Copy numbers of telomeric repeat sequences of human herpesvirus 6B in clinical isolates: possibility of mixed infections</t>
  </si>
  <si>
    <t>Kato Y, Ihira M, Umeda M, Higashimoto Y, Kawamura Y, Ohashi M, Ishi J, Yoshikawa T.</t>
  </si>
  <si>
    <t>J Clin Microbiol. 2014 Feb;52(2):419-24. doi: 10.1128/JCM.02192-13. Epub 2013 Nov 13.</t>
  </si>
  <si>
    <t>PMC3911338</t>
  </si>
  <si>
    <t>Transmission of chromosomally integrated HHV-6 by bone marrow transplantation</t>
  </si>
  <si>
    <t>Strenger V, Urban C, Schwinger W, Nacheva EP, Aberle SW.</t>
  </si>
  <si>
    <t>Pediatr Blood Cancer. 2011 Jan;56(1):171. doi: 10.1002/pbc.22828.</t>
  </si>
  <si>
    <t>Human herpesvirus 6 infection in renal transplantation</t>
  </si>
  <si>
    <t>Okuno T, Higashi K, Shiraki K, Yamanishi K, Takahashi M, Kokado Y, Ishibashi M, Takahara S, Sonoda T, Tanaka K, et al.</t>
  </si>
  <si>
    <t>Transplantation. 1990 Mar;49(3):519-22. doi: 10.1097/00007890-199003000-00009.</t>
  </si>
  <si>
    <t>Human herpesvirus 6 latently infects mononuclear cells but not liver tissue</t>
  </si>
  <si>
    <t>Yoshikawa T, Suzuki K, Ihira M, Furukawa H, Suga S, Iwasaki T, Kurata T, Asonuma K, Tanaka K, Asano Y.</t>
  </si>
  <si>
    <t>J Clin Pathol. 1999 Jan;52(1):65-7. doi: 10.1136/jcp.52.1.65.</t>
  </si>
  <si>
    <t>J Clin Pathol</t>
  </si>
  <si>
    <t>PMC501010</t>
  </si>
  <si>
    <t>[Human herpesvirus 6 infections in kidney and bone marrow/stem cell transplant recipients]</t>
  </si>
  <si>
    <t>Ozkalay N, Ozacar T, Aşçi G, Töz H, Kansoy S.</t>
  </si>
  <si>
    <t>Mikrobiyol Bul. 2003 Apr-Jun;37(2-3):179-86.</t>
  </si>
  <si>
    <t>Mikrobiyol Bul</t>
  </si>
  <si>
    <t>Quantification of two viral transcripts by real time PCR to investigate human herpesvirus type 6 active infection</t>
  </si>
  <si>
    <t>Bressollette-Bodin C, Nguyen TV, Illiaquer M, Besse B, Peltier C, Chevallier P, Imbert-Marcille BM.</t>
  </si>
  <si>
    <t>J Clin Virol. 2014 Feb;59(2):94-9. doi: 10.1016/j.jcv.2013.11.014. Epub 2013 Dec 7.</t>
  </si>
  <si>
    <t>Failure of multiple antivirals to affect high HHV-6 DNAaemia resulting from viral chromosomal integration in case of severe aplastic anaemia</t>
  </si>
  <si>
    <t>Hubacek P, Maalouf J, Zajickova M, Kouba M, Cinek O, Hyncicova K, Fales I, Cetkovsky P.</t>
  </si>
  <si>
    <t>Haematologica. 2007 Oct;92(10):e98-e100. doi: 10.3324/haematol.11592.</t>
  </si>
  <si>
    <t>Haematologica</t>
  </si>
  <si>
    <t>Productive infection of CD4+ and CD8+ mature human T cell populations and clones by human herpesvirus 6. Transcriptional down-regulation of CD3</t>
  </si>
  <si>
    <t>Lusso P, Malnati M, De Maria A, Balotta C, DeRocco SE, Markham PD, Gallo RC.</t>
  </si>
  <si>
    <t>J Immunol. 1991 Jul 15;147(2):685-91.</t>
  </si>
  <si>
    <t>J Immunol</t>
  </si>
  <si>
    <t>Fatal human herpesvirus-6 infection after renal transplantation</t>
  </si>
  <si>
    <t>Pilmore H, Collins J, Dittmer I, Williams L, Carpenter L, Thomas S, Croxson M, Thomas M.</t>
  </si>
  <si>
    <t>Transplantation. 2009 Sep 27;88(6):762-5. doi: 10.1097/TP.0b013e3181b4749f.</t>
  </si>
  <si>
    <t>Presence of human herpesvirus 6 DNA in cord blood cells</t>
  </si>
  <si>
    <t>Daibata M, Miyoshi I.</t>
  </si>
  <si>
    <t>J Infect Dis. 1999 Apr;179(4):1046-7. doi: 10.1086/314687.</t>
  </si>
  <si>
    <t>Prevalence of human herpesvirus-6 chromosomal integration (CIHHV-6) in Italian solid organ and allogeneic stem cell transplant patients</t>
  </si>
  <si>
    <t>Potenza L, Barozzi P, Masetti M, Pecorari M, Bresciani P, Gautheret-Dejean A, Riva G, Vallerini D, Tagliazucchi S, Codeluppi M, Di Benedetto F, Gerunda GE, Narni F, Torelli G, Luppi M.</t>
  </si>
  <si>
    <t>Am J Transplant. 2009 Jul;9(7):1690-7. doi: 10.1111/j.1600-6143.2009.02685.x. Epub 2009 Jun 10.</t>
  </si>
  <si>
    <t>Demonstration of active and latent Epstein-Barr virus and human herpevirus-6 infections in bone marrow cells of patients with myelodysplasia and chronic myeloproliferative diseases</t>
  </si>
  <si>
    <t>Krueger GR, Kudlimay D, Ramon A, Klueppelberg U, Schumacher K.</t>
  </si>
  <si>
    <t>In Vivo. 1994 Jul-Aug;8(4):533-42.</t>
  </si>
  <si>
    <t>Prevalence of human herpesvirus 6 in lung tissue from children with pneumonitis</t>
  </si>
  <si>
    <t>Hammerling JA, Lambrecht RS, Kehl KS, Carrigan DR.</t>
  </si>
  <si>
    <t>J Clin Pathol. 1996 Oct;49(10):802-4. doi: 10.1136/jcp.49.10.802.</t>
  </si>
  <si>
    <t>PMC500772</t>
  </si>
  <si>
    <t>In vitro susceptibility of T lymphocytes from chimpanzees (Pan troglodytes) to human herpesvirus 6 (HHV-6): a potential animal model to study the interaction between HHV-6 and human immunodeficiency virus type 1 in vivo</t>
  </si>
  <si>
    <t>Lusso P, Markham PD, DeRocco SE, Gallo RC.</t>
  </si>
  <si>
    <t>J Virol. 1990 Jun;64(6):2751-8. doi: 10.1128/JVI.64.6.2751-2758.1990.</t>
  </si>
  <si>
    <t>PMC249455</t>
  </si>
  <si>
    <t>Human herpesviruses 6 and 7 in chronic fatigue syndrome: a case-control study</t>
  </si>
  <si>
    <t>Reeves WC, Stamey FR, Black JB, Mawle AC, Stewart JA, Pellett PE.</t>
  </si>
  <si>
    <t>Clin Infect Dis. 2000 Jul;31(1):48-52. doi: 10.1086/313908. Epub 2000 Jul 24.</t>
  </si>
  <si>
    <t>Replication of HHV-6 in cord blood lymphocytes and Jurkat cells</t>
  </si>
  <si>
    <t>Cavallo R, Jemma C, Merlino C.</t>
  </si>
  <si>
    <t>G Batteriol Virol Immunol. 1991 Jan-Dec;84(1-12):11-4.</t>
  </si>
  <si>
    <t>G Batteriol Virol Immunol</t>
  </si>
  <si>
    <t>Long-lasting CD3+ T-cell deficiency after cord blood stem cell transplantation in a human herpesvirus 6-infected child</t>
  </si>
  <si>
    <t>Comar M, D'Agaro P, Horejsh D, Galvan M, Fiorentini S, Andolina M, Caruso A, Di Luca D, Campello C.</t>
  </si>
  <si>
    <t>J Clin Microbiol. 2005 Apr;43(4):2002-3. doi: 10.1128/JCM.43.4.2002-2003.2005.</t>
  </si>
  <si>
    <t>PMC1081381</t>
  </si>
  <si>
    <t>Human herpesvirus type 6 variants identified by single-strand conformation polymorphism analysis</t>
  </si>
  <si>
    <t>Wilborn F, Binder T, Neipel F, Blasczyk R, Siegert W.</t>
  </si>
  <si>
    <t>J Virol Methods. 1998 Jul;73(1):21-9. doi: 10.1016/s0166-0934(98)00033-0.</t>
  </si>
  <si>
    <t>[Chromosomally integrated human herpesvirus-6 requiring differential diagnosis of reactivation after allogeneic hematopoietic stem cell transplantation]</t>
  </si>
  <si>
    <t>Sato K, Sumi M, Ueki T, Kaiume H, Kirihara T, Takeda W, Kurihara T, Hiroshima Y, Ueno M, Ichikawa N, Sato T, Ogata M, Fukuda T, Kobayashi H.</t>
  </si>
  <si>
    <t>Rinsho Ketsueki. 2015 Apr;56(4):406-11. doi: 10.11406/rinketsu.56.406.</t>
  </si>
  <si>
    <t>Analysis of human herpesvirus-6 IE1 sequence variation in clinical samples</t>
  </si>
  <si>
    <t>Stanton R, Wilkinson GW, Fox JD.</t>
  </si>
  <si>
    <t>J Med Virol. 2003 Dec;71(4):578-84. doi: 10.1002/jmv.10508.</t>
  </si>
  <si>
    <t>Activation of gene expression by human herpesvirus 6 is reporter gene-dependent</t>
  </si>
  <si>
    <t>Campbell ME, McCorkindale S, Everett RD, Onions DE.</t>
  </si>
  <si>
    <t>J Gen Virol. 1991 May;72 ( Pt 5):1123-30. doi: 10.1099/0022-1317-72-5-1123.</t>
  </si>
  <si>
    <t>Human herpesvirus-6 infection in children with cancer</t>
  </si>
  <si>
    <t>Michálek J, Horváth R, Benedík J, Hrstková H.</t>
  </si>
  <si>
    <t>Pediatr Hematol Oncol. 1999 Sep-Oct;16(5):423-30. doi: 10.1080/088800199276976.</t>
  </si>
  <si>
    <t>Pediatr Hematol Oncol</t>
  </si>
  <si>
    <t>Interaction of human herpesvirus 6 with human CD34 positive cells</t>
  </si>
  <si>
    <t>Isomura H, Yoshida M, Namba H, Yamada M.</t>
  </si>
  <si>
    <t>J Med Virol. 2003 Jul;70(3):444-50. doi: 10.1002/jmv.10415.</t>
  </si>
  <si>
    <t>Chromosomally integrated HHV-6: slow decrease of HHV-6 viral load after hematopoietic stem-cell transplantation</t>
  </si>
  <si>
    <t>Jeulin H, Guéry M, Clément L, Salmon A, Beri M, Bordigoni P, Venard V.</t>
  </si>
  <si>
    <t>Transplantation. 2009 Nov 15;88(9):1142-3. doi: 10.1097/TP.0b013e3181bb98e4.</t>
  </si>
  <si>
    <t>Interferon induction by human herpesvirus 6 in human mononuclear cells</t>
  </si>
  <si>
    <t>Kikuta H, Nakane A, Lu H, Taguchi Y, Minagawa T, Matsumoto S.</t>
  </si>
  <si>
    <t>J Infect Dis. 1990 Jul;162(1):35-8. doi: 10.1093/infdis/162.1.35.</t>
  </si>
  <si>
    <t>Prediction of human herpesvirus 6 infection after allogeneic bone marrow transplantation</t>
  </si>
  <si>
    <t>Yoshikawa T, Suzuki K, Ihira M, Furukawa H, Suga S, Asano Y, Kojima S, Kato K, Matsuyama T.</t>
  </si>
  <si>
    <t>Blood. 1998 Oct 1;92(7):2597-9.</t>
  </si>
  <si>
    <t>Role of the human herpesvirus 6 u69-encoded kinase in the phosphorylation of ganciclovir</t>
  </si>
  <si>
    <t>De Bolle L, Michel D, Mertens T, Manichanh C, Agut H, De Clercq E, Naesens L.</t>
  </si>
  <si>
    <t>Mol Pharmacol. 2002 Sep;62(3):714-21. doi: 10.1124/mol.62.3.714.</t>
  </si>
  <si>
    <t>Mol Pharmacol</t>
  </si>
  <si>
    <t>Human herpesvirus 6 ganciclovir-resistant strain with amino acid substitutions associated with the death of an allogeneic stem cell transplant recipient</t>
  </si>
  <si>
    <t>Isegawa Y, Hara J, Amo K, Osugi Y, Takemoto M, Yamanishi K, Fukunaga R, Shibata M, Ohshima A, Horiguchi Y, Sugimoto N.</t>
  </si>
  <si>
    <t>J Clin Virol. 2009 Jan;44(1):15-9. doi: 10.1016/j.jcv.2008.09.002. Epub 2008 Oct 25.</t>
  </si>
  <si>
    <t>Inhibition of transcription of the beta interferon gene by the human herpesvirus 6 immediate-early 1 protein</t>
  </si>
  <si>
    <t>Jaworska J, Gravel A, Fink K, Grandvaux N, Flamand L.</t>
  </si>
  <si>
    <t>J Virol. 2007 Jun;81(11):5737-48. doi: 10.1128/JVI.02443-06. Epub 2007 Mar 21.</t>
  </si>
  <si>
    <t>PMC1900312</t>
  </si>
  <si>
    <t>Expression of the Human Herpesvirus 6A Latency-Associated Transcript U94A Disrupts Human Oligodendrocyte Progenitor Migration</t>
  </si>
  <si>
    <t>Campbell A, Hogestyn JM, Folts CJ, Lopez B, Pröschel C, Mock D, Mayer-Pröschel M.</t>
  </si>
  <si>
    <t>Sci Rep. 2017 Jun 21;7(1):3978. doi: 10.1038/s41598-017-04432-y.</t>
  </si>
  <si>
    <t>PMC5479784</t>
  </si>
  <si>
    <t>Growth of human herpesvirus 6 in HEPG2 cells</t>
  </si>
  <si>
    <t>Cermelli C, Concari M, Carubbi F, Fabio G, Sabbatini AM, Pecorari M, Pietrosemoli P, Meacci M, Guicciardi E, Carulli N, Portolani M.</t>
  </si>
  <si>
    <t>Virus Res. 1996 Dec;45(2):75-85. doi: 10.1016/s0168-1702(96)01364-0.</t>
  </si>
  <si>
    <t>Bone marrow suppression by human herpesvirus-6: comparison of the A and B variants of the virus</t>
  </si>
  <si>
    <t>Blood. 1995 Jul 15;86(2):835-6.</t>
  </si>
  <si>
    <t>Frequent shedding of human herpesvirus 6 in saliva</t>
  </si>
  <si>
    <t>Harnett GB, Farr TJ, Pietroboni GR, Bucens MR.</t>
  </si>
  <si>
    <t>J Med Virol. 1990 Feb;30(2):128-30. doi: 10.1002/jmv.1890300209.</t>
  </si>
  <si>
    <t>Sequential measurement of human herpesvirus 6 DNA with polymerase chain reaction method in pediatric living-related liver transplantation</t>
  </si>
  <si>
    <t>Hasegawa T, Kimura T, Sasaki T, Okada A, Tanaka-Taya K, Miyagawa H, Amou K, Mushiake S, Yamanishi K, Ishikawa S.</t>
  </si>
  <si>
    <t>Clin Transplant. 2001 Jun;15(3):208-13. doi: 10.1034/j.1399-0012.2001.150310.x.</t>
  </si>
  <si>
    <t>Susceptibility of the adult T cell leukemia (ATL) cell lines to HHV-6B</t>
  </si>
  <si>
    <t>Zhou CF, Abe K, Wang P, Yamamoto K.</t>
  </si>
  <si>
    <t>Leukemia. 1998 Jun;12(6):1001. doi: 10.1038/sj.leu.2401049.</t>
  </si>
  <si>
    <t>Leukemia</t>
  </si>
  <si>
    <t>Mapping ganciclovir resistance in the human herpesvirus-6 U69 protein kinase</t>
  </si>
  <si>
    <t>Safronetz D, Petric M, Tellier R, Parvez B, Tipples GA.</t>
  </si>
  <si>
    <t>J Med Virol. 2003 Nov;71(3):434-9. doi: 10.1002/jmv.10510.</t>
  </si>
  <si>
    <t>Human herpesvirus 6 in monocytes of transplant patients</t>
  </si>
  <si>
    <t>Wrzos H, Gibbons J, Abt PL, Gifford RR, Yang HC.</t>
  </si>
  <si>
    <t>Lancet. 1990 Feb 24;335(8687):486-7. doi: 10.1016/0140-6736(90)90729-o.</t>
  </si>
  <si>
    <t>Thrombotic microangiopathy (TMA) and stroke due to human herpesvirus-6 (HHV-6) reactivation in an adult receiving high-dose melphalan with autologous peripheral stem cell transplantation</t>
  </si>
  <si>
    <t>Belford A, Myles O, Magill A, Wang J, Myhand RC, Waselenko JK.</t>
  </si>
  <si>
    <t>Am J Hematol. 2004 Jun;76(2):156-62. doi: 10.1002/ajh.20068.</t>
  </si>
  <si>
    <t>Pregnancy outcome in patients with pityriasis rosea</t>
  </si>
  <si>
    <t>Drago F, Broccolo F, Zaccaria E, Malnati M, Cocuzza C, Lusso P, Rebora A.</t>
  </si>
  <si>
    <t>J Am Acad Dermatol. 2008 May;58(5 Suppl 1):S78-83. doi: 10.1016/j.jaad.2007.05.030.</t>
  </si>
  <si>
    <t>J Am Acad Dermatol</t>
  </si>
  <si>
    <t>In vitro susceptibility of Macaca nemestrina to human herpesvirus 6: a potential animal model of coinfection with primate immunodeficiency viruses</t>
  </si>
  <si>
    <t>Lusso P, Secchiero P, Crowley RW.</t>
  </si>
  <si>
    <t>AIDS Res Hum Retroviruses. 1994 Feb;10(2):181-7. doi: 10.1089/aid.1994.10.181.</t>
  </si>
  <si>
    <t>Molecular and virological evidence of viral activation from chromosomally integrated human herpesvirus 6A in a patient with X-linked severe combined immunodeficiency</t>
  </si>
  <si>
    <t>Endo A, Watanabe K, Ohye T, Suzuki K, Matsubara T, Shimizu N, Kurahashi H, Yoshikawa T, Katano H, Inoue N, Imai K, Takagi M, Morio T, Mizutani S.</t>
  </si>
  <si>
    <t>Clin Infect Dis. 2014 Aug 15;59(4):545-8. doi: 10.1093/cid/ciu323. Epub 2014 May 6.</t>
  </si>
  <si>
    <t>Identification and analysis of a lytic-phase origin of DNA replication in human herpesvirus 7</t>
  </si>
  <si>
    <t>van Loon N, Dykes C, Deng H, Dominguez G, Nicholas J, Dewhurst S.</t>
  </si>
  <si>
    <t>J Virol. 1997 Apr;71(4):3279-84. doi: 10.1128/JVI.71.4.3279-3284.1997.</t>
  </si>
  <si>
    <t>PMC191464</t>
  </si>
  <si>
    <t>Chronic bone marrow suppression in immunocompetent adult by human herpesvirus 6</t>
  </si>
  <si>
    <t>Gompels UA, Luxton J, Knox KK, Carrigan DR.</t>
  </si>
  <si>
    <t>Lancet. 1994 Mar 19;343(8899):735-6. doi: 10.1016/s0140-6736(94)91619-5.</t>
  </si>
  <si>
    <t>Ganciclovir prophylaxis and beta-herpesvirus in renal transplant recipients</t>
  </si>
  <si>
    <t>Galarraga MC, Gomez E, de Ona M, Rodriguez A, Laures A, Boga JA, Fernandez JA, Melon S.</t>
  </si>
  <si>
    <t>Transpl Int. 2005 Aug;18(8):1016-7. doi: 10.1111/j.1432-2277.2005.00105.x.</t>
  </si>
  <si>
    <t>Multicenter comparison of PCR assays for detection of human herpesvirus 6 DNA in serum</t>
  </si>
  <si>
    <t>Flamand L, Gravel A, Boutolleau D, Alvarez-Lafuente R, Jacobson S, Malnati MS, Kohn D, Tang YW, Yoshikawa T, Ablashi D.</t>
  </si>
  <si>
    <t>J Clin Microbiol. 2008 Aug;46(8):2700-6. doi: 10.1128/JCM.00370-08. Epub 2008 Jun 11.</t>
  </si>
  <si>
    <t>PMC2519497</t>
  </si>
  <si>
    <t>Analysis of human herpesvirus 6 glycoproteins recognized by monoclonal antibody OHV1</t>
  </si>
  <si>
    <t>Okuno T, Shao H, Asada H, Shiraki K, Takahashi M, Yamanishi K.</t>
  </si>
  <si>
    <t>J Gen Virol. 1992 Feb;73 ( Pt 2):443-7. doi: 10.1099/0022-1317-73-2-443.</t>
  </si>
  <si>
    <t>The human immunodeficiency virus tat gene enhances replication of human herpesvirus-6</t>
  </si>
  <si>
    <t>Sieczkowski L, Chandran B, Wood C.</t>
  </si>
  <si>
    <t>Virology. 1995 Aug 20;211(2):544-53. doi: 10.1006/viro.1995.1436.</t>
  </si>
  <si>
    <t>[Epileptic encephalopathy associated with human herpes virus 6 (HHV-6) encephalitis after the second cord blood transplantation in a patient with pediatric acute lymphoblastic leukemia]</t>
  </si>
  <si>
    <t>Kouzuki K, Kato I, Kato T, Daifu T, Saida S, Umeda K, Hiramatsu H, Watanabe K, Ide M, Yoshida T, Imamura T, Ito K, Heike T, Adachi S.</t>
  </si>
  <si>
    <t>Rinsho Ketsueki. 2014 Dec;55(12):2418-22. doi: 10.11406/rinketsu.55.2418.</t>
  </si>
  <si>
    <t>Human herpesvirus-6 infection in renal allografts: retrospective immunohistochemical study in Japanese recipients</t>
  </si>
  <si>
    <t>Hoshino K, Nishi T, Adachi H, Ito H, Fukuda Y, Dohi K, Kurata T.</t>
  </si>
  <si>
    <t>Transpl Int. 1995;8(3):169-73. doi: 10.1007/BF00336532.</t>
  </si>
  <si>
    <t>Cytomegalovirus and human herpesvirus-6 in sudden infant death syndrome: an in situ hybridization study</t>
  </si>
  <si>
    <t>Coumbe A, Fox JD, Briggs M, Tedder RS, Berry CL.</t>
  </si>
  <si>
    <t>Pediatr Pathol. 1990;10(4):483-90. doi: 10.3109/15513819009067137.</t>
  </si>
  <si>
    <t>Pediatr Pathol</t>
  </si>
  <si>
    <t>[Correlation between human herpesvirus 6 activation and acute graft-versus-host disease after allogeneic hematopoietic stem cell transplantation]</t>
  </si>
  <si>
    <t>Zhonghua Xue Ye Xue Za Zhi. 2006 Aug;27(8):507-10.</t>
  </si>
  <si>
    <t>Chronic infection of human umbilical vein endothelial cells by human herpesvirus-6</t>
  </si>
  <si>
    <t>Wu CA, Shanley JD.</t>
  </si>
  <si>
    <t>J Gen Virol. 1998 May;79 ( Pt 5):1247-56. doi: 10.1099/0022-1317-79-5-1247.</t>
  </si>
  <si>
    <t>A reverse transcription-nested PCR assay for HHV-6 mRNA early transcript detection after transplantation</t>
  </si>
  <si>
    <t>Pradeau K, Bordessoule D, Szelag JC, Rolle F, Ferrat P, Le Meur Y, Turlure P, Denis F, Ranger-Rogez S.</t>
  </si>
  <si>
    <t>J Virol Methods. 2006 Jun;134(1-2):41-7. doi: 10.1016/j.jviromet.2005.11.015. Epub 2006 Jan 18.</t>
  </si>
  <si>
    <t>Evidence for putative immediate early antigens in human herpesvirus 6-infected cells</t>
  </si>
  <si>
    <t>Eizuru Y, Minamishima Y.</t>
  </si>
  <si>
    <t>J Gen Virol. 1992 Aug;73 ( Pt 8):2161-5. doi: 10.1099/0022-1317-73-8-2161.</t>
  </si>
  <si>
    <t>Role of human herpesvirus 6 infection in infants with exanthema subitum</t>
  </si>
  <si>
    <t>Yoshiyama H, Suzuki E, Yoshida T, Kajii T, Yamamoto N.</t>
  </si>
  <si>
    <t>Pediatr Infect Dis J. 1990 Feb;9(2):71-4. doi: 10.1097/00006454-199002000-00001.</t>
  </si>
  <si>
    <t>Replication of human herpesvirus type 6 (strain AJ) in JJHan cells grown in protein-free medium</t>
  </si>
  <si>
    <t>Cinatl J Jr, Cinatl J, Weber B, Rabenau H, Gümbel HO, Kornhuber B, Doerr HW.</t>
  </si>
  <si>
    <t>Res Virol. 1995 Mar-Apr;146(2):125-9. doi: 10.1016/0923-2516(96)81081-8.</t>
  </si>
  <si>
    <t>Enhancement of TAT-induced transactivation of the HIV-1 LTR by two genomic fragments of HHV-6</t>
  </si>
  <si>
    <t>Garzino-Demo A, Chen M, Lusso P, Berneman Z, DiPaolo JA.</t>
  </si>
  <si>
    <t>J Med Virol. 1996 Sep;50(1):20-4. doi: 10.1002/(SICI)1096-9071(199609)50:1&lt;20::AID-JMV5&gt;3.0.CO;2-V.</t>
  </si>
  <si>
    <t>Human herpesvirus 6 infection in patients with exanthema after allogeneic bone marrow transplantation</t>
  </si>
  <si>
    <t>Le Cleach L, Joberty C, Fillet AM, Sutton L, Cordonnier C, Francès C, Agut H, Chosidow O.</t>
  </si>
  <si>
    <t>Arch Dermatol. 1998 Jun;134(6):759-60. doi: 10.1001/archderm.134.6.759.</t>
  </si>
  <si>
    <t>Arch Dermatol</t>
  </si>
  <si>
    <t>Human herpes virus-6 increases HIV-1 expression in co-infected T cells via nuclear factors binding to the HIV-1 enhancer</t>
  </si>
  <si>
    <t>Ensoli B, Lusso P, Schachter F, Josephs SF, Rappaport J, Negro F, Gallo RC, Wong-Staal F.</t>
  </si>
  <si>
    <t>EMBO J. 1989 Oct;8(10):3019-27. doi: 10.1002/j.1460-2075.1989.tb08452.x.</t>
  </si>
  <si>
    <t>EMBO J</t>
  </si>
  <si>
    <t>PMC401379</t>
  </si>
  <si>
    <t>Selection of a monoclonal antibody specific for variant B human herpesvirus 6-infected mononuclear cells</t>
  </si>
  <si>
    <t>Foà-Tomasi L, Avitabile E, Campadelli-Fiume G.</t>
  </si>
  <si>
    <t>J Virol Methods. 1995 Feb;51(2-3):289-96. doi: 10.1016/0166-0934(94)00120-6.</t>
  </si>
  <si>
    <t>A rapid monitoring system of human herpesviruses reactivation by LightCycler in stem cell transplantation</t>
  </si>
  <si>
    <t>Aritaki K, Ohyashiki JH, Suzuki A, Ojima T, Abe K, Shimizu N, Yamamoto K, Ohyashiki K, Hoshika A.</t>
  </si>
  <si>
    <t>Bone Marrow Transplant. 2001 Nov;28(10):975-80. doi: 10.1038/sj.bmt.1703266.</t>
  </si>
  <si>
    <t>Human herpesvirus 6 infection mimicking juvenile myelomonocytic leukemia in an infant</t>
  </si>
  <si>
    <t>Lorenzana A, Lyons H, Sawaf H, Higgins M, Carrigan D, Emanuel PD.</t>
  </si>
  <si>
    <t>J Pediatr Hematol Oncol. 2002 Feb;24(2):136-41. doi: 10.1097/00043426-200202000-00016.</t>
  </si>
  <si>
    <t>Human herpesvirus 6: relevance of infection in the immunocompromised host</t>
  </si>
  <si>
    <t>Clark DA, Griffiths PD.</t>
  </si>
  <si>
    <t>Br J Haematol. 2003 Feb;120(3):384-95. doi: 10.1046/j.1365-2141.2003.04048.x.</t>
  </si>
  <si>
    <t>Enhancement of human herpesvirus 6 replication in adult human lymphocytes by monoclonal antibody to CD3</t>
  </si>
  <si>
    <t>Kikuta H, Lu H, Tomizawa K, Matsumoto S.</t>
  </si>
  <si>
    <t>J Infect Dis. 1990 Jun;161(6):1085-7. doi: 10.1093/infdis/161.6.1085.</t>
  </si>
  <si>
    <t>Frequent detection of human herpesvirus 6 DNA in peripheral blood mononuclear cells from kidney transplant patients</t>
  </si>
  <si>
    <t>Kikuta H, Itami N, Matsumoto S, Chikaraishi T, Togashi M.</t>
  </si>
  <si>
    <t>J Infect Dis. 1991 Apr;163(4):925. doi: 10.1093/infdis/163.4.925.</t>
  </si>
  <si>
    <t>In vitro activity evaluation of Parkia pendula seed lectin against human cytomegalovirus and herpes virus 6</t>
  </si>
  <si>
    <t>Favacho AR, Cintra EA, Coelho LC, Linhares MI.</t>
  </si>
  <si>
    <t>Biologicals. 2007 Jun;35(3):189-94. doi: 10.1016/j.biologicals.2006.09.005. Epub 2007 Jan 23.</t>
  </si>
  <si>
    <t>Biologicals</t>
  </si>
  <si>
    <t>Identification of a transactivating function mapping to the putative immediate-early locus of human herpesvirus 6</t>
  </si>
  <si>
    <t>Martin ME, Nicholas J, Thomson BJ, Newman C, Honess RW.</t>
  </si>
  <si>
    <t>J Virol. 1991 Oct;65(10):5381-90. doi: 10.1128/JVI.65.10.5381-5390.1991.</t>
  </si>
  <si>
    <t>PMC249019</t>
  </si>
  <si>
    <t>Successful treatment of an HHV6B-induced diarrhea with ganciclovir in a patient after PBSCT</t>
  </si>
  <si>
    <t>Neumann T, Krüger WH, Zimmermann K, Kiefer T, Schüler F, Dölken G.</t>
  </si>
  <si>
    <t>Bone Marrow Transplant. 2009 Jan;43(1):87-8. doi: 10.1038/bmt.2008.272. Epub 2008 Sep 1.</t>
  </si>
  <si>
    <t>Severe encephalitis in a haematopoietic stem cell transplant recipient caused by reactivation of human herpesvirus 6 and 7</t>
  </si>
  <si>
    <t>Holden SR, Vas AL.</t>
  </si>
  <si>
    <t>J Clin Virol. 2007 Nov;40(3):245-7. doi: 10.1016/j.jcv.2007.08.011. Epub 2007 Oct 2.</t>
  </si>
  <si>
    <t>[Heart transplantation complicated with human herpesvirus 6 infection]</t>
  </si>
  <si>
    <t>Guan M, Lu S.</t>
  </si>
  <si>
    <t>Zhonghua Shi Yan He Lin Chuang Bing Du Xue Za Zhi. 1997 Mar;11(1):21-3.</t>
  </si>
  <si>
    <t>Zhonghua Shi Yan He Lin Chuang Bing Du Xue Za Zhi</t>
  </si>
  <si>
    <t>[HHV-6 and drug-induced hypersensitivity syndrome]</t>
  </si>
  <si>
    <t>Tohyama M, Hashimoto K.</t>
  </si>
  <si>
    <t>Nihon Rinsho. 2006 Mar;64 Suppl 3:476-9.</t>
  </si>
  <si>
    <t>The human herpesvirus 6 U100 gene product is the third component of the gH-gL glycoprotein complex on the viral envelope</t>
  </si>
  <si>
    <t>Mori Y, Akkapaiboon P, Yang X, Yamanishi K.</t>
  </si>
  <si>
    <t>J Virol. 2003 Feb;77(4):2452-8. doi: 10.1128/jvi.77.4.2452-2458.2003.</t>
  </si>
  <si>
    <t>PMC141122</t>
  </si>
  <si>
    <t>[Application of human herpesvirus (HHV)-6 and HHV-7 to the gene therapy vectors]</t>
  </si>
  <si>
    <t>Kondo K.</t>
  </si>
  <si>
    <t>Nihon Rinsho. 2006 Mar;64 Suppl 3:518-22.</t>
  </si>
  <si>
    <t>Identification of an 85 kDa phosphoprotein as an immunodominant protein specific for human herpesvirus 7-infected cells</t>
  </si>
  <si>
    <t>Foà-Tomasi L, Fiorilli MP, Avitabile E, Campadelli-Fiume G.</t>
  </si>
  <si>
    <t>J Gen Virol. 1996 Mar;77 ( Pt 3):511-8. doi: 10.1099/0022-1317-77-3-511.</t>
  </si>
  <si>
    <t>Interleukin-2 inhibits the replication of human herpesvirus-6 in mature thymocytes</t>
  </si>
  <si>
    <t>Roffman E, Frenkel N.</t>
  </si>
  <si>
    <t>Virology. 1990 Apr;175(2):591-4. doi: 10.1016/0042-6822(90)90447-y.</t>
  </si>
  <si>
    <t>Nine-year follow-up in a child with chromosomal integration of human herpesvirus 6 transmitted from an unrelated donor through the Japan Marrow Donor Program</t>
  </si>
  <si>
    <t>Yagasaki H, Shichino H, Shimizu N, Ohye T, Kurahashi H, Yoshikawa T, Takahashi S.</t>
  </si>
  <si>
    <t>Transpl Infect Dis. 2015 Feb;17(1):160-1. doi: 10.1111/tid.12338. Epub 2015 Jan 9.</t>
  </si>
  <si>
    <t>Human herpesvirus 6B infection of the large intestine of patients with diarrhea</t>
  </si>
  <si>
    <t>Amo K, Tanaka-Taya K, Inagi R, Miyagawa H, Miyoshi H, Okusu I, Sashihara J, Hara J, Nakayama M, Yamanishi K, Okada S.</t>
  </si>
  <si>
    <t>Clin Infect Dis. 2003 Jan 1;36(1):120-3. doi: 10.1086/345464. Epub 2002 Dec 12.</t>
  </si>
  <si>
    <t>Cellular and growth-factor requirements for the replication of human herpesvirus 6 in primary lymphocyte cultures</t>
  </si>
  <si>
    <t>Frenkel N, Roffman E, Schirmer EC, Katsafanas G, Wyatt LS, June CH.</t>
  </si>
  <si>
    <t>Adv Exp Med Biol. 1990;278:1-8. doi: 10.1007/978-1-4684-5853-4_1.</t>
  </si>
  <si>
    <t>Adv Exp Med Biol</t>
  </si>
  <si>
    <t>Possible reactivation of chromosomally integrated human herpesvirus 6 after treatment with histone deacetylase inhibitor</t>
  </si>
  <si>
    <t>Politikos I, McMasters M, Bryke C, Avigan D, Boussiotis VA.</t>
  </si>
  <si>
    <t>Blood Adv. 2018 Jun 26;2(12):1367-1370. doi: 10.1182/bloodadvances.2018015982.</t>
  </si>
  <si>
    <t>PMC6020801</t>
  </si>
  <si>
    <t>Human herpesvirus 6 variant A infection in renal transplant recipient</t>
  </si>
  <si>
    <t>Deborska-Materkowska D, Sadowska A, Wesolowska A, Perkowska-Ptasinska A, Durlik M.</t>
  </si>
  <si>
    <t>Nephrol Dial Transplant. 2005 Oct;20(10):2294. doi: 10.1093/ndt/gfh992. Epub 2005 Jul 19.</t>
  </si>
  <si>
    <t>Nephrol Dial Transplant</t>
  </si>
  <si>
    <t>Four cases of human herpesvirus 6 variant B infection after pediatric liver transplantation</t>
  </si>
  <si>
    <t>Yoshikawa T, Ihira M, Furukawa H, Suga S, Asonuma K, Tanaka K, Asano Y.</t>
  </si>
  <si>
    <t>Transplantation. 1998 May 15;65(9):1266-9. doi: 10.1097/00007890-199805150-00021.</t>
  </si>
  <si>
    <t>Human herpesvirus 6 harbouring in kidney</t>
  </si>
  <si>
    <t>Asano Y, Yoshikawa T, Suga S, Yazaki T, Hirabayashi S, Ono Y, Tsuzuki K, Oshima S.</t>
  </si>
  <si>
    <t>Lancet. 1989 Dec 9;2(8676):1391. doi: 10.1016/s0140-6736(89)91993-4.</t>
  </si>
  <si>
    <t>Recognition of a novel stage of betaherpesvirus latency in human herpesvirus 6</t>
  </si>
  <si>
    <t>Kondo K, Sashihara J, Shimada K, Takemoto M, Amo K, Miyagawa H, Yamanishi K.</t>
  </si>
  <si>
    <t>J Virol. 2003 Feb;77(3):2258-64. doi: 10.1128/jvi.77.3.2258-2264.2003.</t>
  </si>
  <si>
    <t>PMC140895</t>
  </si>
  <si>
    <t>(3-[4,5-dimethylthiazol-2-yl]-2,5-diphenyltetrazolium bromide) assays showed a lack of toxicity of ganciclovir (GCV), C.OXTs, and their derivatives, to TaY(OK) cells at 1 microM. Therefore we compared the antiviral potencies of these drugs at 1 microM by monitoring the viral loads produced during a 1-day period during the course of the drug treatment. Among the drugs tested, 3'-fluorocarbocyclic oxetanocin A (3'F-C.OXT-A) was the most effective for inhibiting the virus production, and at concentrations ranging from 0.5 microM to 10 microM, the inhibition of the viral production was dose-dependent. A comparison of the chemical structures of the derivatives with that of C.OXT-A, which is the parental molecule, suggested that the 3'-fluorine-modification might account for the higher anti-HHV-6 activity and lower cytotoxicity</t>
  </si>
  <si>
    <t>Wang P, Abe K, Ojima T, Ohyashiki JH, Satoh H, Maruyama T, Nagata H, Tanaka H, Yamamoto K.</t>
  </si>
  <si>
    <t>Microbiol Immunol. 2001;45(6):457-66. doi: 10.1111/j.1348-0421.2001.tb02645.x.</t>
  </si>
  <si>
    <t>Human herpesvirus 6: diagnosis of active infection</t>
  </si>
  <si>
    <t>Am Clin Lab. 2000 Aug;19(7):12.</t>
  </si>
  <si>
    <t>Am Clin Lab</t>
  </si>
  <si>
    <t>Physicochemical characterization of human herpesvirus 6 infectivity</t>
  </si>
  <si>
    <t>Shiraki K, Mukai T, Okuno T, Yamanishi K, Takahashi M.</t>
  </si>
  <si>
    <t>J Gen Virol. 1991 Jan;72 ( Pt 1):169-72. doi: 10.1099/0022-1317-72-1-169.</t>
  </si>
  <si>
    <t>Long-term follow-up of human herpes virus 6 infection in autologous bone marrow transplant recipients</t>
  </si>
  <si>
    <t>Galieni P, Moschettini D, Donati D, Tozzi M, Valensin PE, Lauria F.</t>
  </si>
  <si>
    <t>Haematologica. 2001 Jul;86(7):782-3.</t>
  </si>
  <si>
    <t>[Comparative biology of human herpesviruses 6 and 7]</t>
  </si>
  <si>
    <t>Uirusu. 1998 Jun;48(1):39-44. doi: 10.2222/jsv.48.39.</t>
  </si>
  <si>
    <t>[Fulminant hepatitis caused by herpes virus 6 in immunocompetent adults]</t>
  </si>
  <si>
    <t>Arribas Anta J, Zaera de la Fuente C, Graus Morales J, López Durán S, Cañete Ruiz Á, Gea Rodríguez F, Albillos Martínez A.</t>
  </si>
  <si>
    <t>Gastroenterol Hepatol. 2016 Oct;39(8):533-4. doi: 10.1016/j.gastrohep.2015.09.003. Epub 2015 Nov 17.</t>
  </si>
  <si>
    <t>Gastroenterol Hepatol</t>
  </si>
  <si>
    <t>Human herpesvirus 6 genome integration: a possible cause of misdiagnosis of active viral infection?</t>
  </si>
  <si>
    <t>Boutolleau D, Agut H, Gautheret-Dejean A.</t>
  </si>
  <si>
    <t>J Infect Dis. 2006 Oct 1;194(7):1019-20; author reply 1021-3. doi: 10.1086/506951.</t>
  </si>
  <si>
    <t>Chromosomally integrated human herpesvirus 6: transmission via cord blood-derived unrelated hematopoietic stem cell transplantation</t>
  </si>
  <si>
    <t>de Pagter PJ, Virgili A, Nacheva E, van Baarle D, Schuurman R, Boelens JJ.</t>
  </si>
  <si>
    <t>Biol Blood Marrow Transplant. 2010 Jan;16(1):130-2. doi: 10.1016/j.bbmt.2009.05.009. Epub 2009 Jul 8.</t>
  </si>
  <si>
    <t>Antiviral activity in vitro of Kutapressin against human herpesvirus-6</t>
  </si>
  <si>
    <t>Ablashi DV, Berneman ZN, Lawyer C, Kramarsky B, Ferguson DM, Komaroff AL.</t>
  </si>
  <si>
    <t>In Vivo. 1994 Jul-Aug;8(4):581-6.</t>
  </si>
  <si>
    <t>[Isolation of human herpes virus 6 from peripheral blood of renal transplant recipients]</t>
  </si>
  <si>
    <t>Yang Y, Zang M, Meng S.</t>
  </si>
  <si>
    <t>Zhonghua Wai Ke Za Zhi. 1997 Aug;35(8):499-500.</t>
  </si>
  <si>
    <t>Zhonghua Wai Ke Za Zhi</t>
  </si>
  <si>
    <t>[A new virus: the human herpesvirus 6]</t>
  </si>
  <si>
    <t>Agut H, Aubin JT.</t>
  </si>
  <si>
    <t>Rev Prat. 1994 Apr 1;44(7):871-4.</t>
  </si>
  <si>
    <t>Rev Prat</t>
  </si>
  <si>
    <t>Characterization of human herpesvirus 6 genomes from cases of latent infection in human lymphomas and immune disorders</t>
  </si>
  <si>
    <t>Luppi M, Barozzi P, Marasca R, Ceccherini-Nelli L, Torelli G.</t>
  </si>
  <si>
    <t>J Infect Dis. 1993 Oct;168(4):1074-5. doi: 10.1093/infdis/168.4.1074.</t>
  </si>
  <si>
    <t>Human herpesvirus 6 infection after solid organ transplantation</t>
  </si>
  <si>
    <t>Bakran A, Hart IJ.</t>
  </si>
  <si>
    <t>Transplantation. 2009 Sep 27;88(6):757-8. doi: 10.1097/TP.0b013e3181b4452b.</t>
  </si>
  <si>
    <t>Putative site for the acquisition of human herpesvirus 6 virion tegument</t>
  </si>
  <si>
    <t>Roffman E, Albert JP, Goff JP, Frenkel N.</t>
  </si>
  <si>
    <t>J Virol. 1990 Dec;64(12):6308-13. doi: 10.1128/JVI.64.12.6308-6313.1990.</t>
  </si>
  <si>
    <t>PMC248811</t>
  </si>
  <si>
    <t>Disappearance of pre-existing high HHV-6 DNA load in blood after allogeneic SCT</t>
  </si>
  <si>
    <t>Hubacek P, Hyncicova K, Muzikova K, Cinek O, Zajac M, Sedlacek P.</t>
  </si>
  <si>
    <t>Bone Marrow Transplant. 2007 Oct;40(8):805-6. doi: 10.1038/sj.bmt.1705813. Epub 2007 Aug 20.</t>
  </si>
  <si>
    <t>Primary human herpesvirus 6 infection in an adult</t>
  </si>
  <si>
    <t>Schmidt CA, Wilborn FF, Siegert W.</t>
  </si>
  <si>
    <t>N Engl J Med. 1993 Dec 9;329(24):1818; author reply 1818-9.</t>
  </si>
  <si>
    <t>[Use of lightcycler PCR to monitor viral infections in hematologic disorders]</t>
  </si>
  <si>
    <t>Ohyashiki J.</t>
  </si>
  <si>
    <t>Rinsho Ketsueki. 2001 Jun;42(6):468-71.</t>
  </si>
  <si>
    <t>Progressive immunodeficiency and fatal pneumonitis associated with human herpesvirus 6 infection in an infant</t>
  </si>
  <si>
    <t>Knox KK, Pietryga D, Harrington DJ, Franciosi R, Carrigan DR.</t>
  </si>
  <si>
    <t>Clin Infect Dis. 1995 Feb;20(2):406-13. doi: 10.1093/clinids/20.2.406.</t>
  </si>
  <si>
    <t>Viral glycoproteins accumulate in newly formed annulate lamellae following infection of lymphoid cells by human herpesvirus 6</t>
  </si>
  <si>
    <t>Cardinali G, Gentile M, Cirone M, Zompetta C, Frati L, Faggioni A, Torrisi MR.</t>
  </si>
  <si>
    <t>J Virol. 1998 Dec;72(12):9738-46. doi: 10.1128/JVI.72.12.9738-9746.1998.</t>
  </si>
  <si>
    <t>PMC110484</t>
  </si>
  <si>
    <t>Human herpesvirus 6 does not enhance human T cell lymphotropic virus type I (HTLV-I) expression in the HTLV-I-transformed cell line MT4</t>
  </si>
  <si>
    <t>Cao W, Sullivan C.</t>
  </si>
  <si>
    <t>J Infect Dis. 1992 Aug;166(2):446-7. doi: 10.1093/infdis/166.2.446.</t>
  </si>
  <si>
    <t>Simultaneous monitoring by real-time polymerase chain reaction of epstein-barr virus, human cytomegalovirus, and human herpesvirus-6 in juvenile and adult liver transplant recipients</t>
  </si>
  <si>
    <t>Ono Y, Ito Y, Kaneko K, Shibata-Watanabe Y, Tainaka T, Sumida W, Nakamura T, Kamei H, Kiuchi T, Ando H, Kimura H.</t>
  </si>
  <si>
    <t>Transplant Proc. 2008 Dec;40(10):3578-82. doi: 10.1016/j.transproceed.2008.05.082.</t>
  </si>
  <si>
    <t>Monitoring of human herpesviruses after allogeneic peripheral blood stem cell transplantation and bone marrow transplantation</t>
  </si>
  <si>
    <t>Maeda Y, Teshima T, Yamada M, Shinagawa K, Nakao S, Ohno Y, Kojima K, Hara M, Nagafuji K, Hayashi S, Fukuda S, Sawada H, Matsue K, Takenaka K, Ishimaru F, Ikeda K, Niiya K, Harada M.</t>
  </si>
  <si>
    <t>Br J Haematol. 1999 Apr;105(1):295-302.</t>
  </si>
  <si>
    <t>Human herpesvirus 7 is a T-lymphotropic virus and is related to, but significantly different from, human herpesvirus 6 and human cytomegalovirus</t>
  </si>
  <si>
    <t>Berneman ZN, Ablashi DV, Li G, Eger-Fletcher M, Reitz MS Jr, Hung CL, Brus I, Komaroff AL, Gallo RC.</t>
  </si>
  <si>
    <t>Proc Natl Acad Sci U S A. 1992 Nov 1;89(21):10552-6. doi: 10.1073/pnas.89.21.10552.</t>
  </si>
  <si>
    <t>PMC50377</t>
  </si>
  <si>
    <t>HHV-6 antigen and HHV-6 DNA expression in sporadic adenomatous polyps of the colon</t>
  </si>
  <si>
    <t>Halme L, Loginov R, Arola J, Turunen U, Lautenschlager I.</t>
  </si>
  <si>
    <t>Scand J Gastroenterol. 2013 Dec;48(12):1423-7. doi: 10.3109/00365521.2013.843200. Epub 2013 Oct 8.</t>
  </si>
  <si>
    <t>Scand J Gastroenterol</t>
  </si>
  <si>
    <t>Reactivation of herpesvirus type 6 in children receiving bone marrow transplants for leukemia</t>
  </si>
  <si>
    <t>Asano Y, Yoshikawa T, Suga S, Nakashima T, Yazaki T, Fukuda M, Kojima S, Matsuyama T.</t>
  </si>
  <si>
    <t>N Engl J Med. 1991 Feb 28;324(9):634-5. doi: 10.1056/NEJM199102283240915.</t>
  </si>
  <si>
    <t>Human herpes virus 6 reactivation following autologous hematopoietic cell transplantation - a single-center experience</t>
  </si>
  <si>
    <t>Shargian-Alon L, Yahav D, Rozovski U, Dovrat S, Amitai I, Sela-Navon M, Pasvolsky O, Raanani P, Yeshurun M.</t>
  </si>
  <si>
    <t>Leuk Lymphoma. 2019 Sep;60(9):2230-2236. doi: 10.1080/10428194.2019.1576869. Epub 2019 Feb 18.</t>
  </si>
  <si>
    <t>Detection of human herpesvirus-6, Epstein-Barr virus and cytomegalovirus in formalin-fixed tissues from sudden infant death: a study with quantitative real-time PCR</t>
  </si>
  <si>
    <t>Alvarez-Lafuente R, Aguilera B, Suárez-Mier MA, Morentin B, Vallejo G, Gómez J, Fernández-Rodríguez A.</t>
  </si>
  <si>
    <t>Forensic Sci Int. 2008 Jul 4;178(2-3):106-11. doi: 10.1016/j.forsciint.2008.02.007.</t>
  </si>
  <si>
    <t>Forensic Sci Int</t>
  </si>
  <si>
    <t>Human herpesvirus 6 infections after liver transplantation</t>
  </si>
  <si>
    <t>Abdel Massih RC, Razonable RR.</t>
  </si>
  <si>
    <t>World J Gastroenterol. 2009 Jun 7;15(21):2561-9. doi: 10.3748/wjg.15.2561.</t>
  </si>
  <si>
    <t>World J Gastroenterol</t>
  </si>
  <si>
    <t>PMC2691485</t>
  </si>
  <si>
    <t>An ATF/CREB site is the major regulatory element in the human herpesvirus 6 DNA polymerase promoter</t>
  </si>
  <si>
    <t>Agulnick AD, Thompson JR, Ricciardi RP.</t>
  </si>
  <si>
    <t>J Virol. 1994 May;68(5):2970-7. doi: 10.1128/JVI.68.5.2970-2977.1994.</t>
  </si>
  <si>
    <t>PMC236786</t>
  </si>
  <si>
    <t>HHV-6 reactivation as a cause of fever in autologous hematopoietic stem cell transplant recipients: A reply</t>
  </si>
  <si>
    <t>J Infect. 2018 Jan;76(1):101-102. doi: 10.1016/j.jinf.2017.07.011. Epub 2017 Aug 4.</t>
  </si>
  <si>
    <t>Antiviral therapy for the treatment of HHV-6-associated syndromes after transplant</t>
  </si>
  <si>
    <t>Ogata M, Phan TL, Fukuda T.</t>
  </si>
  <si>
    <t>Am J Transplant. 2019 Jan;19(1):306-307. doi: 10.1111/ajt.15069. Epub 2018 Sep 12.</t>
  </si>
  <si>
    <t>Analysis of the shedding of three β-herpesviruses DNA in Polish patients subjected to allogeneic hematopoietic stem cell transplantation: Six-year follow up</t>
  </si>
  <si>
    <t>Dzieciatkowski T, Tomaszewska A, Przybylski M, Rusicka P, Basak GW, Jedrzejczak WW, Wroblewska M, Halaburda K.</t>
  </si>
  <si>
    <t>J Clin Virol. 2016 Mar;76:30-5. doi: 10.1016/j.jcv.2016.01.005. Epub 2016 Jan 12.</t>
  </si>
  <si>
    <t>Human herpesvirus-6 as an inducer of porphyria cutanea tarda: implications from a case</t>
  </si>
  <si>
    <t>Weber T, Theurich S, Christopeit M, Klapperstueck T, Behre G.</t>
  </si>
  <si>
    <t>Transpl Infect Dis. 2010 Oct;12(5):432-6. doi: 10.1111/j.1399-3062.2010.00511.x.</t>
  </si>
  <si>
    <t>Peripheral CD5+ CD10+ B-cell proliferation with atypical morphology attributable to human herpesvirus 6 infection following umbilical cord blood transplantation</t>
  </si>
  <si>
    <t>Canali A, Rieu JB, Bain BJ.</t>
  </si>
  <si>
    <t>Am J Hematol. 2022 Nov;97(11):1489-1490. doi: 10.1002/ajh.26655. Epub 2022 Jul 15.</t>
  </si>
  <si>
    <t>PMC9795973</t>
  </si>
  <si>
    <t>Clinical correlates of infection with human herpesvirus-6</t>
  </si>
  <si>
    <t>Krueger GR, Klueppelberg U, Hoffmann A, Ablashi DV.</t>
  </si>
  <si>
    <t>In Vivo. 1994 Jul-Aug;8(4):457-85.</t>
  </si>
  <si>
    <t>Detection of beta-herpesviruses in allogenic stem cell recipients by quantitative real-time PCR</t>
  </si>
  <si>
    <t>Sassenscheidt J, Rohayem J, Illmer T, Bandt D.</t>
  </si>
  <si>
    <t>J Virol Methods. 2006 Dec;138(1-2):40-8. doi: 10.1016/j.jviromet.2006.07.015. Epub 2006 Sep 7.</t>
  </si>
  <si>
    <t>Trafficking to the plasma membrane of the seven-transmembrane protein encoded by human herpesvirus 6 U51 gene involves a cell-specific function present in T lymphocytes</t>
  </si>
  <si>
    <t>Menotti L, Mirandola P, Locati M, Campadelli-Fiume G.</t>
  </si>
  <si>
    <t>J Virol. 1999 Jan;73(1):325-33. doi: 10.1128/JVI.73.1.325-333.1999.</t>
  </si>
  <si>
    <t>PMC103837</t>
  </si>
  <si>
    <t>Primary infection of human herpesvirus-6 in an infant who received cord blood SCT</t>
  </si>
  <si>
    <t>Muramatsu H, Watanabe N, Matsumoto K, Ito M, Yoshikawa T, Kato K, Kojima S.</t>
  </si>
  <si>
    <t>Bone Marrow Transplant. 2009 Jan;43(1):83-4. doi: 10.1038/bmt.2008.268. Epub 2008 Sep 1.</t>
  </si>
  <si>
    <t>Human herpesvirus 6 infection of human epidermal cell line: pathogenesis of skin manifestations</t>
  </si>
  <si>
    <t>Yoshikawa T, Goshima F, Akimoto S, Ozaki T, Iwasaki T, Kurata T, Asano Y, Nishiyama Y.</t>
  </si>
  <si>
    <t>J Med Virol. 2003 Sep;71(1):62-8. doi: 10.1002/jmv.10461.</t>
  </si>
  <si>
    <t>HHV-6-related secondary graft failure following allogeneic bone marrow transplantation</t>
  </si>
  <si>
    <t>Johnston RE, Geretti AM, Prentice HG, Clark AD, Wheeler AC, Potter M, Griffiths PD.</t>
  </si>
  <si>
    <t>Br J Haematol. 1999 Jun;105(4):1041-3. doi: 10.1046/j.1365-2141.1999.01443.x.</t>
  </si>
  <si>
    <t>[Thrombocytopenic purpura associated with primary human herpesvirus-6 infection]</t>
  </si>
  <si>
    <t>Saijo M, Yamamoto M, Saijo H, Fujiyasu H, Takimoto M.</t>
  </si>
  <si>
    <t>Kansenshogaku Zasshi. 1995 Mar;69(3):316-9. doi: 10.11150/kansenshogakuzasshi1970.69.316.</t>
  </si>
  <si>
    <t>Kansenshogaku Zasshi</t>
  </si>
  <si>
    <t>Human herpesvirus 6 major immediate early promoter has strong activity in T cells and is useful for heterologous gene expression</t>
  </si>
  <si>
    <t>Matsuura M, Takemoto M, Yamanishi K, Mori Y.</t>
  </si>
  <si>
    <t>Virol J. 2011 Jan 11;8:9. doi: 10.1186/1743-422X-8-9.</t>
  </si>
  <si>
    <t>PMC3024959</t>
  </si>
  <si>
    <t>Human herpesvirus (HHV)-6 and HHV-7 infections in pregnant women</t>
  </si>
  <si>
    <t>Caserta MT, Hall CB, Schnabel K, Lofthus G, McDermott MP.</t>
  </si>
  <si>
    <t>J Infect Dis. 2007 Nov 1;196(9):1296-303. doi: 10.1086/522430. Epub 2007 Oct 1.</t>
  </si>
  <si>
    <t>Development of a human herpesvirus 6 species-specific immunoblotting assay</t>
  </si>
  <si>
    <t>Higashimoto Y, Ohta A, Nishiyama Y, Ihira M, Sugata K, Asano Y, Peterson DL, Ablashi DV, Lusso P, Yoshikawa T.</t>
  </si>
  <si>
    <t>J Clin Microbiol. 2012 Apr;50(4):1245-51. doi: 10.1128/JCM.05834-11. Epub 2012 Jan 25.</t>
  </si>
  <si>
    <t>PMC3318559</t>
  </si>
  <si>
    <t>Appleton AL, Sviland L.</t>
  </si>
  <si>
    <t>Human herpesvirus 6 infection in transplantation</t>
  </si>
  <si>
    <t>Yoshikawa T.</t>
  </si>
  <si>
    <t>Nagoya J Med Sci. 2001 May;64(1-2):11-8.</t>
  </si>
  <si>
    <t>Nagoya J Med Sci</t>
  </si>
  <si>
    <t>Subclinical infection of the respiratory tract of immunocompromised patients by human herpesvirus-6</t>
  </si>
  <si>
    <t>Ragona G, Angeloni A, Farina A, Faggioni A, Frati L, Calogero A, Gentile G, Martino P, Arcese W, Mandelli F.</t>
  </si>
  <si>
    <t>Blood. 1995 Jan 1;85(1):295-6.</t>
  </si>
  <si>
    <t>Human herpesvirus 6: infection and disease following autologous and allogeneic bone marrow transplantation</t>
  </si>
  <si>
    <t>Kadakia MP, Rybka WB, Stewart JA, Patton JL, Stamey FR, Elsawy M, Pellett PE, Armstrong JA.</t>
  </si>
  <si>
    <t>Blood. 1996 Jun 15;87(12):5341-54.</t>
  </si>
  <si>
    <t>Advanced Deep Learning Human Herpes Virus 6 (HHV-6) Molecular Detection in Understanding Human Infertility</t>
  </si>
  <si>
    <t>Alazzam MB, Al-Radaideh AT, Binsaif N, AlGhamdi AS, Rahman MA.</t>
  </si>
  <si>
    <t>Comput Intell Neurosci. 2022 Jan 7;2022:1422963. doi: 10.1155/2022/1422963. eCollection 2022.</t>
  </si>
  <si>
    <t>Comput Intell Neurosci</t>
  </si>
  <si>
    <t>PMC8759839</t>
  </si>
  <si>
    <t>Detection of human herpesviruses HHV-6, HHV-7 and HHV-8 in whole blood by real-time PCR using the new CMV, HHV-6, 7, 8 R-gene kit</t>
  </si>
  <si>
    <t>Deback C, Agbalika F, Scieux C, Marcelin AG, Gautheret-Dejean A, Cherot J, Hermet L, Roger O, Agut H.</t>
  </si>
  <si>
    <t>J Virol Methods. 2008 May;149(2):285-91. doi: 10.1016/j.jviromet.2008.01.026. Epub 2008 Mar 10.</t>
  </si>
  <si>
    <t>Polymorphonuclear leukocytes mainly contribute to human herpesvirus-6 load in the peripheral blood of patients</t>
  </si>
  <si>
    <t>Palleau S, Boutolleau D, Bonnafous P, Agut H, Gautheret-Dejean A.</t>
  </si>
  <si>
    <t>Clin Infect Dis. 2006 May 1;42(9):1342-3. doi: 10.1086/503303.</t>
  </si>
  <si>
    <t>Kinetics and clinical significance of human herpesvirus 6 DNA shedding in saliva after allogeneic hematopoietic stem cell transplantation</t>
  </si>
  <si>
    <t>Ogata M, Kawano R, Satou T, Takata H, Yoshida N, Honda S, Nagamatsu K, Takano K, Kohno K, Kirihara T, Sato K, Hiroshima Y, Sumi M, Kurihara T, Takeda W, Ueki T, Kobayashi H.</t>
  </si>
  <si>
    <t>Transpl Infect Dis. 2021 Jun;23(3):e13512. doi: 10.1111/tid.13512. Epub 2020 Dec 2.</t>
  </si>
  <si>
    <t>Polyvalent and monoclonal antibodies identify major immunogenic proteins specific for human herpesvirus 7-infected cells and have weak cross-reactivity with human herpesvirus 6</t>
  </si>
  <si>
    <t>Foà-Tomasi L, Avitabile E, Ke L, Campadelli-Fiume G.</t>
  </si>
  <si>
    <t>J Gen Virol. 1994 Oct;75 ( Pt 10):2719-27. doi: 10.1099/0022-1317-75-10-2719.</t>
  </si>
  <si>
    <t>Human herpes virus 6 fatal encephalitis in a bone marrow recipient</t>
  </si>
  <si>
    <t>De Almeida Rodrigues G, Nagendra S, Lee CK, De Magalhães-Silverman M.</t>
  </si>
  <si>
    <t>Scand J Infect Dis. 1999;31(3):313-5. doi: 10.1080/00365549950163644.</t>
  </si>
  <si>
    <t>Scand J Infect Dis</t>
  </si>
  <si>
    <t>Human Herpesvirus 6A and 6B inhibit in vitro angiogenesis by induction of Human Leukocyte Antigen G</t>
  </si>
  <si>
    <t>Rizzo R, D'Accolti M, Bortolotti D, Caccuri F, Caruso A, Di Luca D, Caselli E.</t>
  </si>
  <si>
    <t>Sci Rep. 2018 Dec 6;8(1):17683. doi: 10.1038/s41598-018-36146-0.</t>
  </si>
  <si>
    <t>PMC6283866</t>
  </si>
  <si>
    <t>Kaposi's sarcoma-associated herpesvirus vFLIP and human T cell lymphotropic virus type 1 Tax oncogenic proteins activate IkappaB kinase subunit gamma by different mechanisms independent of the physiological cytokine-induced pathways</t>
  </si>
  <si>
    <t>Shimizu A, Baratchian M, Takeuchi Y, Escors D, Macdonald D, Barrett T, Bagneris C, Collins M, Noursadeghi M.</t>
  </si>
  <si>
    <t>J Virol. 2011 Jul;85(14):7444-8. doi: 10.1128/JVI.02337-10. Epub 2011 May 18.</t>
  </si>
  <si>
    <t>PMC3126584</t>
  </si>
  <si>
    <t>Transmission of chromosomally integrated human herpes virus-6A via haploidentical stem cell transplantation poses a risk for virus reactivation and associated complications</t>
  </si>
  <si>
    <t>Oevermann L, Zimmermann C, Voigt S, Künkele A, Lobitz S, Eggert A, Schulte JH, Kaufer BB, Deubzer HE.</t>
  </si>
  <si>
    <t>Bone Marrow Transplant. 2020 Jan;55(1):260-264. doi: 10.1038/s41409-019-0530-4. Epub 2019 Apr 15.</t>
  </si>
  <si>
    <t>Real-time PCR for quantification of human herpesvirus 6 DNA from lymph nodes and saliva</t>
  </si>
  <si>
    <t>Collot S, Petit B, Bordessoule D, Alain S, Touati M, Denis F, Ranger-Rogez S.</t>
  </si>
  <si>
    <t>J Clin Microbiol. 2002 Jul;40(7):2445-51. doi: 10.1128/JCM.40.7.2445-2451.2002.</t>
  </si>
  <si>
    <t>PMC120581</t>
  </si>
  <si>
    <t>Human herpesviruses 6 and 7</t>
  </si>
  <si>
    <t>Jackson MA, Sommerauer JF.</t>
  </si>
  <si>
    <t>Pediatr Infect Dis J. 2002 Jun;21(6):565-6. doi: 10.1097/00006454-200206000-00016.</t>
  </si>
  <si>
    <t>Human Herpes Virus 6 Detection in Children With Suspected Central Nervous System Infection</t>
  </si>
  <si>
    <t>Cosme I, Ramírez MA, Peñata CA, Beltrán-Arroyave C, Florez ID.</t>
  </si>
  <si>
    <t>Pediatr Infect Dis J. 2020 Dec;39(12):e469-e471. doi: 10.1097/INF.0000000000002896.</t>
  </si>
  <si>
    <t>Herpesvirus-6 encephalitis complicated by Wernicke-Korsakoff syndrome in a pediatric recipient of unrelated cord blood transplantation</t>
  </si>
  <si>
    <t>Carvajal E, Verdeguer A, Fernández JM, Cañete A, Castel V.</t>
  </si>
  <si>
    <t>J Pediatr Hematol Oncol. 2001 Dec;23(9):626-8. doi: 10.1097/00043426-200112000-00016.</t>
  </si>
  <si>
    <t>[Recurrent episodes of hypothermia as a sequela of human herpesvirus 6 encephalitis following cord blood transplantation for acute myeloid leukemia]</t>
  </si>
  <si>
    <t>Sakoh T, Taya Y, Hirayama T, Oba Y, Mitsuki T, Nishida A, Ishiwata K, Watanabe C, Wake A.</t>
  </si>
  <si>
    <t>Rinsho Ketsueki. 2020;61(3):274-279. doi: 10.11406/rinketsu.61.274.</t>
  </si>
  <si>
    <t>Down-regulation of CXCR4 by human herpesvirus 6 (HHV-6) and HHV-7</t>
  </si>
  <si>
    <t>Yasukawa M, Hasegawa A, Sakai I, Ohminami H, Arai J, Kaneko S, Yakushijin Y, Maeyama K, Nakashima H, Arakaki R, Fujita S.</t>
  </si>
  <si>
    <t>J Immunol. 1999 May 1;162(9):5417-22.</t>
  </si>
  <si>
    <t>Human herpesvirus 6 reactivation is associated with cytomegalovirus infection and syndromes in kidney transplant recipients at risk for primary cytomegalovirus infection</t>
  </si>
  <si>
    <t>DesJardin JA, Gibbons L, Cho E, Supran SE, Falagas ME, Werner BG, Snydman DR.</t>
  </si>
  <si>
    <t>J Infect Dis. 1998 Dec;178(6):1783-6. doi: 10.1086/314510.</t>
  </si>
  <si>
    <t>First analysis of human herpesvirus 6T-cell responses: specific boosting after HHV6 reactivation in stem cell transplantation recipients</t>
  </si>
  <si>
    <t>de Pagter AP, Boelens JJ, Scherrenburg J, Vroom-de Blank T, Tesselaar K, Nanlohy N, Sanders EA, Schuurman R, van Baarle D.</t>
  </si>
  <si>
    <t>Clin Immunol. 2012 Sep;144(3):179-89. doi: 10.1016/j.clim.2012.06.006. Epub 2012 Jun 30.</t>
  </si>
  <si>
    <t>Seroprevalence of human herpesvirus 6 and 7 infections in the Thai population</t>
  </si>
  <si>
    <t>Kositanont U, Wasi C, Ekpatcha N, Poomchart A, Likanonsakul S, Suphanip I, Balachandra K, Yamanishi K.</t>
  </si>
  <si>
    <t>Asian Pac J Allergy Immunol. 1995 Dec;13(2):151-7.</t>
  </si>
  <si>
    <t>Asian Pac J Allergy Immunol</t>
  </si>
  <si>
    <t>Detection of human herpesvirus 6 in plasma of children with primary infection and immunosuppressed patients by polymerase chain reaction</t>
  </si>
  <si>
    <t>Secchiero P, Carrigan DR, Asano Y, Benedetti L, Crowley RW, Komaroff AL, Gallo RC, Lusso P.</t>
  </si>
  <si>
    <t>J Infect Dis. 1995 Feb;171(2):273-80. doi: 10.1093/infdis/171.2.273.</t>
  </si>
  <si>
    <t>[Infection by human herpesvirus type 6 (HHV-6) and renal transplantation]</t>
  </si>
  <si>
    <t>Merlino C, Sinesi F, Messina M, Giacchino F, Negro Ponzi A.</t>
  </si>
  <si>
    <t>Minerva Urol Nefrol. 1992 Apr-Jun;44(2):147-53.</t>
  </si>
  <si>
    <t>Minerva Urol Nefrol</t>
  </si>
  <si>
    <t>Characterization of a new strain of HHV-6 (HHV-6SF) recovered from the saliva of an HIV-infected individual</t>
  </si>
  <si>
    <t>Levy JA, Ferro F, Lennette ET, Oshiro L, Poulin L.</t>
  </si>
  <si>
    <t>Virology. 1990 Sep;178(1):113-21. doi: 10.1016/0042-6822(90)90384-4.</t>
  </si>
  <si>
    <t>A method for detection of HHV-6 antigens and its use for evaluating antiviral drugs</t>
  </si>
  <si>
    <t>Yoshida M, Yamada M, Chatterjee S, Lakeman F, Nii S, Whitley RJ.</t>
  </si>
  <si>
    <t>J Virol Methods. 1996 Apr 26;58(1-2):137-43. doi: 10.1016/0166-0934(95)02002-0.</t>
  </si>
  <si>
    <t>Effects of Prophylactic Foscarnet on Human Herpesvirus-6 Reactivation and Encephalitis in Cord Blood Transplant Recipients: A Prospective Multicenter Trial with an Historical Control Group</t>
  </si>
  <si>
    <t>Ogata M, Takano K, Moriuchi Y, Kondo T, Ueki T, Nakano N, Mori T, Uoshima N, Nagafuji K, Yamasaki S, Shibasaki Y, Sakai R, Kato K, Choi I, Jo Y, Eto T, Kako S, Oshima K, Fukuda T.</t>
  </si>
  <si>
    <t>Biol Blood Marrow Transplant. 2018 Jun;24(6):1264-1273. doi: 10.1016/j.bbmt.2018.02.008. Epub 2018 Feb 15.</t>
  </si>
  <si>
    <t>Fatal primary infection due to human herpesvirus 6 variant A in a renal transplant recipient</t>
  </si>
  <si>
    <t>Rossi C, Delforge ML, Jacobs F, Wissing M, Pradier O, Remmelink M, Byl B, Thys JP, Liesnard C.</t>
  </si>
  <si>
    <t>Transplantation. 2001 Jan 27;71(2):288-92. doi: 10.1097/00007890-200101270-00021.</t>
  </si>
  <si>
    <t>Human herpesvirus 6 DNA in exanthematous skin in BMT patient</t>
  </si>
  <si>
    <t>Michel D, Müller S, Wörz S, Michel M, Hampl W, Metzger C, Friedrich W, Mertens T.</t>
  </si>
  <si>
    <t>Lancet. 1994 Sep 3;344(8923):686. doi: 10.1016/s0140-6736(94)92121-0.</t>
  </si>
  <si>
    <t>Human Herpesvirus-6 Reactivation and Acute Graft-versus-Host Disease</t>
  </si>
  <si>
    <t>Rashidi A, Said B, Ebadi M, Weisdorf DJ.</t>
  </si>
  <si>
    <t>Biol Blood Marrow Transplant. 2018 Nov;24(11):e5-e6. doi: 10.1016/j.bbmt.2018.07.027. Epub 2018 Jul 23.</t>
  </si>
  <si>
    <t>Human herpesvirus 6B immediate-early I protein contains functional HLA-A*02, HLA-A*03, and HLA-B*07 class I restricted CD8(+) T-cell epitopes</t>
  </si>
  <si>
    <t>Iampietro M, Morissette G, Gravel A, Dubuc I, Rousseau M, Hasan A, O'Reilly RJ, Flamand L.</t>
  </si>
  <si>
    <t>Eur J Immunol. 2014 Dec;44(12):3573-84. doi: 10.1002/eji.201444931. Epub 2014 Oct 29.</t>
  </si>
  <si>
    <t>Presence and expression of human herpesvirus 6 in peripheral blood mononuclear cells of S100-positive, T cell chronic lymphoproliferative disease</t>
  </si>
  <si>
    <t>Braun DK, Pellett PE, Hanson CA.</t>
  </si>
  <si>
    <t>J Infect Dis. 1995 May;171(5):1351-5. doi: 10.1093/infdis/171.5.1351.</t>
  </si>
  <si>
    <t>Semi-quantitative in situ hybridization and immunohistology for antigen expression of human herpesvirus-6 in various lymphoproliferative diseases</t>
  </si>
  <si>
    <t>Rojo J, Ferrer Argote VE, Klueppelberg U, Krueger GR, Eidt E, Ablashi DV, Luka J, Tesch H.</t>
  </si>
  <si>
    <t>In Vivo. 1994 Jul-Aug;8(4):517-26.</t>
  </si>
  <si>
    <t>Estimating immunoregulatory gene networks in human herpesvirus type 6-infected T cells</t>
  </si>
  <si>
    <t>Takaku T, Ohyashiki JH, Zhang Y, Ohyashiki K.</t>
  </si>
  <si>
    <t>Biochem Biophys Res Commun. 2005 Oct 21;336(2):469-77. doi: 10.1016/j.bbrc.2005.08.104.</t>
  </si>
  <si>
    <t>Identification of CD4 and H-2K(d)-restricted cytotoxic T lymphocyte epitopes on the human herpesvirus 6B glycoprotein Q1 protein</t>
  </si>
  <si>
    <t>Nagamata S, Aoshi T, Kawabata A, Yamagishi Y, Nishimura M, Kuwabara S, Murakami K, Yamada H, Mori Y.</t>
  </si>
  <si>
    <t>Sci Rep. 2019 Mar 7;9(1):3911. doi: 10.1038/s41598-019-40372-5.</t>
  </si>
  <si>
    <t>PMC6405833</t>
  </si>
  <si>
    <t>Emerging viruses in transplantation</t>
  </si>
  <si>
    <t>Kumar D.</t>
  </si>
  <si>
    <t>Curr Opin Infect Dis. 2010 Aug;23(4):374-8. doi: 10.1097/QCO.0b013e32833bc19d.</t>
  </si>
  <si>
    <t>Human herpes virus 6 antibodies in beta-thalassemia/hemoglobin E pediatric patients</t>
  </si>
  <si>
    <t>Bhattarakosol P, Wiwanitkit V, Boonchalermvichian C, Nuchprayoon I.</t>
  </si>
  <si>
    <t>Southeast Asian J Trop Med Public Health. 2002;33 Suppl 3:149-51.</t>
  </si>
  <si>
    <t>Southeast Asian J Trop Med Public Health</t>
  </si>
  <si>
    <t>Risk of transmission of herpesviruses through cord blood transplantation</t>
  </si>
  <si>
    <t>Weinberg A, Enomoto L, Li S, Shen D, Coll J, Shpall EJ.</t>
  </si>
  <si>
    <t>Biol Blood Marrow Transplant. 2005 Jan;11(1):35-8. doi: 10.1016/j.bbmt.2004.09.005.</t>
  </si>
  <si>
    <t>Coinfection of SCID-hu Thy/Liv mice with human herpesvirus 6 and human immunodeficiency virus type 1</t>
  </si>
  <si>
    <t>Gobbi A, Stoddart CA, Locatelli G, Santoro F, Bare C, Linquist-Stepps V, Moreno ME, Abbey NW, Herndier BG, Malnati MS, McCune JM, Lusso P.</t>
  </si>
  <si>
    <t>J Virol. 2000 Sep;74(18):8726-31. doi: 10.1128/jvi.74.18.8726-8731.2000.</t>
  </si>
  <si>
    <t>PMC116384</t>
  </si>
  <si>
    <t>Lethal human herpesvirus-6 encephalitis after cord blood transplant</t>
  </si>
  <si>
    <t>Forest F, Duband S, Pillet S, Stachowicz ML, Cornillon J, Dumollard JM, Peoc'h M.</t>
  </si>
  <si>
    <t>Transpl Infect Dis. 2011 Dec;13(6):646-9. doi: 10.1111/j.1399-3062.2011.00642.x. Epub 2011 Aug 31.</t>
  </si>
  <si>
    <t>trans-activation of the HIV promoter by a cDNA and its genomic clones of human herpesvirus-6</t>
  </si>
  <si>
    <t>Zhou Y, Chang CK, Qian G, Chandran B, Wood C.</t>
  </si>
  <si>
    <t>Virology. 1994 Mar;199(2):311-22. doi: 10.1006/viro.1994.1129.</t>
  </si>
  <si>
    <t>Human herpesvirus 6 myelitis after chimeric antigen receptor T-cell therapy</t>
  </si>
  <si>
    <t>Handley G, Khawaja F, Kondapi DS, Lee HJ, Kaufman GP, Neelapu SS, Fayad LE, Tummala S, Chi L, Strati P, Mulanovich VE.</t>
  </si>
  <si>
    <t>Int J Infect Dis. 2021 Nov;112:327-329. doi: 10.1016/j.ijid.2021.09.061. Epub 2021 Sep 29.</t>
  </si>
  <si>
    <t>A chronic illness characterized by fatigue, neurologic and immunologic disorders, and active human herpesvirus type 6 infection</t>
  </si>
  <si>
    <t>Buchwald D, Cheney PR, Peterson DL, Henry B, Wormsley SB, Geiger A, Ablashi DV, Salahuddin SZ, Saxinger C, Biddle R, Kikinis R, Jolesz FA, Folks T, Balachandran N, Peter JB, Gallo RC, Komaroff AL.</t>
  </si>
  <si>
    <t>Ann Intern Med. 1992 Jan 15;116(2):103-13. doi: 10.7326/0003-4819-116-2-103.</t>
  </si>
  <si>
    <t>Evaluation of a commercial enzyme-linked immunosorbent assay for detection of serum immunoglobulin G response to human herpesvirus 6</t>
  </si>
  <si>
    <t>Sloots TP, Kapeleris JP, Mackay IM, Batham M, Devine PL.</t>
  </si>
  <si>
    <t>J Clin Microbiol. 1996 Mar;34(3):675-9. doi: 10.1128/jcm.34.3.675-679.1996.</t>
  </si>
  <si>
    <t>PMC228868</t>
  </si>
  <si>
    <t>Human herpes virus 6 encephalomyelitis after bone marrow transplantation: report of an autopsy case</t>
  </si>
  <si>
    <t>Shintaku M, Kaneda D, Tada K, Katano H, Sata T.</t>
  </si>
  <si>
    <t>Neuropathology. 2010 Feb 1;30(1):50-5. doi: 10.1111/j.1440-1789.2009.01020.x. Epub 2009 Apr 26.</t>
  </si>
  <si>
    <t>Neuropathology</t>
  </si>
  <si>
    <t>Human Herpesvirus 6B Downregulates Expression of Activating Ligands during Lytic Infection To Escape Elimination by Natural Killer Cells</t>
  </si>
  <si>
    <t>Schmiedel D, Tai J, Levi-Schaffer F, Dovrat S, Mandelboim O.</t>
  </si>
  <si>
    <t>J Virol. 2016 Oct 14;90(21):9608-9617. doi: 10.1128/JVI.01164-16. Print 2016 Nov 1.</t>
  </si>
  <si>
    <t>PMC5068514</t>
  </si>
  <si>
    <t>Pathogenic effects of human herpesvirus 6 in human lymphoid tissue ex vivo</t>
  </si>
  <si>
    <t>Grivel JC, Santoro F, Chen S, Fagá G, Malnati MS, Ito Y, Margolis L, Lusso P.</t>
  </si>
  <si>
    <t>J Virol. 2003 Aug;77(15):8280-9. doi: 10.1128/jvi.77.15.8280-8289.2003.</t>
  </si>
  <si>
    <t>PMC165251</t>
  </si>
  <si>
    <t>Human herpesvirus 6 and human herpesvirus 7 infections in renal transplant recipients and healthy adults in Turkey</t>
  </si>
  <si>
    <t>Yalcin S, Karpuzoglu T, Suleymanlar G, Mutlu G, Mukai T, Yamamoto T, Isegawa Y, Yamanishi K.</t>
  </si>
  <si>
    <t>Arch Virol. 1994;136(1-2):183-90. doi: 10.1007/BF01538827.</t>
  </si>
  <si>
    <t>The effect of human herpesvirus 6B infection on the MAPK pathway</t>
  </si>
  <si>
    <t>Engdahl E, Niehusmann P, Fogdell-Hahn A.</t>
  </si>
  <si>
    <t>Virus Res. 2018 Sep 2;256:134-141. doi: 10.1016/j.virusres.2018.08.014. Epub 2018 Aug 18.</t>
  </si>
  <si>
    <t>Surveillance of active human herpesvirus 6 infection in chinese patients after hematopoietic stem cell transplantation with 3 different methods</t>
  </si>
  <si>
    <t>Int J Hematol. 2006 Oct;84(3):262-7. doi: 10.1532/IJH97.A10607.</t>
  </si>
  <si>
    <t>Development of virus-specific CD4+ and CD8+ regulatory T cells induced by human herpesvirus 6 infection</t>
  </si>
  <si>
    <t>Wang F, Chi J, Peng G, Zhou F, Wang J, Li L, Feng D, Xie F, Gu B, Qin J, Chen Y, Yao K.</t>
  </si>
  <si>
    <t>J Virol. 2014 Jan;88(2):1011-24. doi: 10.1128/JVI.02586-13. Epub 2013 Nov 6.</t>
  </si>
  <si>
    <t>PMC3911638</t>
  </si>
  <si>
    <t>High levels of human herpesvirus 6 DNA in peripheral blood leucocytes are correlated to platelet engraftment and disease in allogeneic stem cell transplant patients</t>
  </si>
  <si>
    <t>Ljungman P, Wang FZ, Clark DA, Emery VC, Remberger M, Ringdén O, Linde A.</t>
  </si>
  <si>
    <t>Br J Haematol. 2000 Dec;111(3):774-81.</t>
  </si>
  <si>
    <t>HHV-6 and septic shock: Tenuous proof of causation</t>
  </si>
  <si>
    <t>Epstein DJ, Tan SK, Deresinski S.</t>
  </si>
  <si>
    <t>Am J Transplant. 2019 Jan;19(1):303. doi: 10.1111/ajt.14983. Epub 2018 Jul 27.</t>
  </si>
  <si>
    <t>A case of HHV-6 associated acute necrotizing encephalopathy with increase of CD56bright NKcells</t>
  </si>
  <si>
    <t>Kubo T, Sato K, Kobayashi D, Motegi A, Kobayashi O, Takeshita S, Nonoyama S.</t>
  </si>
  <si>
    <t>Scand J Infect Dis. 2006;38(11-12):1122-5. doi: 10.1080/00365540600740520.</t>
  </si>
  <si>
    <t>[Persistent/latent infection of human beta-herpesvirus]</t>
  </si>
  <si>
    <t>Nihon Rinsho. 1998 Jan;56(1):83-9.</t>
  </si>
  <si>
    <t>Use of amplicon-6 vectors derived from human herpesvirus 6 for efficient expression of membrane-associated and -secreted proteins in T cells</t>
  </si>
  <si>
    <t>Borenstein R, Singer O, Moseri A, Frenkel N.</t>
  </si>
  <si>
    <t>J Virol. 2004 May;78(9):4730-43. doi: 10.1128/jvi.78.9.4730-4743.2004.</t>
  </si>
  <si>
    <t>PMC387683</t>
  </si>
  <si>
    <t>Apoptosis of CD4+ T lymphocytes in human herpesvirus-6 infection</t>
  </si>
  <si>
    <t>Yasukawa M, Inoue Y, Ohminami H, Terada K, Fujita S.</t>
  </si>
  <si>
    <t>J Gen Virol. 1998 Jan;79 ( Pt 1):143-7. doi: 10.1099/0022-1317-79-1-143.</t>
  </si>
  <si>
    <t>Multiple sclerosis: an example of pathogenic viral interaction?</t>
  </si>
  <si>
    <t>Fierz W.</t>
  </si>
  <si>
    <t>Virol J. 2017 Feb 28;14(1):42. doi: 10.1186/s12985-017-0719-3.</t>
  </si>
  <si>
    <t>PMC5330019</t>
  </si>
  <si>
    <t>Chronic myelosuppression associated with persistent bone marrow infection due to human herpesvirus 6 in a bone marrow transplant recipient</t>
  </si>
  <si>
    <t>Clin Infect Dis. 1996 Jan;22(1):174-5. doi: 10.1093/clinids/22.1.174.</t>
  </si>
  <si>
    <t>Human herpes virus-6 encephalitis in a paediatric bone marrow recipient: successful treatment with pharmacokinetic monitoring and high doses of ganciclovir</t>
  </si>
  <si>
    <t>Janoly-Duménil A, Galambrun C, Basset T, Mialou V, Bertrand Y, Bleyzac N.</t>
  </si>
  <si>
    <t>Bone Marrow Transplant. 2006 Dec;38(11):769-70. doi: 10.1038/sj.bmt.1705518. Epub 2006 Oct 2.</t>
  </si>
  <si>
    <t>Dynamics of chronic active herpesvirus-6 infection in patients with chronic fatigue syndrome: data acquisition for computer modeling</t>
  </si>
  <si>
    <t>Krueger GR, Koch B, Hoffmann A, Rojo J, Brandt ME, Wang G, Buja LM.</t>
  </si>
  <si>
    <t>In Vivo. 2001 Nov-Dec;15(6):461-5.</t>
  </si>
  <si>
    <t>Induction of T-cell apoptosis by human herpesvirus 6</t>
  </si>
  <si>
    <t>Inoue Y, Yasukawa M, Fujita S.</t>
  </si>
  <si>
    <t>J Virol. 1997 May;71(5):3751-9. doi: 10.1128/JVI.71.5.3751-3759.1997.</t>
  </si>
  <si>
    <t>PMC191525</t>
  </si>
  <si>
    <t>Efficient identification of inherited chromosomally integrated human herpesvirus 6 using specimen pooling</t>
  </si>
  <si>
    <t>Hill JA, HallSedlak R, Magaret A, Huang ML, Zerr DM, Jerome KR, Boeckh M.</t>
  </si>
  <si>
    <t>J Clin Virol. 2016 Apr;77:71-6. doi: 10.1016/j.jcv.2016.02.016. Epub 2016 Feb 20.</t>
  </si>
  <si>
    <t>PMC4792650</t>
  </si>
  <si>
    <t>NIHMS765732</t>
  </si>
  <si>
    <t>Simultaneous monitoring of CMV and human herpesvirus 6 infections and diseases in liver transplant patients: one-year follow-up</t>
  </si>
  <si>
    <t>Costa FA, Soki MN, Andrade PD, Bonon SH, Thomasini RL, Sampaio AM, Ramos Mde C, Rossi CL, Cavalcanti TC, Boin Ide F, Leonard M, Leonard LS, Stucchi RB, Costa SC.</t>
  </si>
  <si>
    <t>Clinics (Sao Paulo). 2011;66(6):949-53. doi: 10.1590/s1807-59322011000600005.</t>
  </si>
  <si>
    <t>Clinics (Sao Paulo)</t>
  </si>
  <si>
    <t>PMC3129965</t>
  </si>
  <si>
    <t>In a human lymphomyeloid progenitor cell line (KG-1) HIV-1 gp120 binds to chemokine-receptors CXC-R4 and CCR5, only in the presence of CD4</t>
  </si>
  <si>
    <t>Re MC, Vignoli M, Furlini G, Ramazzotti E, Maldini C, La Placa M.</t>
  </si>
  <si>
    <t>New Microbiol. 1999 Oct;22(4):365-8.</t>
  </si>
  <si>
    <t>Relationship among human herpesvirus 6 reactivation, serum interleukin 10 levels, and rash/graft-versus-host disease after allogeneic stem cell transplantation</t>
  </si>
  <si>
    <t>Kitamura K, Asada H, Iida H, Fukumoto T, Kobayashi N, Niizeki H, Morii T, Kimura H, Miyagawa S.</t>
  </si>
  <si>
    <t>J Am Acad Dermatol. 2008 May;58(5):802-9. doi: 10.1016/j.jaad.2008.01.005. Epub 2008 Mar 25.</t>
  </si>
  <si>
    <t>A Murine Herpesvirus Closely Related to Ubiquitous Human Herpesviruses Causes T-Cell Depletion</t>
  </si>
  <si>
    <t>Patel SJ, Zhao G, Penna VR, Park E, Lauron EJ, Harvey IB, Beatty WL, Plougastel-Douglas B, Poursine-Laurent J, Fremont DH, Wang D, Yokoyama WM.</t>
  </si>
  <si>
    <t>J Virol. 2017 Apr 13;91(9):e02463-16. doi: 10.1128/JVI.02463-16. Print 2017 May 1.</t>
  </si>
  <si>
    <t>PMC5391440</t>
  </si>
  <si>
    <t>Correlations of human herpesvirus 6B and CMV infection with acute GVHD in recipients of allogeneic haematopoietic stem cell transplantation</t>
  </si>
  <si>
    <t>Bone Marrow Transplant. 2008 Nov;42(10):673-7. doi: 10.1038/bmt.2008.238. Epub 2008 Aug 11.</t>
  </si>
  <si>
    <t>[Isolation of human herpesvirus type 6 in the blood of patients receiving a renal transplant]</t>
  </si>
  <si>
    <t>Reina J, Gascó J, Bestard X, Ballesteros F.</t>
  </si>
  <si>
    <t>Rev Clin Esp. 2000 Nov;200(11):644-5. doi: 10.1016/s0014-2565(00)70032-4.</t>
  </si>
  <si>
    <t>Rev Clin Esp</t>
  </si>
  <si>
    <t>Endonuclease analyses of DNA of human herpesvirus-6 isolated from blood before and after bone marrow transplantation</t>
  </si>
  <si>
    <t>Yoshikawa T, Nakashima T, Asano Y, Suga S, Yazaki T, Kojima S, Mukai T, Yamanishi K.</t>
  </si>
  <si>
    <t>J Med Virol. 1992 Jul;37(3):228-31. doi: 10.1002/jmv.1890370314.</t>
  </si>
  <si>
    <t>Variant B human herpesvirus-6 associated febrile dermatosis with thrombocytopenia and encephalopathy in a liver transplant recipient</t>
  </si>
  <si>
    <t>Singh N, Carrigan DR, Gayowski T, Singh J, Marino IR.</t>
  </si>
  <si>
    <t>Transplantation. 1995 Dec 15;60(11):1355-7.</t>
  </si>
  <si>
    <t>Human herpesvirus 6 (HHV-6)-associated pleurisy after unrelated cord blood transplantation in children with chemotherapy-resistant malignant Lymphoma</t>
  </si>
  <si>
    <t>Suminoe A, Matsuzaki A, Koga Y, Kusuhara K, Hara T.</t>
  </si>
  <si>
    <t>J Pediatr Hematol Oncol. 2007 Oct;29(10):709-12. doi: 10.1097/MPH.0b013e318142b50d.</t>
  </si>
  <si>
    <t>A journey with T cells, primate/human retroviruses and other persisting human T-cell tropic viruses</t>
  </si>
  <si>
    <t>Gallo RC.</t>
  </si>
  <si>
    <t>Rev Clin Exp Hematol. 2003 Dec;7(4):329-35.</t>
  </si>
  <si>
    <t>Rev Clin Exp Hematol</t>
  </si>
  <si>
    <t>Novel, nonconsensus cellular splicing regulates expression of a gene encoding a chemokine-like protein that shows high variation and is specific for human herpesvirus 6</t>
  </si>
  <si>
    <t>French C, Menegazzi P, Nicholson L, Macaulay H, DiLuca D, Gompels UA.</t>
  </si>
  <si>
    <t>Virology. 1999 Sep 15;262(1):139-51. doi: 10.1006/viro.1999.9875.</t>
  </si>
  <si>
    <t>Myelitis associated with human herpes virus 6 (HHV-6) after allogeneic cord blood transplantation</t>
  </si>
  <si>
    <t>Mori T, Mihara A, Yamazaki R, Shimizu T, Aisa Y, Suzuki S, Ikeda Y, Okamoto S.</t>
  </si>
  <si>
    <t>Scand J Infect Dis. 2007;39(3):276-8. doi: 10.1080/00365540600904803.</t>
  </si>
  <si>
    <t>[Incidence and relationship of human cytomegalovirus infection and human herpesvirus 6 infection in pediatric patients after hemopoietic stem cell transplantation]</t>
  </si>
  <si>
    <t>Lv DY, Qin MQ, Wang Y, Gao LW, Xie ZD.</t>
  </si>
  <si>
    <t>Zhonghua Shi Yan He Lin Chuang Bing Du Xue Za Zhi. 2010 Dec;24(6):455-7.</t>
  </si>
  <si>
    <t>Lymphomatoid papulosis and human herpesviruses--A PCR-based evaluation for the presence of human herpesvirus 6, 7 and 8 related herpesviruses</t>
  </si>
  <si>
    <t>Kempf W, Kadin ME, Kutzner H, Lord CL, Burg G, Letvin NL, Koralnik IJ.</t>
  </si>
  <si>
    <t>J Cutan Pathol. 2001 Jan;28(1):29-33. doi: 10.1034/j.1600-0560.2001.280103.x.</t>
  </si>
  <si>
    <t>J Cutan Pathol</t>
  </si>
  <si>
    <t>Human herpesvirus 6 (HHV-6) reactivation and HHV-6 encephalitis after allogeneic hematopoietic cell transplantation: a multicenter, prospective study</t>
  </si>
  <si>
    <t>Ogata M, Satou T, Kadota J, Saito N, Yoshida T, Okumura H, Ueki T, Nagafuji K, Kako S, Uoshima N, Tsudo M, Itamura H, Fukuda T.</t>
  </si>
  <si>
    <t>Clin Infect Dis. 2013 Sep;57(5):671-81. doi: 10.1093/cid/cit358. Epub 2013 May 30.</t>
  </si>
  <si>
    <t>Need for a better characterization of HHV-6 infections and associated clinical impacts</t>
  </si>
  <si>
    <t>Bonnafous P, Marlet J, Gaudy-Graffin C, Gautheret-Dejean A.</t>
  </si>
  <si>
    <t>Am J Transplant. 2019 Jan;19(1):304-305. doi: 10.1111/ajt.15013. Epub 2018 Aug 1.</t>
  </si>
  <si>
    <t>Human herpesvirus 6 reactivation in unmanipulated haploidentical hematopoietic stem cell transplantation predicts the occurrence of grade II to IV acute graft-versus-host disease</t>
  </si>
  <si>
    <t>Han TT, Zhang YN, Sun YQ, Kong J, Wang FR, Wang ZD, Cheng YF, Yan CH, Wang Y, Xu LP, Zhang XH, Liu KY, Huang XJ, Zhao XS.</t>
  </si>
  <si>
    <t>Transpl Infect Dis. 2021 Jun;23(3):e13544. doi: 10.1111/tid.13544. Epub 2021 Jan 12.</t>
  </si>
  <si>
    <t>Demonstration of HHV-6 antigens in biopsies of kidney transplant recipients with cytomegalovirus infection</t>
  </si>
  <si>
    <t>Helanterä I, Loginov R, Koskinen P, Lautenschlager I.</t>
  </si>
  <si>
    <t>Transpl Int. 2008 Oct;21(10):980-4. doi: 10.1111/j.1432-2277.2008.00716.x. Epub 2008 Jun 28.</t>
  </si>
  <si>
    <t>Distinct effects of human herpesvirus 6 and human herpesvirus 7 on surface molecule expression and function of CD4+ T cells</t>
  </si>
  <si>
    <t>Furukawa M, Yasukawa M, Yakushijin Y, Fujita S.</t>
  </si>
  <si>
    <t>J Immunol. 1994 Jun 15;152(12):5768-75.</t>
  </si>
  <si>
    <t>Acute Liver Failure in an Adolescent Male Induced by Human Herpesvirus 6 (HHV-6): A Case Report With Literature Review</t>
  </si>
  <si>
    <t>Szewc AM, Taylor S, Cage GD, Jacobsen J, Bulut OP, de Mello DE.</t>
  </si>
  <si>
    <t>Lab Med. 2018 Mar 21;49(2):165-174. doi: 10.1093/labmed/lmx088.</t>
  </si>
  <si>
    <t>Lab Med</t>
  </si>
  <si>
    <t>Optic neuritis as an initial manifestation of human herpesvirus 6 reactivation after unrelated bone marrow transplantation</t>
  </si>
  <si>
    <t>Hino Y, Doki N, Sekiya N, Takaki Y, Ohashi K.</t>
  </si>
  <si>
    <t>Br J Haematol. 2016 Mar;172(5):654. doi: 10.1111/bjh.13826. Epub 2015 Nov 3.</t>
  </si>
  <si>
    <t>HHV-6 associated diseases are one of the major factors on higher early CNS complications in CB recipients than in those of BM/PBSC</t>
  </si>
  <si>
    <t>Kageyama K, Uchida N, Yamamoto H, Takagi S, Ebihara M, Yuasa M, Kaji D, Nishida A, Ishiwata K, Yamamoto G, Asano-Mori Y, Izutsu K, Wake A, Yoneyama A, Makino S, Taniguchi S.</t>
  </si>
  <si>
    <t>Bone Marrow Transplant. 2021 Mar;56(3):686-688. doi: 10.1038/s41409-020-01028-5. Epub 2020 Aug 11.</t>
  </si>
  <si>
    <t>[Frequency of detection of human herpesvirus type 6 DNA in patients of Public Independent Central Hospital in Warsaw in years 2003-2007]</t>
  </si>
  <si>
    <t>Dzieciatkowski T, Przybylski M, Kawecki D, Gieryńska M, Sulowska A, Torosian T, Luczak M, Jedrzejczak WW, Młynarczyk G.</t>
  </si>
  <si>
    <t>Przegl Epidemiol. 2009;63(1):35-8.</t>
  </si>
  <si>
    <t>Przegl Epidemiol</t>
  </si>
  <si>
    <t>Isolation of human herpesvirus-6 from clinical specimens using human fibroblast cultures</t>
  </si>
  <si>
    <t>Luka J, Okano M, Thiele G.</t>
  </si>
  <si>
    <t>J Clin Lab Anal. 1990;4(6):483-6. doi: 10.1002/jcla.1860040617.</t>
  </si>
  <si>
    <t>J Clin Lab Anal</t>
  </si>
  <si>
    <t>Simultaneous quantification of Epstein-Barr virus, cytomegalovirus, and human herpesvirus 6 DNA in samples from transplant recipients by multiplex real-time PCR assay</t>
  </si>
  <si>
    <t>Wada K, Kubota N, Ito Y, Yagasaki H, Kato K, Yoshikawa T, Ono Y, Ando H, Fujimoto Y, Kiuchi T, Kojima S, Nishiyama Y, Kimura H.</t>
  </si>
  <si>
    <t>J Clin Microbiol. 2007 May;45(5):1426-32. doi: 10.1128/JCM.01515-06. Epub 2007 Mar 21.</t>
  </si>
  <si>
    <t>PMC1865882</t>
  </si>
  <si>
    <t>[Human herpesvirus 6 encephalitis]</t>
  </si>
  <si>
    <t>Brain Nerve. 2010 Aug;62(8):869-75.</t>
  </si>
  <si>
    <t>Human herpesvirus 6 impairs differentiation of monocytes to dendritic cells</t>
  </si>
  <si>
    <t>Niiya H, Lei J, Guo Y, Azuma T, Yakushijin Y, Sakai I, Hato T, Tohyama M, Hashimoto K, Yasukawa M.</t>
  </si>
  <si>
    <t>Exp Hematol. 2006 May;34(5):642-53. doi: 10.1016/j.exphem.2006.02.001.</t>
  </si>
  <si>
    <t>Exp Hematol</t>
  </si>
  <si>
    <t>A complex interaction between drug allergy and viral infection</t>
  </si>
  <si>
    <t>Shiohara T, Kano Y.</t>
  </si>
  <si>
    <t>Clin Rev Allergy Immunol. 2007 Oct;33(1-2):124-33. doi: 10.1007/s12016-007-8010-9.</t>
  </si>
  <si>
    <t>Clin Rev Allergy Immunol</t>
  </si>
  <si>
    <t>Predominant Contribution of CD4 T Cells to Human Herpesvirus 6 (HHV-6) Load in the Peripheral Blood of Patients with Drug-induced Hypersensitivity Syndrome and Persistent HHV-6 Infection</t>
  </si>
  <si>
    <t>Miyagawa F, Nakamura Y, Ommori R, Miyashita K, Iioka H, Miyashita N, Nishikawa M, Himuro Y, Ogawa K, Asada H.</t>
  </si>
  <si>
    <t>Acta Derm Venereol. 2018 Jan 12;98(1):146-148. doi: 10.2340/00015555-2791.</t>
  </si>
  <si>
    <t>Acta Derm Venereol</t>
  </si>
  <si>
    <t>HHV-6 DNA in peripheral blood mononuclear cells after liver transplantation</t>
  </si>
  <si>
    <t>Loginov R, Härmä M, Halme L, Höckerstedt K, Lautenschlager I.</t>
  </si>
  <si>
    <t>J Clin Virol. 2006 Dec;37 Suppl 1:S76-81. doi: 10.1016/S1386-6532(06)70016-6.</t>
  </si>
  <si>
    <t>Human CD4+ T cell response to human herpesvirus 6</t>
  </si>
  <si>
    <t>Nastke MD, Becerra A, Yin L, Dominguez-Amorocho O, Gibson L, Stern LJ, Calvo-Calle JM.</t>
  </si>
  <si>
    <t>J Virol. 2012 May;86(9):4776-92. doi: 10.1128/JVI.06573-11. Epub 2012 Feb 22.</t>
  </si>
  <si>
    <t>PMC3347333</t>
  </si>
  <si>
    <t>Prevalence of HHV-6 integrated chromosomally among children treated for acute lymphoblastic or myeloid leukemia in the Czech Republic</t>
  </si>
  <si>
    <t>Hubacek P, Muzikova K, Hrdlickova A, Cinek O, Hyncicova K, Hrstkova H, Sedlacek P, Stary J.</t>
  </si>
  <si>
    <t>J Med Virol. 2009 Feb;81(2):258-63. doi: 10.1002/jmv.21371.</t>
  </si>
  <si>
    <t>"Cytomegalovirus disease" in renal allograft recipients: is human herpesvirus 7 a co-factor for disease progression?</t>
  </si>
  <si>
    <t>Osman HK, Peiris JS, Taylor CE, Warwicker P, Jarrett RF, Madeley CR.</t>
  </si>
  <si>
    <t>J Med Virol. 1996 Apr;48(4):295-301. doi: 10.1002/(SICI)1096-9071(199604)48:4&lt;295::AID-JMV1&gt;3.0.CO;2-2.</t>
  </si>
  <si>
    <t>[HHV-6, HHV-7 and the kidney]</t>
  </si>
  <si>
    <t>Gautheret-Dejean A.</t>
  </si>
  <si>
    <t>Nephrologie. 2001;22(6):309-11.</t>
  </si>
  <si>
    <t>Nephrologie</t>
  </si>
  <si>
    <t>Human herpesvirus 6 seronegativity before transplantation predicts the occurrence of fungal infection in liver transplant recipients</t>
  </si>
  <si>
    <t>Dockrell DH, Mendez JC, Jones M, Harmsen WS, Ilstrup DM, Smith TF, Wiesner RH, Krom RA, Paya CV.</t>
  </si>
  <si>
    <t>Transplantation. 1999 Feb 15;67(3):399-403. doi: 10.1097/00007890-199902150-00010.</t>
  </si>
  <si>
    <t>Clinical impact of human herpesvirus 6 infection after liver transplantation</t>
  </si>
  <si>
    <t>Humar A, Kumar D, Caliendo AM, Moussa G, Ashi-Sulaiman A, Levy G, Mazzulli T.</t>
  </si>
  <si>
    <t>Transplantation. 2002 Feb 27;73(4):599-604. doi: 10.1097/00007890-200202270-00021.</t>
  </si>
  <si>
    <t>Acute hepatitis with periportal confluent necrosis associated with human herpesvirus 6 infection in liver transplant patients</t>
  </si>
  <si>
    <t>Buyse S, Roque-Afonso AM, Vaghefi P, Gigou M, Dussaix E, Duclos-Vallée JC, Samuel D, Guettier C.</t>
  </si>
  <si>
    <t>Am J Clin Pathol. 2013 Sep;140(3):403-9. doi: 10.1309/AJCP0FWI2XAHECBJ.</t>
  </si>
  <si>
    <t>Am J Clin Pathol</t>
  </si>
  <si>
    <t>Guillain-Barré syndrome after human herpesvirus-6 reactivation in unrelated hematopoietic stem cell transplantation</t>
  </si>
  <si>
    <t>Piras E, Caocci G, Pisano V, Orrù F, Murgia F, Sanna M, Vacca A, La Nasa G.</t>
  </si>
  <si>
    <t>Leuk Lymphoma. 2013 Jun;54(6):1332-3. doi: 10.3109/10428194.2012.740560. Epub 2013 Mar 4.</t>
  </si>
  <si>
    <t>Human herpesvirus-6 acute limbic encephalitis after unrelated umbilical cord blood transplantation successfully treated with ganciclovir</t>
  </si>
  <si>
    <t>Camus V, Bouwyn JP, Chamseddine A, Lenain P, Ahtoy P, Stamatoullas A, Lanic H, Lemasle E, Contentin N, Cassuto O, Leprêtre S, Dubois S, Tilly H, Jardin F.</t>
  </si>
  <si>
    <t>Bone Marrow Transplant. 2015 Oct;50(10):1385-7. doi: 10.1038/bmt.2015.159. Epub 2015 Jul 6.</t>
  </si>
  <si>
    <t>beta-Herpesvirus (human cytomegalovirus and human herpesvirus 6) reactivation in at-risk lung transplant recipients and in human immunodeficiency virus-infected patients</t>
  </si>
  <si>
    <t>Michaelides A, Glare EM, Spelman DW, Wesselingh SL, Hoy JF, Mijch AM, Kotsimbos TC.</t>
  </si>
  <si>
    <t>J Infect Dis. 2002 Jul 15;186(2):173-80. doi: 10.1086/341456. Epub 2002 Jun 17.</t>
  </si>
  <si>
    <t>An Animal Model That Mimics Human Herpesvirus 6B Pathogenesis</t>
  </si>
  <si>
    <t>Wang B, Saito Y, Nishimura M, Ren Z, Tjan LH, Refaat A, Iida-Norita R, Tsukamoto R, Komatsu M, Itoh T, Matozaki T, Mori Y.</t>
  </si>
  <si>
    <t>J Virol. 2020 Feb 28;94(6):e01851-19. doi: 10.1128/JVI.01851-19. Print 2020 Feb 28.</t>
  </si>
  <si>
    <t>PMC7158738</t>
  </si>
  <si>
    <t>Human herpesvirus 6 DNA in skin biopsy tissue from marrow graft recipients with severe combined immunodeficiency</t>
  </si>
  <si>
    <t>Appleton AL, Peiris JS, Taylor CE, Sviland L, Cant AJ.</t>
  </si>
  <si>
    <t>Lancet. 1994 Nov 12;344(8933):1361-2. doi: 10.1016/s0140-6736(94)90718-8.</t>
  </si>
  <si>
    <t>HHV-6 encephalitis in a non-transplanted adult acute myeloid leukemia patient</t>
  </si>
  <si>
    <t>Voigt M, Sinn K, Malouhi A, Gecks T, Zinke J, Hilgendorf I, Scholl S, Hochhaus A, Schnetzke U.</t>
  </si>
  <si>
    <t>Ann Hematol. 2021 Jul;100(7):1895-1897. doi: 10.1007/s00277-021-04409-y. Epub 2021 Jan 14.</t>
  </si>
  <si>
    <t>PMC8195884</t>
  </si>
  <si>
    <t>Induction of apoptosis in cord blood lymphocytes by HHV-6</t>
  </si>
  <si>
    <t>Ichimi R, Jin-no T, Ito M.</t>
  </si>
  <si>
    <t>J Med Virol. 1999 May;58(1):63-8. doi: 10.1002/(sici)1096-9071(199905)58:1&lt;63::aid-jmv10&gt;3.0.co;2-c.</t>
  </si>
  <si>
    <t>Human herpesvirus 6 variant A infection with fever, skin rash, and liver dysfunction in a patient after unrelated cord blood transplantation</t>
  </si>
  <si>
    <t>Tomonari A, Takahashi S, Ooi J, Takasugi K, Konuma T, Iseki T, Shirafuji N, Tojo A, Asano S.</t>
  </si>
  <si>
    <t>Bone Marrow Transplant. 2005 Dec;36(12):1109-10. doi: 10.1038/sj.bmt.1705184.</t>
  </si>
  <si>
    <t>Severe hyponatremia caused by syndrome of inappropriate secretion of antidiuretic hormone developed as initial manifestation of human herpesvirus-6-associated acute limbic encephalitis after unrelated bone marrow transplantation</t>
  </si>
  <si>
    <t>Kawaguchi T, Takeuchi M, Kawajiri C, Abe D, Nagao Y, Yamazaki A, Sugita Y, Tsukamoto S, Sakai S, Takeda Y, Ohwada C, Sakaida E, Shimizu N, Yokote K, Iseki T, Nakaseko C.</t>
  </si>
  <si>
    <t>Transpl Infect Dis. 2013 Apr;15(2):E54-7. doi: 10.1111/tid.12029. Epub 2012 Nov 23.</t>
  </si>
  <si>
    <t>Successful unrelated umbilical cord blood transplantation for class 3 β-thalassemia major using a reduced-toxicity regimen</t>
  </si>
  <si>
    <t>Soni S, Breslin N, Cheerva A.</t>
  </si>
  <si>
    <t>Pediatr Transplant. 2014 Mar;18(2):E41-3. doi: 10.1111/petr.12201. Epub 2013 Dec 16.</t>
  </si>
  <si>
    <t>Human herpesvirus 6 and multiple sclerosis: a one-year follow-up study</t>
  </si>
  <si>
    <t>Alvarez-Lafuente R, De Las Heras V, Bartolomé M, García-Montojo M, Arroyo R.</t>
  </si>
  <si>
    <t>Brain Pathol. 2006 Jan;16(1):20-7. doi: 10.1111/j.1750-3639.2006.tb00558.x.</t>
  </si>
  <si>
    <t>Brain Pathol</t>
  </si>
  <si>
    <t>PMC8095909</t>
  </si>
  <si>
    <t>Challenging complications of treatment--human herpes virus 6 encephalitis and pneumonitis in a patient undergoing autologous stem cell transplantation for relapsed Hodgkin's disease: a case report</t>
  </si>
  <si>
    <t>Bommer M, Pauls S, Greiner J.</t>
  </si>
  <si>
    <t>Virol J. 2009 Jul 20;6:111. doi: 10.1186/1743-422X-6-111.</t>
  </si>
  <si>
    <t>PMC2718875</t>
  </si>
  <si>
    <t>A prospective study of human herpesvirus-6 infection in renal transplantation</t>
  </si>
  <si>
    <t>Yoshikawa T, Suga S, Asano Y, Nakashima T, Yazaki T, Ono Y, Fujita T, Tsuzuki K, Sugiyama S, Oshima S.</t>
  </si>
  <si>
    <t>Transplantation. 1992 Nov;54(5):879-83. doi: 10.1097/00007890-199211000-00022.</t>
  </si>
  <si>
    <t>Antiviral drug resistance in herpesviruses other than cytomegalovirus</t>
  </si>
  <si>
    <t>Piret J, Boivin G.</t>
  </si>
  <si>
    <t>Rev Med Virol. 2014 May;24(3):186-218. doi: 10.1002/rmv.1787. Epub 2014 Mar 7.</t>
  </si>
  <si>
    <t>Primary infection with human herpes virus type 6, post-pediatric liver transplantation-A pathogen to remember</t>
  </si>
  <si>
    <t>Pappo-Toledano A, Dovrat S, Soufiev Z, Mozer-Glassberg Y, Krause I, Rom E, Shamir R, Bilavsky E.</t>
  </si>
  <si>
    <t>Transpl Infect Dis. 2019 Feb;21(1):e13014. doi: 10.1111/tid.13014. Epub 2018 Nov 15.</t>
  </si>
  <si>
    <t>HHV-6 and 7 DNA loads in lung tissues collected from patients with interstitial pneumonia</t>
  </si>
  <si>
    <t>Yamamoto K, Yoshikawa T, Okamoto S, Yamaki K, Shimokata K, Nishiyama Y.</t>
  </si>
  <si>
    <t>J Med Virol. 2005 Jan;75(1):70-5. doi: 10.1002/jmv.20239.</t>
  </si>
  <si>
    <t>Human herpesvirus 6 gM/gN complex interacts with v-SNARE in infected cells</t>
  </si>
  <si>
    <t>Kawabata A, Serada S, Naka T, Mori Y.</t>
  </si>
  <si>
    <t>J Gen Virol. 2014 Dec;95(Pt 12):2769-2777. doi: 10.1099/vir.0.069336-0. Epub 2014 Sep 10.</t>
  </si>
  <si>
    <t>Encephalitis caused by human herpesvirus-6 in transplant recipients: relevance of a novel neurotropic virus</t>
  </si>
  <si>
    <t>Singh N, Paterson DL.</t>
  </si>
  <si>
    <t>Transplantation. 2000 Jun 27;69(12):2474-9. doi: 10.1097/00007890-200006270-00002.</t>
  </si>
  <si>
    <t>Transplacental congenital human herpesvirus 6 infection caused by maternal chromosomally integrated virus</t>
  </si>
  <si>
    <t>Hall CB, Caserta MT, Schnabel KC, Shelley LM, Carnahan JA, Marino AS, Yoo C, Lofthus GK.</t>
  </si>
  <si>
    <t>J Infect Dis. 2010 Feb 15;201(4):505-7. doi: 10.1086/650495.</t>
  </si>
  <si>
    <t>PMC2811319</t>
  </si>
  <si>
    <t>NIHMS163795</t>
  </si>
  <si>
    <t>Assessing and restoring adaptive immunity to HSV, VZV, and HHV-6 in solid organ and hematopoietic cell transplant recipients</t>
  </si>
  <si>
    <t>Heldman MR, Aagaard KM, Hill JA.</t>
  </si>
  <si>
    <t>Clin Microbiol Infect. 2022 Oct;28(10):1345-1350. doi: 10.1016/j.cmi.2022.02.001. Epub 2022 Feb 10.</t>
  </si>
  <si>
    <t>PMC9363517</t>
  </si>
  <si>
    <t>NIHMS1779291</t>
  </si>
  <si>
    <t>Replication of human herpesvirus-6 in thymocytes activated by anti-CD3 antibody</t>
  </si>
  <si>
    <t>J Infect Dis. 1991 Sep;164(3):617-8. doi: 10.1093/infdis/164.3.617.</t>
  </si>
  <si>
    <t>Use of the Roche LightCycler 480 system in a routine laboratory setting for molecular diagnosis of opportunistic viral infections: Evaluation on whole blood specimens and proficiency panels</t>
  </si>
  <si>
    <t>Deback C, Géli J, Aït-Arkoub Z, Angleraud F, Gautheret-Dejean A, Agut H, Boutolleau D.</t>
  </si>
  <si>
    <t>J Virol Methods. 2009 Aug;159(2):291-4. doi: 10.1016/j.jviromet.2009.03.027. Epub 2009 Apr 9.</t>
  </si>
  <si>
    <t>Early human herpes virus type 6 reactivation in umbilical cord blood allogeneic stem cell transplantation</t>
  </si>
  <si>
    <t>Cirrone F, Ippoliti C, Wang H, Zhou XK, Gergis U, Mayer S, Shore T, van Besien K.</t>
  </si>
  <si>
    <t>Leuk Lymphoma. 2016 Nov;57(11):2555-9. doi: 10.3109/10428194.2016.1157873. Epub 2016 Mar 17.</t>
  </si>
  <si>
    <t>Intrauterine transmission of human herpesvirus 6</t>
  </si>
  <si>
    <t>Aubin JT, Poirel L, Agut H, Huraux JM, Bignozzi C, Brossard Y, Mulliez N, Roume J, Lecuru F, Taurelle R.</t>
  </si>
  <si>
    <t>Lancet. 1992 Aug 22;340(8817):482-3. doi: 10.1016/0140-6736(92)91801-e.</t>
  </si>
  <si>
    <t>JCV/BKV and SV40 viral load in lymphoid tissues of young immunocompetent children from an area of north-east Italy</t>
  </si>
  <si>
    <t>Comar M, Zanotta N, Bovenzi M, Campello C.</t>
  </si>
  <si>
    <t>J Med Virol. 2010 Jul;82(7):1236-40. doi: 10.1002/jmv.21786.</t>
  </si>
  <si>
    <t>Brief report: fatal encephalitis due to variant B human herpesvirus-6 infection in a bone marrow-transplant recipient</t>
  </si>
  <si>
    <t>Drobyski WR, Knox KK, Majewski D, Carrigan DR.</t>
  </si>
  <si>
    <t>N Engl J Med. 1994 May 12;330(19):1356-60. doi: 10.1056/NEJM199405123301905.</t>
  </si>
  <si>
    <t>Epileptic encephalopathy after HHV6 post-transplant acute limbic encephalitis in children: confirmation of a new epilepsy syndrome</t>
  </si>
  <si>
    <t>Raspall-Chaure M, Armangué T, Elorza I, Sanchez-Montanez A, Vicente-Rasoamalala M, Macaya A.</t>
  </si>
  <si>
    <t>Epilepsy Res. 2013 Aug;105(3):419-22. doi: 10.1016/j.eplepsyres.2013.02.019. Epub 2013 Mar 25.</t>
  </si>
  <si>
    <t>Epilepsy Res</t>
  </si>
  <si>
    <t>Transmission of chromosomally integrated human herpesvirus 6 via cord blood transplantation</t>
  </si>
  <si>
    <t>Yamada Y, Osumi T, Imadome KI, Takahashi E, Ohye T, Yoshikawa T, Tomizawa D, Kato M, Matsumoto K.</t>
  </si>
  <si>
    <t>Transpl Infect Dis. 2017 Feb;19(1). doi: 10.1111/tid.12636. Epub 2016 Dec 25.</t>
  </si>
  <si>
    <t>Correlations of cytokine levels in cerebrospinal fluid and peripheral blood with outcome of HHV-6B encephalitis after hematopoietic stem cell transplantation</t>
  </si>
  <si>
    <t>Takano K, Ogata M, Satou T, Miyazaki Y, Otsuka E, Saito N, Ueki T, Kako S, Fukuda T, Shirao K.</t>
  </si>
  <si>
    <t>Transpl Infect Dis. 2019 Dec;21(6):e13172. doi: 10.1111/tid.13172. Epub 2019 Sep 26.</t>
  </si>
  <si>
    <t>The U24 protein from human herpesvirus 6 and 7 affects endocytic recycling</t>
  </si>
  <si>
    <t>J Virol. 2010 Feb;84(3):1265-75. doi: 10.1128/JVI.01775-09. Epub 2009 Nov 18.</t>
  </si>
  <si>
    <t>PMC2812311</t>
  </si>
  <si>
    <t>Human herpesvirus-6 antigenemia after liver transplantation</t>
  </si>
  <si>
    <t>Lautenschlager I, Linnavuori K, Höckerstedt K.</t>
  </si>
  <si>
    <t>Transplantation. 2000 Jun 27;69(12):2561-6. doi: 10.1097/00007890-200006270-00015.</t>
  </si>
  <si>
    <t>Successful treatment of human herpesvirus-6 encephalitis after bone marrow transplantation</t>
  </si>
  <si>
    <t>Bethge W, Beck R, Jahn G, Mundinger P, Kanz L, Einsele H.</t>
  </si>
  <si>
    <t>Bone Marrow Transplant. 1999 Dec;24(11):1245-8. doi: 10.1038/sj.bmt.1702065.</t>
  </si>
  <si>
    <t>Monitoring human herpesvirus-6 in patients with autologous stem cell transplantation</t>
  </si>
  <si>
    <t>Piukovics K, Borbényi Z, Rajda C, Csomor A, Deák J, Terhes G.</t>
  </si>
  <si>
    <t>In Vivo. 2014 Nov-Dec;28(6):1113-7.</t>
  </si>
  <si>
    <t>Correlation between human herpesvirus 6 and 7 infections after living related liver transplantation</t>
  </si>
  <si>
    <t>Ihira M, Yoshikawa T, Suzuki K, Ohashi M, Suga S, Asonuma K, Tanaka K, Asano Y.</t>
  </si>
  <si>
    <t>Microbiol Immunol. 2001;45(3):225-32. doi: 10.1111/j.1348-0421.2001.tb02611.x.</t>
  </si>
  <si>
    <t>Human herpesviruses-6, -7 and -8 in organ transplant recipients</t>
  </si>
  <si>
    <t>Singh N.</t>
  </si>
  <si>
    <t>Clin Microbiol Infect. 2000 Sep;6(9):453-9. doi: 10.1046/j.1469-0691.2000.00129.x.</t>
  </si>
  <si>
    <t>Acute autonomic dysregulation due to HHV-6 encephalitis in an immunocompromised patient: a case report and literature review</t>
  </si>
  <si>
    <t>Maes L, Theunissen K, Schepers S, Indesteege I, Delmotte K.</t>
  </si>
  <si>
    <t>Acta Neurol Belg. 2022 Jun;122(3):583-585. doi: 10.1007/s13760-021-01828-6. Epub 2022 Mar 28.</t>
  </si>
  <si>
    <t>Acta Neurol Belg</t>
  </si>
  <si>
    <t>Influence of corticosteroid therapy on viral reactivation in drug-induced hypersensitivity syndrome/drug reaction with eosinophilia and systemic symptoms</t>
  </si>
  <si>
    <t>Tohyama M, Hashimoto K, Oda F, Namba C, Sayama K.</t>
  </si>
  <si>
    <t>J Dermatol. 2020 May;47(5):476-482. doi: 10.1111/1346-8138.15294. Epub 2020 Mar 11.</t>
  </si>
  <si>
    <t>J Dermatol</t>
  </si>
  <si>
    <t>PMC7754408</t>
  </si>
  <si>
    <t>Human herpesvirus-6 DNAemia is a sign of impending primary CMV infection in CMV sero-discordant renal transplantations</t>
  </si>
  <si>
    <t>Van Leer-Buter CC, Sanders JS, Vroom HE, Riezebos-Brilman A, Niesters HG.</t>
  </si>
  <si>
    <t>J Clin Virol. 2013 Oct;58(2):422-6. doi: 10.1016/j.jcv.2013.07.014. Epub 2013 Aug 12.</t>
  </si>
  <si>
    <t>Human herpes virus 6 plasma DNA positivity after hematopoietic stem cell transplantation in children: an important risk factor for clinical outcome</t>
  </si>
  <si>
    <t>de Pagter PJ, Schuurman R, Visscher H, de Vos M, Bierings M, van Loon AM, Uiterwaal CS, van Baarle D, Sanders EA, Boelens J.</t>
  </si>
  <si>
    <t>Biol Blood Marrow Transplant. 2008 Jul;14(7):831-9. doi: 10.1016/j.bbmt.2008.04.016.</t>
  </si>
  <si>
    <t>Viral pathology of human herpesvirus 6 infection</t>
  </si>
  <si>
    <t>Kurata T, Iwasaki T, Sata T, Wakabayashi T, Yamaguchi K, Okuno T, Yamanishi K, Takei Y.</t>
  </si>
  <si>
    <t>Adv Exp Med Biol. 1990;278:39-47. doi: 10.1007/978-1-4684-5853-4_5.</t>
  </si>
  <si>
    <t>Human Herpesvirus-6 U14 Induces Cell-Cycle Arrest in G2/M Phase by Associating with a Cellular Protein, EDD</t>
  </si>
  <si>
    <t>Mori J, Kawabata A, Tang H, Tadagaki K, Mizuguchi H, Kuroda K, Mori Y.</t>
  </si>
  <si>
    <t>PLoS One. 2015 Sep 4;10(9):e0137420. doi: 10.1371/journal.pone.0137420. eCollection 2015.</t>
  </si>
  <si>
    <t>PMC4560387</t>
  </si>
  <si>
    <t>[Case of drug-induced hypersensitivity syndrome due to lamotrigine: demonstration of sequential reactivation of herpesviruses]</t>
  </si>
  <si>
    <t>Sato T, Kuniba H, Matsuo M, Matsuzaka T, Moriuchi H.</t>
  </si>
  <si>
    <t>No To Hattatsu. 2012 Jan;44(1):69-72.</t>
  </si>
  <si>
    <t>No To Hattatsu</t>
  </si>
  <si>
    <t>Human herpesviruses 6, 7 and 8 in solid organ transplant recipients</t>
  </si>
  <si>
    <t>Razonable RR.</t>
  </si>
  <si>
    <t>Am J Transplant. 2013 Feb;13 Suppl 3:67-77; quiz 77-8. doi: 10.1111/ajt.12008.</t>
  </si>
  <si>
    <t>Time course characteristics of human herpesvirus 6 specific cellular immune response and natural killer cell activity in patients with exanthema subitum</t>
  </si>
  <si>
    <t>Kumagai T, Yoshikawa T, Yoshida M, Okui T, Ihira M, Nagata N, Yano S, Shiraki K, Yamada M, Ichihara K, Asano Y.</t>
  </si>
  <si>
    <t>J Med Virol. 2006 Jun;78(6):792-9. doi: 10.1002/jmv.20625.</t>
  </si>
  <si>
    <t>Innate immunity and hypersensitivity syndrome</t>
  </si>
  <si>
    <t>Inaoka M.</t>
  </si>
  <si>
    <t>Toxicology. 2005 Apr 15;209(2):161-3. doi: 10.1016/j.tox.2004.12.011.</t>
  </si>
  <si>
    <t>Toxicology</t>
  </si>
  <si>
    <t>Fatal Myocarditis Associated With HHV-6 Following Immunosuppression in Two Children</t>
  </si>
  <si>
    <t>Stefanski HE, Thibert KA, Pritchett J, Prusty BK, Wagner JE, Lund TC.</t>
  </si>
  <si>
    <t>Pediatrics. 2016 Jan;137(1):e20151352. doi: 10.1542/peds.2015-1352. Epub 2015 Dec 17.</t>
  </si>
  <si>
    <t>PMC5545791</t>
  </si>
  <si>
    <t>NIHMS870913</t>
  </si>
  <si>
    <t>Human herpesvirus 6 DNA in cerebrospinal fluid specimens from allogeneic bone marrow transplant patients: does it have clinical significance?</t>
  </si>
  <si>
    <t>Wang FZ, Linde A, Hägglund H, Testa M, Locasciulli A, Ljungman P.</t>
  </si>
  <si>
    <t>Clin Infect Dis. 1999 Mar;28(3):562-8. doi: 10.1086/515142.</t>
  </si>
  <si>
    <t>Induction of G protein-coupled peptide receptor EBI 1 by human herpesvirus 6 and 7 infection in CD4+ T cells</t>
  </si>
  <si>
    <t>Hasegawa H, Utsunomiya Y, Yasukawa M, Yanagisawa K, Fujita S.</t>
  </si>
  <si>
    <t>J Virol. 1994 Aug;68(8):5326-9. doi: 10.1128/JVI.68.8.5326-5329.1994.</t>
  </si>
  <si>
    <t>PMC236483</t>
  </si>
  <si>
    <t>[The mechanism, diagnosis and treatment of HHV-6B encephalitis]</t>
  </si>
  <si>
    <t>Rinsho Shinkeigaku. 2012;52(11):1372-4. doi: 10.5692/clinicalneurol.52.1372.</t>
  </si>
  <si>
    <t>Rinsho Shinkeigaku</t>
  </si>
  <si>
    <t>IgM neutralizing antibody responses to human herpesvirus-6 in patients with exanthem subitum or organ transplantation</t>
  </si>
  <si>
    <t>Suga S, Yoshikawa T, Asano Y, Nakashima T, Yazaki T, Fukuda M, Kojima S, Matsuyama T, Ono Y, Oshima S.</t>
  </si>
  <si>
    <t>Microbiol Immunol. 1992;36(5):495-506. doi: 10.1111/j.1348-0421.1992.tb02047.x.</t>
  </si>
  <si>
    <t>Donor-CD4+ T Cells: A Trojan Horse for Human Herpes Virus-6 After Allogeneic Hematopoietic Cell Transplantation?</t>
  </si>
  <si>
    <t>Lee YJ, Su Y, Cho C, Papanicolaou GA.</t>
  </si>
  <si>
    <t>J Infect Dis. 2022 Feb 1;225(3):552-553. doi: 10.1093/infdis/jiab402.</t>
  </si>
  <si>
    <t>PMC8807176</t>
  </si>
  <si>
    <t>Hematologic findings associated with thrombocytopenia during the acute phase of exanthem subitum confirmed by primary human herpesvirus-6 infection</t>
  </si>
  <si>
    <t>Hashimoto H, Maruyama H, Fujimoto K, Sakakura T, Seishu S, Okuda N.</t>
  </si>
  <si>
    <t>J Pediatr Hematol Oncol. 2002 Mar-Apr;24(3):211-4. doi: 10.1097/00043426-200203000-00010.</t>
  </si>
  <si>
    <t>Investigation of reference gene expression during human herpesvirus 6B infection indicates peptidylprolyl isomerase A as a stable reference gene and TATA box binding protein as a gene up-regulated by this virus</t>
  </si>
  <si>
    <t>Engdahl E, Dunn N, Fogdell-Hahn A.</t>
  </si>
  <si>
    <t>J Virol Methods. 2016 Jan;227:47-9. doi: 10.1016/j.jviromet.2015.10.011. Epub 2015 Nov 2.</t>
  </si>
  <si>
    <t>HHV-6 reactivation and its effect on delirium and cognitive functioning in hematopoietic cell transplantation recipients</t>
  </si>
  <si>
    <t>Zerr DM, Fann JR, Breiger D, Boeckh M, Adler AL, Xie H, Delaney C, Huang ML, Corey L, Leisenring WM.</t>
  </si>
  <si>
    <t>Blood. 2011 May 12;117(19):5243-9. doi: 10.1182/blood-2010-10-316083. Epub 2011 Mar 9.</t>
  </si>
  <si>
    <t>PMC3109545</t>
  </si>
  <si>
    <t>KIR2DS2/KIR2DL2/HLA-C1 Haplotype Is Associated with Alzheimer's Disease: Implication for the Role of Herpesvirus Infections</t>
  </si>
  <si>
    <t>Rizzo R, Bortolotti D, Gentili V, Rotola A, Bolzani S, Caselli E, Tola MR, Di Luca D.</t>
  </si>
  <si>
    <t>J Alzheimers Dis. 2019;67(4):1379-1389. doi: 10.3233/JAD-180777.</t>
  </si>
  <si>
    <t>J Alzheimers Dis</t>
  </si>
  <si>
    <t>Serum thymus and activation-regulated chemokine is associated with the severity of drug reaction with eosinophilia and systemic symptoms/drug-induced hypersensitivity syndrome</t>
  </si>
  <si>
    <t>Nakamura-Nishimura Y, Miyagawa F, Miyashita K, Ommori R, Azukizawa H, Asada H.</t>
  </si>
  <si>
    <t>Br J Dermatol. 2018 Jun;178(6):1430-1432. doi: 10.1111/bjd.16132. Epub 2018 Mar 25.</t>
  </si>
  <si>
    <t>Br J Dermatol</t>
  </si>
  <si>
    <t>Human telomeres that carry an integrated copy of human herpesvirus 6 are often short and unstable, facilitating release of the viral genome from the chromosome</t>
  </si>
  <si>
    <t>Huang Y, Hidalgo-Bravo A, Zhang E, Cotton VE, Mendez-Bermudez A, Wig G, Medina-Calzada Z, Neumann R, Jeffreys AJ, Winney B, Wilson JF, Clark DA, Dyer MJ, Royle NJ.</t>
  </si>
  <si>
    <t>Nucleic Acids Res. 2014 Jan;42(1):315-27. doi: 10.1093/nar/gkt840. Epub 2013 Sep 19.</t>
  </si>
  <si>
    <t>Nucleic Acids Res</t>
  </si>
  <si>
    <t>PMC3874159</t>
  </si>
  <si>
    <t>A Simple Proteomics-Based Approach to Identification of Immunodominant Antigens from a Complex Pathogen: Application to the CD4 T Cell Response against Human Herpesvirus 6B</t>
  </si>
  <si>
    <t>Becerra-Artiles A, Dominguez-Amorocho O, Stern LJ, Calvo-Calle JM.</t>
  </si>
  <si>
    <t>PLoS One. 2015 Nov 23;10(11):e0142871. doi: 10.1371/journal.pone.0142871. eCollection 2015.</t>
  </si>
  <si>
    <t>PMC4658110</t>
  </si>
  <si>
    <t>Choreoathetosis in the Setting of Human Herpesvirus-6 Infection in a Transplant Recipient</t>
  </si>
  <si>
    <t>Mancone S, Selvadurai C, Baehring J, Patel A.</t>
  </si>
  <si>
    <t>Tremor Other Hyperkinet Mov (N Y). 2021 Oct 13;11:40. doi: 10.5334/tohm.657. eCollection 2021.</t>
  </si>
  <si>
    <t>Tremor Other Hyperkinet Mov (N Y)</t>
  </si>
  <si>
    <t>PMC8533650</t>
  </si>
  <si>
    <t>A chronic "postinfectious" fatigue syndrome associated with benign lymphoproliferation, B-cell proliferation, and active replication of human herpesvirus-6</t>
  </si>
  <si>
    <t>Buchwald D, Freedman AS, Ablashi DV, Sullivan JL, Caligiuri M, Weinberg DS, Hall CG, Ashley RL, Saxinger C, Balachandran N, et al.</t>
  </si>
  <si>
    <t>J Clin Immunol. 1990 Nov;10(6):335-44. doi: 10.1007/BF00917479.</t>
  </si>
  <si>
    <t>J Clin Immunol</t>
  </si>
  <si>
    <t>[Immune response to HHV-6 and HHV-7]</t>
  </si>
  <si>
    <t>Yasukawa M.</t>
  </si>
  <si>
    <t>Nihon Rinsho. 2006 Mar;64 Suppl 3:415-20.</t>
  </si>
  <si>
    <t>Detection of viral DNA and immune responses to the human herpesvirus 6 101-kilodalton virion protein in patients with multiple sclerosis and in controls</t>
  </si>
  <si>
    <t>Tejada-Simon MV, Zang YC, Hong J, Rivera VM, Killian JM, Zhang JZ.</t>
  </si>
  <si>
    <t>J Virol. 2002 Jun;76(12):6147-54. doi: 10.1128/jvi.76.12.6147-6154.2002.</t>
  </si>
  <si>
    <t>PMC136216</t>
  </si>
  <si>
    <t>Association of HHV-6 and HHV-7 reactivation with the development of chronic allograft nephropathy</t>
  </si>
  <si>
    <t>Chapenko S, Folkmane I, Ziedina I, Chistyakovs M, Rozentals R, Krumina A, Murovska M.</t>
  </si>
  <si>
    <t>J Clin Virol. 2009 Sep;46(1):29-32. doi: 10.1016/j.jcv.2009.05.018. Epub 2009 Jun 3.</t>
  </si>
  <si>
    <t>Relationship of serum human herpesvirus 6 DNA with cytomegalovirus pp65 antigenemia in allogeneic bone marrow transplant recipients</t>
  </si>
  <si>
    <t>Gentile G, Capobianchi A, Ferraironi M, Greco E, Martino P.</t>
  </si>
  <si>
    <t>Transplantation. 2004 Jun 27;77(12):1907-8; author reply 1980-9. doi: 10.1097/01.tp.0000131221.36401.ec.</t>
  </si>
  <si>
    <t>Hematopoietic suppression in a child with human herpesvirus-6 infection</t>
  </si>
  <si>
    <t>Sugita K, Hagisawa S, Eguchi M, Furukawa T.</t>
  </si>
  <si>
    <t>Int J Hematol. 1998 Jan;67(1):91-3.</t>
  </si>
  <si>
    <t>Tissue HHV6 and 7 determination in pediatric solid organ recipients--a pilot study</t>
  </si>
  <si>
    <t>Gupta M, Diaz-Mitoma F, Feber J, Shaw L, Forget C, Filler G.</t>
  </si>
  <si>
    <t>Pediatr Transplant. 2003 Dec;7(6):458-63. doi: 10.1046/j.1399-3046.2003.00099.x.</t>
  </si>
  <si>
    <t>Human Herpes Virus-6 Following Pediatric Allogeneic Hematopoietic Stem Cell Transplantation</t>
  </si>
  <si>
    <t>Shachor-Meyouhas Y, Fesenko A, Kra-Oz Z, Zaidman I, Szwarcwort-Cohen M, Shafran E, Kassis I.</t>
  </si>
  <si>
    <t>Isr Med Assoc J. 2015 May;17(5):302-5.</t>
  </si>
  <si>
    <t>Isr Med Assoc J</t>
  </si>
  <si>
    <t>Human herpesvirus-6 viremia is not associated with poor clinical outcomes in children following allogeneic hematopoietic cell transplantation</t>
  </si>
  <si>
    <t>Violago L, Jin Z, Bhatia M, Rustia E, Kung AL, Foca MD, George D, Garvin JH, Sosna J, Robinson C, Karamehmet E, Satwani P.</t>
  </si>
  <si>
    <t>Pediatr Transplant. 2015 Nov;19(7):737-44. doi: 10.1111/petr.12572. Epub 2015 Aug 29.</t>
  </si>
  <si>
    <t>Quantitation of Human herpes virus 6 genome in children with acute lymphoblastic leukemia</t>
  </si>
  <si>
    <t>Seror E, Coquerel B, Gautheret-Dejean A, Ballerini P, Landman-Parker J, Leverger G, Schneider P, Vannier JP.</t>
  </si>
  <si>
    <t>J Med Virol. 2008 Apr;80(4):689-93. doi: 10.1002/jmv.21118.</t>
  </si>
  <si>
    <t>Characterizing human herpes virus 6 following hematopoietic stem cell transplantation</t>
  </si>
  <si>
    <t>Perissinotti AJ, Gulbis A, Shpall EJ, Howell J.</t>
  </si>
  <si>
    <t>J Oncol Pharm Pract. 2015 Apr;21(2):85-92. doi: 10.1177/1078155213519837. Epub 2014 Jan 9.</t>
  </si>
  <si>
    <t>J Oncol Pharm Pract</t>
  </si>
  <si>
    <t>Human herpesvirus-6 infection after liver transplantation</t>
  </si>
  <si>
    <t>Lautenschlager I, Höckerstedt K, Linnavuori K, Taskinen E.</t>
  </si>
  <si>
    <t>Clin Infect Dis. 1998 Mar;26(3):702-7. doi: 10.1086/514592.</t>
  </si>
  <si>
    <t>Human herpesvirus-6 and -7 in transplantation</t>
  </si>
  <si>
    <t>Dockrell DH, Paya CV.</t>
  </si>
  <si>
    <t>Rev Med Virol. 2001 Jan-Feb;11(1):23-36. doi: 10.1002/rmv.299.</t>
  </si>
  <si>
    <t>HHV-6 Infection and Chemokine RANTES Signaling Pathway Disturbance in Patients with Autoimmune Thyroiditis</t>
  </si>
  <si>
    <t>Sultanova A, Cistjakovs M, Sokolovska L, Todorova K, Cunskis E, Murovska M.</t>
  </si>
  <si>
    <t>Viruses. 2020 Jun 26;12(6):689. doi: 10.3390/v12060689.</t>
  </si>
  <si>
    <t>PMC7354462</t>
  </si>
  <si>
    <t>Herpesviruses detection by quantitative real-time polymerase chain reaction in bronchoalveolar lavage and transbronchial biopsy in lung transplant: viral infections and histopathological correlation</t>
  </si>
  <si>
    <t>Costa C, Delsedime L, Solidoro P, Curtoni A, Bergallo M, Libertucci D, Baldi S, Rinaldi M, Cavallo R.</t>
  </si>
  <si>
    <t>Transplant Proc. 2010 May;42(4):1270-4. doi: 10.1016/j.transproceed.2010.03.086.</t>
  </si>
  <si>
    <t>Human herpes virus 6-associated myelitis following allogeneic bone marrow transplantation</t>
  </si>
  <si>
    <t>Aoki K, Arima H, Kato A, Hashimoto H, Tabata S, Matsushita A, Ishikawa T.</t>
  </si>
  <si>
    <t>Ann Hematol. 2012 Oct;91(10):1663-5. doi: 10.1007/s00277-012-1444-z. Epub 2012 Mar 15.</t>
  </si>
  <si>
    <t>Fatal human herpes virus 6 primary infection after liver transplantation</t>
  </si>
  <si>
    <t>Revest M, Camus C, D'Halluin PN, Cha S, Compagnon P, Boudjema K, Colimon R, Thomas R.</t>
  </si>
  <si>
    <t>Transplantation. 2007 May 27;83(10):1404-5. doi: 10.1097/01.tp.0000261705.78595.98.</t>
  </si>
  <si>
    <t>Skin recruitment of monomyeloid precursors involves human herpesvirus-6 reactivation in drug allergy</t>
  </si>
  <si>
    <t>Hashizume H, Fujiyama T, Kanebayashi J, Kito Y, Hata M, Yagi H.</t>
  </si>
  <si>
    <t>Allergy. 2013;68(5):681-9. doi: 10.1111/all.12138. Epub 2013 Apr 10.</t>
  </si>
  <si>
    <t>Allergy</t>
  </si>
  <si>
    <t>Identification of a nucleocapsid protein as a specific serological marker of human herpesvirus 6 infection</t>
  </si>
  <si>
    <t>Yamamoto M, Black JB, Stewart JA, Lopez C, Pellett PE.</t>
  </si>
  <si>
    <t>J Clin Microbiol. 1990 Sep;28(9):1957-62. doi: 10.1128/jcm.28.9.1957-1962.1990.</t>
  </si>
  <si>
    <t>PMC268086</t>
  </si>
  <si>
    <t>Human herpesvirus-6 encephalitis after bone marrow transplantation: magnetic resonance imaging could identify the involved sites of encephalitis</t>
  </si>
  <si>
    <t>Tsujimura H, Iseki T, Date Y, Watanabe J, Kumagai K, Kikuno K, Yonemitsu H, Saisho H.</t>
  </si>
  <si>
    <t>Eur J Haematol. 1998 Oct;61(4):284-5. doi: 10.1111/j.1600-0609.1998.tb01718.x.</t>
  </si>
  <si>
    <t>Transient erythroblastopenia of childhood associated with human herpesvirus type 6, variant B</t>
  </si>
  <si>
    <t>Penchansky L, Jordan JA.</t>
  </si>
  <si>
    <t>Am J Clin Pathol. 1997 Aug;108(2):127-32. doi: 10.1093/ajcp/108.2.127.</t>
  </si>
  <si>
    <t>Frequent human herpesvirus-6 viremia but low incidence of encephalitis in double-unit cord blood recipients transplanted without antithymocyte globulin</t>
  </si>
  <si>
    <t>Olson AL, Dahi PB, Zheng J, Devlin SM, Lubin M, Gonzales AM, Giralt SA, Perales MA, Papadopoulos EB, Ponce DM, Young JW, Kernan NA, Scaradavou A, O'Reilly RJ, Small TN, Papanicolaou G, Barker JN.</t>
  </si>
  <si>
    <t>Biol Blood Marrow Transplant. 2014 Jun;20(6):787-93. doi: 10.1016/j.bbmt.2014.02.010. Epub 2014 Feb 16.</t>
  </si>
  <si>
    <t>PMC4097025</t>
  </si>
  <si>
    <t>NIHMS587371</t>
  </si>
  <si>
    <t>Human herpesvirus 6 suppresses T cell proliferation through induction of cell cycle arrest in infected cells in the G2/M phase</t>
  </si>
  <si>
    <t>Li L, Gu B, Zhou F, Chi J, Wang F, Peng G, Xie F, Qing J, Feng D, Lu S, Yao K.</t>
  </si>
  <si>
    <t>J Virol. 2011 Jul;85(13):6774-83. doi: 10.1128/JVI.02577-10. Epub 2011 Apr 27.</t>
  </si>
  <si>
    <t>PMC3126536</t>
  </si>
  <si>
    <t>Phenotypic and functional alterations of dendritic cells induced by human herpesvirus 6 infection</t>
  </si>
  <si>
    <t>Kakimoto M, Hasegawa A, Fujita S, Yasukawa M.</t>
  </si>
  <si>
    <t>J Virol. 2002 Oct;76(20):10338-45. doi: 10.1128/jvi.76.20.10338-10345.2002.</t>
  </si>
  <si>
    <t>PMC136540</t>
  </si>
  <si>
    <t>Structure and transcription of an immediate-early region in the human herpesvirus 6 genome</t>
  </si>
  <si>
    <t>Schiewe U, Neipel F, Schreiner D, Fleckenstein B.</t>
  </si>
  <si>
    <t>J Virol. 1994 May;68(5):2978-85. doi: 10.1128/JVI.68.5.2978-2985.1994.</t>
  </si>
  <si>
    <t>PMC236787</t>
  </si>
  <si>
    <t>Human herpesvirus-6 and liver transplantation</t>
  </si>
  <si>
    <t>Schlitt HJ, Shi L.</t>
  </si>
  <si>
    <t>J Hepatol. 2002 Nov;37(5):681-3. doi: 10.1016/s0168-8278(02)00311-2.</t>
  </si>
  <si>
    <t>J Hepatol</t>
  </si>
  <si>
    <t>Polymerase chain reaction amplification of archival material for Epstein-Barr virus, cytomegalovirus, human herpesvirus 6, and parvovirus B19 in children with bone marrow hemophagocytosis</t>
  </si>
  <si>
    <t>Hoang MP, Dawson DB, Rogers ZR, Scheuermann RH, Rogers BB.</t>
  </si>
  <si>
    <t>Hum Pathol. 1998 Oct;29(10):1074-7. doi: 10.1016/s0046-8177(98)90416-6.</t>
  </si>
  <si>
    <t>Hum Pathol</t>
  </si>
  <si>
    <t>Case report and literature review: HHV-6-associated meningoencephalitis in an immunocompetent adult</t>
  </si>
  <si>
    <t>Trabue CH, Bloch KC, Myers JW, Moorman JP.</t>
  </si>
  <si>
    <t>Herpes. 2008 Nov;15(2):33-5.</t>
  </si>
  <si>
    <t>Human herpesvirus-6 encephalitis after allogeneic hematopoietic cell transplantation: what we do and do not know</t>
  </si>
  <si>
    <t>Ogata M, Fukuda T, Teshima T.</t>
  </si>
  <si>
    <t>Bone Marrow Transplant. 2015 Aug;50(8):1030-6. doi: 10.1038/bmt.2015.76. Epub 2015 Apr 27.</t>
  </si>
  <si>
    <t>Is antiviral therapy against HHV-6B beneficial?</t>
  </si>
  <si>
    <t>Ljungman P.</t>
  </si>
  <si>
    <t>Blood. 2020 Apr 23;135(17):1413-1414. doi: 10.1182/blood.2020005448.</t>
  </si>
  <si>
    <t>Severe amnesia due to HHV-6 encephalitis after allogenic stem cell transplantation</t>
  </si>
  <si>
    <t>Visser AM, van Doornum GJ, Cornelissen JJ, van den Bent MJ.</t>
  </si>
  <si>
    <t>Eur Neurol. 2005;54(4):233-4. doi: 10.1159/000090718. Epub 2006 Jan 6.</t>
  </si>
  <si>
    <t>Absolute quantification of viral DNA: the quest for perfection</t>
  </si>
  <si>
    <t>Russo D, Malnati MS.</t>
  </si>
  <si>
    <t>Methods Mol Biol. 2014;1160:75-86. doi: 10.1007/978-1-4939-0733-5_7.</t>
  </si>
  <si>
    <t>Methods Mol Biol</t>
  </si>
  <si>
    <t>Genomic heterogeneity of human herpesvirus 6 isolates</t>
  </si>
  <si>
    <t>Pellett PE, Lindquester GJ, Feorino P, Lopez C.</t>
  </si>
  <si>
    <t>Adv Exp Med Biol. 1990;278:9-18. doi: 10.1007/978-1-4684-5853-4_2.</t>
  </si>
  <si>
    <t>Establishment and functional characterization of human herpesvirus 6-specific CD4+ human T-cell clones</t>
  </si>
  <si>
    <t>J Virol. 1992 May;66(5):2773-9. doi: 10.1128/JVI.66.5.2773-2779.1992.</t>
  </si>
  <si>
    <t>PMC241033</t>
  </si>
  <si>
    <t>[Human herpes virus 6 infection in renal transplant recipient--case report]</t>
  </si>
  <si>
    <t>Deborska-Materkowska D, Sadowska A, Matłosz B, Zegarska J, Durlik M.</t>
  </si>
  <si>
    <t>Przegl Epidemiol. 2006;60(1):141-6.</t>
  </si>
  <si>
    <t>Infection of infants with human herpesvirus type 6 may be associated with reduced allergic sensitization and T-helper type 2 development</t>
  </si>
  <si>
    <t>Nordström I, Rudin A, Adlerberth I, Wold A, Saalman R, Hesselmar B, Aberg N, Liljeqvist JA, Eriksson K.</t>
  </si>
  <si>
    <t>Clin Exp Allergy. 2010 Jun;40(6):882-90. doi: 10.1111/j.1365-2222.2010.03491.x. Epub 2010 Mar 19.</t>
  </si>
  <si>
    <t>Clin Exp Allergy</t>
  </si>
  <si>
    <t>Clinical characteristics and outcome of human herpesvirus-6 encephalitis after allogeneic hematopoietic stem cell transplantation</t>
  </si>
  <si>
    <t>Ogata M, Oshima K, Ikebe T, Takano K, Kanamori H, Kondo T, Ueda Y, Mori T, Hashimoto H, Ogawa H, Eto T, Ueki T, Miyamoto T, Ichinohe T, Atsuta Y, Fukuda T.</t>
  </si>
  <si>
    <t>Bone Marrow Transplant. 2017 Nov;52(11):1563-1570. doi: 10.1038/bmt.2017.175. Epub 2017 Aug 7.</t>
  </si>
  <si>
    <t>Bilateral striatal lesion due to herpesvirus-6 infection</t>
  </si>
  <si>
    <t>Cury RG, Lopez WO.</t>
  </si>
  <si>
    <t>J Neurol Sci. 2015 Nov 15;358(1-2):538-9. doi: 10.1016/j.jns.2015.10.015. Epub 2015 Oct 9.</t>
  </si>
  <si>
    <t>J Neurol Sci</t>
  </si>
  <si>
    <t>Novel gene therapy viral vector using non-oncogenic lymphotropic herpesvirus</t>
  </si>
  <si>
    <t>Shimizu A, Kobayashi N, Shimada K, Oura K, Tanaka T, Okamoto A, Kondo K.</t>
  </si>
  <si>
    <t>PLoS One. 2013;8(2):e56027. doi: 10.1371/journal.pone.0056027. Epub 2013 Feb 11.</t>
  </si>
  <si>
    <t>PMC3569415</t>
  </si>
  <si>
    <t>IgG antibodies to human herpesvirus-6 (HHV-6) in Italian people</t>
  </si>
  <si>
    <t>Cermelli C, Moroni A, Pietrosemoli P, Pecorari M, Portolani M.</t>
  </si>
  <si>
    <t>Microbiologica. 1992 Jan;15(1):57-63.</t>
  </si>
  <si>
    <t>Microbiologica</t>
  </si>
  <si>
    <t>Human herpesvirus 6A promotes glycolysis in infected T cells by activation of mTOR signaling</t>
  </si>
  <si>
    <t>Wu Z, Jia J, Xu X, Xu M, Peng G, Ma J, Jiang X, Yao J, Yao K, Li L, Tang H.</t>
  </si>
  <si>
    <t>PLoS Pathog. 2020 Jun 9;16(6):e1008568. doi: 10.1371/journal.ppat.1008568. eCollection 2020 Jun.</t>
  </si>
  <si>
    <t>PMC7282626</t>
  </si>
  <si>
    <t>Immunohistological detection of human herpes virus 6 in formalin-fixed, paraffin-embedded lung tissues</t>
  </si>
  <si>
    <t>Pitalia AK, Liu-Yin JA, Freemont AJ, Morris DJ, Fitzmaurice RJ.</t>
  </si>
  <si>
    <t>J Med Virol. 1993 Oct;41(2):103-7. doi: 10.1002/jmv.1890410204.</t>
  </si>
  <si>
    <t>HHV-6, 7 and their related diseases</t>
  </si>
  <si>
    <t>Kosuge H.</t>
  </si>
  <si>
    <t>J Dermatol Sci. 2000 Apr;22(3):205-12. doi: 10.1016/s0923-1811(99)00086-9.</t>
  </si>
  <si>
    <t>J Dermatol Sci</t>
  </si>
  <si>
    <t>Etiology of severe sensorineural hearing loss in children: independent impact of congenital cytomegalovirus infection and GJB2 mutations</t>
  </si>
  <si>
    <t>Ogawa H, Suzutani T, Baba Y, Koyano S, Nozawa N, Ishibashi K, Fujieda K, Inoue N, Omori K.</t>
  </si>
  <si>
    <t>J Infect Dis. 2007 Mar 15;195(6):782-8. doi: 10.1086/511981. Epub 2007 Feb 6.</t>
  </si>
  <si>
    <t>CD68+ cells of monocyte/macrophage lineage in the environment of AIDS-associated and classic-sporadic Kaposi sarcoma are singly or doubly infected with human herpesviruses 7 and 6B</t>
  </si>
  <si>
    <t>Kempf W, Adams V, Wey N, Moos R, Schmid M, Avitabile E, Campadelli-Fiume G.</t>
  </si>
  <si>
    <t>Proc Natl Acad Sci U S A. 1997 Jul 8;94(14):7600-5. doi: 10.1073/pnas.94.14.7600.</t>
  </si>
  <si>
    <t>PMC23868</t>
  </si>
  <si>
    <t>Human herpes virus 6 and human herpes virus 8 DNA sequences in brains of multiple sclerosis patients, normal adults and children</t>
  </si>
  <si>
    <t>Merelli E, Bedin R, Sola P, Barozzi P, Mancardi GL, Ficarra G, Franchini G.</t>
  </si>
  <si>
    <t>J Neurol. 1997 Jul;244(7):450-4. doi: 10.1007/s004150050121.</t>
  </si>
  <si>
    <t>J Neurol</t>
  </si>
  <si>
    <t>Reactivation of human herpesvirus 6 and 7 in pregnant women</t>
  </si>
  <si>
    <t>Ohashi M, Yoshikawa T, Ihira M, Suzuki K, Suga S, Tada S, Udagawa Y, Sakui H, Iida K, Saito Y, Nisiyama Y, Asano Y.</t>
  </si>
  <si>
    <t>J Med Virol. 2002 Jul;67(3):354-8. doi: 10.1002/jmv.10083.</t>
  </si>
  <si>
    <t>[The human herpesvirus type 6 (HHV-6) and its spread in Russia]</t>
  </si>
  <si>
    <t>Stepina VN, Afanas'eva TA, Evtushenko VV, Pivnik AV, Riashentsev MM, Andreev IuN, Kistoglu Kh, Gurtsevich VE.</t>
  </si>
  <si>
    <t>Vopr Virusol. 1993 Mar-Apr;38(2):66-9.</t>
  </si>
  <si>
    <t>Vopr Virusol</t>
  </si>
  <si>
    <t>Deformation of erythroblasts in transient erythroblastopenia of childhood caused by HHV-6</t>
  </si>
  <si>
    <t>Ogawa A, Yanagisawa R.</t>
  </si>
  <si>
    <t>Blood. 2016 Jun 2;127(22):2776. doi: 10.1182/blood-2016-03-704924. Epub 2016 Jun 2.</t>
  </si>
  <si>
    <t>Metagenomic Next-Generation Sequencing (mNGS) of cerebrospinal fluid for diagnosis of human herpesvirus 6B encephalitis following transplantation for severe aplastic anemia</t>
  </si>
  <si>
    <t>Zhang K, Xu J, Chen G, Yang R, Jiang M, Yuan H.</t>
  </si>
  <si>
    <t>J Infect Dev Ctries. 2024 Jan 31;18(1):152-157. doi: 10.3855/jidc.18152.</t>
  </si>
  <si>
    <t>J Infect Dev Ctries</t>
  </si>
  <si>
    <t>Phenotypic alterations and survival of monocytes following infection by human herpesvirus-6</t>
  </si>
  <si>
    <t>Janelle ME, Flamand L.</t>
  </si>
  <si>
    <t>Arch Virol. 2006 Aug;151(8):1603-14. doi: 10.1007/s00705-005-0715-6. Epub 2006 Feb 13.</t>
  </si>
  <si>
    <t>PMC7087170</t>
  </si>
  <si>
    <t>Risk factors for developing human herpesvirus 6 (HHV-6) reactivation after allogeneic hematopoietic stem cell transplantation and its association with central nervous system disorders</t>
  </si>
  <si>
    <t>Yamane A, Mori T, Suzuki S, Mihara A, Yamazaki R, Aisa Y, Nakazato T, Shimizu T, Ikeda Y, Okamoto S.</t>
  </si>
  <si>
    <t>Biol Blood Marrow Transplant. 2007 Jan;13(1):100-6. doi: 10.1016/j.bbmt.2006.09.003.</t>
  </si>
  <si>
    <t>Diabetes insipidus following HHV-6 encephalitis after cord blood transplantation in acute myeloid leukemia</t>
  </si>
  <si>
    <t>Tasaka T, Matsuhashi Y, Sadhira K, Matsuoka A, Ohnishi H, Kubota Y, Nagai M.</t>
  </si>
  <si>
    <t>Leuk Res. 2009 Jan;33(1):202-4. doi: 10.1016/j.leukres.2008.07.001. Epub 2008 Aug 8.</t>
  </si>
  <si>
    <t>A serological investigation of human herpesvirus 6 infections in liver transplant recipients and the detection of cross-reacting antibodies to cytomegalovirus</t>
  </si>
  <si>
    <t>Sutherland S, Christofinis G, O'Grady J, Williams R.</t>
  </si>
  <si>
    <t>J Med Virol. 1991 Mar;33(3):172-6. doi: 10.1002/jmv.1890330306.</t>
  </si>
  <si>
    <t>Subacute leukoencephalitis caused by CNS infection with human herpesvirus-6 manifesting as acute multiple sclerosis</t>
  </si>
  <si>
    <t>Carrigan DR, Harrington D, Knox KK.</t>
  </si>
  <si>
    <t>Neurology. 1996 Jul;47(1):145-8. doi: 10.1212/wnl.47.1.145.</t>
  </si>
  <si>
    <t>Neurology</t>
  </si>
  <si>
    <t>Examination of cutaneous T-cell lymphoma for human herpesviruses by using the polymerase chain reaction</t>
  </si>
  <si>
    <t>Brice SL, Jester JD, Friednash M, Golitz LE, Leahy MA, Stockert SS, Weston WL.</t>
  </si>
  <si>
    <t>J Cutan Pathol. 1993 Aug;20(4):304-7. doi: 10.1111/j.1600-0560.1993.tb01266.x.</t>
  </si>
  <si>
    <t>Primary human herpes virus 6 infection transmitted from donor to recipient through bone marrow infusion</t>
  </si>
  <si>
    <t>Lau YL, Peiris M, Chan GC, Chan AC, Chiu D, Ha SY.</t>
  </si>
  <si>
    <t>Bone Marrow Transplant. 1998 May;21(10):1063-6. doi: 10.1038/sj.bmt.1701230.</t>
  </si>
  <si>
    <t>Encephalitis owing to human herpesvirus-6 after cardiac transplant</t>
  </si>
  <si>
    <t>Nash PJ, Avery RK, Tang WH, Starling RC, Taege AJ, Yamani MH.</t>
  </si>
  <si>
    <t>Am J Transplant. 2004 Jul;4(7):1200-3. doi: 10.1111/j.1600-6143.2004.00459.x.</t>
  </si>
  <si>
    <t>Human herpesvirus 6 in hematologic diseases in China</t>
  </si>
  <si>
    <t>Ma XT, Song YH, Lu DM, Mu GF, Li G, Ji LX, Yang RC, Wu KF.</t>
  </si>
  <si>
    <t>Haematologica. 2000 May;85(5):458-63.</t>
  </si>
  <si>
    <t>Human herpesviruses 6 and 7: identification of newly recognized viral pathogens and their association with human disease</t>
  </si>
  <si>
    <t>Kimberlin DW.</t>
  </si>
  <si>
    <t>Pediatr Infect Dis J. 1998 Jan;17(1):59-67; quiz 68. doi: 10.1097/00006454-199801000-00013.</t>
  </si>
  <si>
    <t>Human herpesvirus-6 DNAemia in immunosuppressed adult patients with leukemia at risk for mold infection</t>
  </si>
  <si>
    <t>Chemaly RF, Torres HA, Hachem R, Kontoyiannis DP, Safdar A, Raad II.</t>
  </si>
  <si>
    <t>Haematologica. 2008 Jan;93(1):157-8. doi: 10.3324/haematol.11638.</t>
  </si>
  <si>
    <t>Human herpesvirus 6 in transplant recipients: an update on diagnostic and treatment strategies</t>
  </si>
  <si>
    <t>Hill JA.</t>
  </si>
  <si>
    <t>Curr Opin Infect Dis. 2019 Dec;32(6):584-590. doi: 10.1097/QCO.0000000000000592.</t>
  </si>
  <si>
    <t>PMC7141773</t>
  </si>
  <si>
    <t>NIHMS1575637</t>
  </si>
  <si>
    <t>Clinical practice recommendations for the diagnosis and management of human herpesvirus-6B encephalitis after allogeneic hematopoietic stem cell transplantation: the Japan Society for Hematopoietic Cell Transplantation</t>
  </si>
  <si>
    <t>Ogata M, Uchida N, Fukuda T, Ikegame K, Kamimura T, Onizuka M, Kato K, Kobayashi H, Sasahara Y, Sawa M, Sawada A, Hasegawa D, Masuko M, Miyamoto T, Okamoto S.</t>
  </si>
  <si>
    <t>Bone Marrow Transplant. 2020 Jun;55(6):1004-1013. doi: 10.1038/s41409-019-0752-5. Epub 2019 Nov 19.</t>
  </si>
  <si>
    <t>Discovery of a second form of tripartite complex containing gH-gL of human herpesvirus 6 and observations on CD46</t>
  </si>
  <si>
    <t>Mori Y, Akkapaiboon P, Yonemoto S, Koike M, Takemoto M, Sadaoka T, Sasamoto Y, Konishi S, Uchiyama Y, Yamanishi K.</t>
  </si>
  <si>
    <t>J Virol. 2004 May;78(9):4609-16. doi: 10.1128/jvi.78.9.4609-4616.2004.</t>
  </si>
  <si>
    <t>PMC387711</t>
  </si>
  <si>
    <t>Human herpesvirus 6 can be detected in cerebrospinal fluid without associated symptoms after allogeneic hematopoietic cell transplantation</t>
  </si>
  <si>
    <t>Hill JA, Boeckh MJ, Sedlak RH, Jerome KR, Zerr DM.</t>
  </si>
  <si>
    <t>J Clin Virol. 2014 Oct;61(2):289-92. doi: 10.1016/j.jcv.2014.07.001. Epub 2014 Jul 12.</t>
  </si>
  <si>
    <t>PMC4165730</t>
  </si>
  <si>
    <t>NIHMS613425</t>
  </si>
  <si>
    <t>Human herpesvirus-6 (HHV-6) and HHV-7 infections in bone marrow transplant recipients</t>
  </si>
  <si>
    <t>Peiris M.</t>
  </si>
  <si>
    <t>Crit Rev Oncol Hematol. 1999 Dec;32(3):187-96. doi: 10.1016/s1040-8428(99)00046-3.</t>
  </si>
  <si>
    <t>Crit Rev Oncol Hematol</t>
  </si>
  <si>
    <t>Human herpes virus 6 in archival cardiac tissues from children with idiopathic dilated cardiomyopathy or congenital heart disease</t>
  </si>
  <si>
    <t>Comar M, D'Agaro P, Campello C, Poli A, Breinholt JP 3rd, Towbin JA, Vatta M.</t>
  </si>
  <si>
    <t>J Clin Pathol. 2009 Jan;62(1):80-3. doi: 10.1136/jcp.2008.059568. Epub 2008 Sep 25.</t>
  </si>
  <si>
    <t>Human herpesvirus 6 (HHV-6) alters E2F1/Rb pathways and utilizes the E2F1 transcription factor to express viral genes</t>
  </si>
  <si>
    <t>Sharon E, Volchek L, Frenkel N.</t>
  </si>
  <si>
    <t>Proc Natl Acad Sci U S A. 2014 Jan 7;111(1):451-6. doi: 10.1073/pnas.1308854110. Epub 2013 Dec 12.</t>
  </si>
  <si>
    <t>PMC3890880</t>
  </si>
  <si>
    <t>The cross-talk between STAT1/STAT3 and ROS up-regulates PD-L1 and promotes the release of pro-inflammatory/immune suppressive cytokines in primary monocytes infected by HHV-6B</t>
  </si>
  <si>
    <t>Romeo MA, Gilardini Montani MS, Benedetti R, Giambelli L, D'Aprile R, Gaeta A, Faggioni A, Cirone M.</t>
  </si>
  <si>
    <t>Virus Res. 2021 Jan 15;292:198231. doi: 10.1016/j.virusres.2020.198231. Epub 2020 Nov 15.</t>
  </si>
  <si>
    <t>Childhood infections with human herpesviruses types 6, 7, and 8</t>
  </si>
  <si>
    <t>Grose C.</t>
  </si>
  <si>
    <t>Adv Pediatr Infect Dis. 1996;12:181-208.</t>
  </si>
  <si>
    <t>Adv Pediatr Infect Dis</t>
  </si>
  <si>
    <t>Multiple transmissions of chromosomally integrated human herpesvirus-6 in one family</t>
  </si>
  <si>
    <t>Rashidi A, Obeid K, Hill J, Warlick ED, Weisdorf DJ.</t>
  </si>
  <si>
    <t>Transpl Infect Dis. 2018 Feb;20(1). doi: 10.1111/tid.12816. Epub 2018 Jan 16.</t>
  </si>
  <si>
    <t>Modulation of the cytokine network in human adult astrocytes by human herpesvirus-6A</t>
  </si>
  <si>
    <t>Meeuwsen S, Persoon-Deen C, Bsibsi M, Bajramovic JJ, Ravid R, De Bolle L, van Noort JM.</t>
  </si>
  <si>
    <t>J Neuroimmunol. 2005 Jul;164(1-2):37-47. doi: 10.1016/j.jneuroim.2005.03.013.</t>
  </si>
  <si>
    <t>J Neuroimmunol</t>
  </si>
  <si>
    <t>Interferon and natural killer cell activity in patients with exanthem subitum</t>
  </si>
  <si>
    <t>Takahashi K, Segal E, Kondo T, Mukai T, Moriyama M, Takahashi M, Yamanishi K.</t>
  </si>
  <si>
    <t>Pediatr Infect Dis J. 1992 May;11(5):369-73. doi: 10.1097/00006454-199205000-00006.</t>
  </si>
  <si>
    <t>Cytomegalovirus, human herpesvirus-6, and human herpesvirus-7 in hematological patients</t>
  </si>
  <si>
    <t>Clark DA, Emery VC, Griffiths PD.</t>
  </si>
  <si>
    <t>Semin Hematol. 2003 Apr;40(2):154-62. doi: 10.1053/shem.2003.50015.</t>
  </si>
  <si>
    <t>Semin Hematol</t>
  </si>
  <si>
    <t>[Human herpesvirus-6 pneumonitis following autologous peripheral blood stem cell transplantation]</t>
  </si>
  <si>
    <t>Saitoh Y, Gotoh M, Yoshizawa S, Akahane D, Fujimoto H, Ito Y, Ohyashiki K.</t>
  </si>
  <si>
    <t>Rinsho Ketsueki. 2018;59(3):300-304. doi: 10.11406/rinketsu.59.300.</t>
  </si>
  <si>
    <t>Human Herpesvirus 6 Infection in Pediatric Liver Transplantation: Single-Center Study of Incidence, Outcomes, and Management</t>
  </si>
  <si>
    <t>Mysore KR, Phan TL, Himes RW, Schady D, Eldin KW, Prusty BK, Munoz FM.</t>
  </si>
  <si>
    <t>J Pediatric Infect Dis Soc. 2021 May 28;10(5):599-606. doi: 10.1093/jpids/piaa166.</t>
  </si>
  <si>
    <t>J Pediatric Infect Dis Soc</t>
  </si>
  <si>
    <t>PMC8163056</t>
  </si>
  <si>
    <t>[Seroprevalence of antibodies to human herpesvirus 6 (exanthema subitum; critical 3-day fever-exanthema in young children) in the population of Northern Germany]</t>
  </si>
  <si>
    <t>Wiersbitzky S, Eberle J, Bruns R, Weidemeier H, Bittner S, Dorn U, Frick G, Abel E, Ladstätter L, Deinhardt F.</t>
  </si>
  <si>
    <t>Kinderarztl Prax. 1991 Jun;59(6):170-3.</t>
  </si>
  <si>
    <t>Kinderarztl Prax</t>
  </si>
  <si>
    <t>The HHV-6B U20 glycoprotein binds ULBP1, masking it from recognition by NKG2D and interfering with natural killer cell activation</t>
  </si>
  <si>
    <t>Weaver GC, Schneider CL, Becerra-Artiles A, Clayton KL, Hudson AW, Stern LJ.</t>
  </si>
  <si>
    <t>Front Immunol. 2024 Jun 17;15:1363156. doi: 10.3389/fimmu.2024.1363156. eCollection 2024.</t>
  </si>
  <si>
    <t>PMC11215065</t>
  </si>
  <si>
    <t>Human herpesvirus 6 viremia in bone marrow transplant recipients: clinical features and risk factors</t>
  </si>
  <si>
    <t>Yoshikawa T, Asano Y, Ihira M, Suzuki K, Ohashi M, Suga S, Kudo K, Horibe K, Kojima S, Kato K, Matsuyama T, Nishiyama Y.</t>
  </si>
  <si>
    <t>J Infect Dis. 2002 Apr 1;185(7):847-53. doi: 10.1086/339411. Epub 2002 Mar 19.</t>
  </si>
  <si>
    <t>[HHV-6 encephalitis following allogeneic hematopoietic cell transplantation]</t>
  </si>
  <si>
    <t>Fukuda T.</t>
  </si>
  <si>
    <t>Rinsho Shinkeigaku. 2006 Nov;46(11):954.</t>
  </si>
  <si>
    <t>High intrahepatic HHV-6 virus loads but neither CMV nor EBV are associated with decreased graft survival after diagnosis of graft hepatitis</t>
  </si>
  <si>
    <t>Pischke S, Gösling J, Engelmann I, Schlue J, Wölk B, Jäckel E, Meyer-Heithuis C, Lehmann U, Strassburg CP, Barg-Hock H, Becker T, Manns MP, Schulz T, Wedemeyer H, Heim A.</t>
  </si>
  <si>
    <t>J Hepatol. 2012 May;56(5):1063-1069. doi: 10.1016/j.jhep.2011.12.017. Epub 2012 Jan 13.</t>
  </si>
  <si>
    <t>Successful treatment of human herpesvirus 6 encephalitis in a bone marrow transplant recipient</t>
  </si>
  <si>
    <t>Cole PD, Stiles J, Boulad F, Small TN, O'Reilly RJ, George D, Szabolcs P, Kiehn TE, Kernan NA.</t>
  </si>
  <si>
    <t>Clin Infect Dis. 1998 Sep;27(3):653-4. doi: 10.1086/517145.</t>
  </si>
  <si>
    <t>A fatal case of acute HHV-6 myocarditis following allogeneic haemopoietic stem cell transplantation</t>
  </si>
  <si>
    <t>Brennan Y, Gottlieb DJ, Baewer D, Blyth E.</t>
  </si>
  <si>
    <t>J Clin Virol. 2015 Nov;72:82-4. doi: 10.1016/j.jcv.2015.09.013. Epub 2015 Oct 9.</t>
  </si>
  <si>
    <t>Central Nervous System Opportunistic Infections</t>
  </si>
  <si>
    <t>Agnihotri SP.</t>
  </si>
  <si>
    <t>Semin Neurol. 2019 Jun;39(3):383-390. doi: 10.1055/s-0039-1687842. Epub 2019 Aug 2.</t>
  </si>
  <si>
    <t>Semin Neurol</t>
  </si>
  <si>
    <t>Expert working group on HHV-6 and 7 laboratory diagnosis and testing</t>
  </si>
  <si>
    <t>Can Commun Dis Rep. 2000 Sep;26 Suppl 4:i-iv, 1-27, i-iv passim.</t>
  </si>
  <si>
    <t>Can Commun Dis Rep</t>
  </si>
  <si>
    <t>A pilot study on the role of cytomegalovirus &amp; human herpesvirus-6 infections in Indian bone marrow transplant recipients</t>
  </si>
  <si>
    <t>Finny GJ, Mathews V, Abraham P, Abraham M, Chandy M, Srivastava A, Nitsche A, Siegert W, Sridharan G.</t>
  </si>
  <si>
    <t>Indian J Med Res. 2001 Aug;114:39-46.</t>
  </si>
  <si>
    <t>Indian J Med Res</t>
  </si>
  <si>
    <t>Off-the-Shelf Virus-Specific T Cells to Treat BK Virus, Human Herpesvirus 6, Cytomegalovirus, Epstein-Barr Virus, and Adenovirus Infections After Allogeneic Hematopoietic Stem-Cell Transplantation</t>
  </si>
  <si>
    <t>Tzannou I, Papadopoulou A, Naik S, Leung K, Martinez CA, Ramos CA, Carrum G, Sasa G, Lulla P, Watanabe A, Kuvalekar M, Gee AP, Wu MF, Liu H, Grilley BJ, Krance RA, Gottschalk S, Brenner MK, Rooney CM, Heslop HE, Leen AM, Omer B.</t>
  </si>
  <si>
    <t>J Clin Oncol. 2017 Nov 1;35(31):3547-3557. doi: 10.1200/JCO.2017.73.0655. Epub 2017 Aug 7.</t>
  </si>
  <si>
    <t>PMC5662844</t>
  </si>
  <si>
    <t>The glycoproteins of the human herpesviruses</t>
  </si>
  <si>
    <t>Manservigi R, Cassai E.</t>
  </si>
  <si>
    <t>Comp Immunol Microbiol Infect Dis. 1991;14(2):81-95. doi: 10.1016/0147-9571(91)90123-u.</t>
  </si>
  <si>
    <t>Comp Immunol Microbiol Infect Dis</t>
  </si>
  <si>
    <t>[How to manage EBV reactivation and EBV-PTLD, CMV and human herpesvirus 6 reactivation and infection after allogeneic stem cell transplantation: A report of the SFGM-TC (update)]</t>
  </si>
  <si>
    <t>Brissot E, Alsuliman T, Gruson B, Hermet E, Tirefort Y, Yakoub-Agha I, Alain S.</t>
  </si>
  <si>
    <t>Bull Cancer. 2017 Dec;104(12S):S181-S187. doi: 10.1016/j.bulcan.2017.10.022. Epub 2017 Nov 21.</t>
  </si>
  <si>
    <t>Bull Cancer</t>
  </si>
  <si>
    <t>Successful treatment and FDG-PET/CT monitoring of HHV-6 encephalitis in a non-neutropenic patient: case report and literature review</t>
  </si>
  <si>
    <t>Righi E, Carnelutti A, Muser D, Zaja F, Lucchini E, Pea F, Di Gregorio F, Alavi A, Bassetti M.</t>
  </si>
  <si>
    <t>J Neurovirol. 2017 Dec;23(6):908-912. doi: 10.1007/s13365-017-0566-4. Epub 2017 Aug 18.</t>
  </si>
  <si>
    <t>Detection of Merkel cell polyomavirus in oral samples of renal transplant recipients without Merkel cell carcinoma</t>
  </si>
  <si>
    <t>Baez CF, Guimarães MA, Martins RA, Zalona AC, Cossatis JJ, Zalis MG, Cavalcanti SM, Varella RB.</t>
  </si>
  <si>
    <t>J Med Virol. 2013 Nov;85(11):2016-9. doi: 10.1002/jmv.23687. Epub 2013 Jul 12.</t>
  </si>
  <si>
    <t>Evidence for human herpesvirus-6B infection of regulatory T-cells in acute systemic lymphadenitis in an immunocompetent adult with the drug reaction with eosinophilia and systemic symptoms syndrome: a case report</t>
  </si>
  <si>
    <t>Mine S, Suzuki K, Sato Y, Fukumoto H, Kataoka M, Inoue N, Ohbayashi C, Hasegawa H, Sata T, Fukayama M, Katano H.</t>
  </si>
  <si>
    <t>J Clin Virol. 2014 Nov;61(3):448-52. doi: 10.1016/j.jcv.2014.08.025. Epub 2014 Sep 16.</t>
  </si>
  <si>
    <t>Human herpesvirus 6 infection and cytomegalovirus-specific lymphoproliferative responses in allogeneic stem cell transplant recipients</t>
  </si>
  <si>
    <t>Wang FZ, Larsson K, Linde A, Ljungman P.</t>
  </si>
  <si>
    <t>Bone Marrow Transplant. 2002 Oct;30(8):521-6. doi: 10.1038/sj.bmt.1703657.</t>
  </si>
  <si>
    <t>Retrospective case analysis of antiviral therapies for HHV-6 encephalitis after hematopoietic stem cell transplantation</t>
  </si>
  <si>
    <t>Toomey D, Phan TL, Nguyen V, Phan TT, Ogata M.</t>
  </si>
  <si>
    <t>Transpl Infect Dis. 2021 Feb;23(1):e13443. doi: 10.1111/tid.13443. Epub 2020 Sep 1.</t>
  </si>
  <si>
    <t>Confirmation of the low clinical effect of human herpesvirus-6 and -7 infections after renal transplantation</t>
  </si>
  <si>
    <t>Caïola D, Karras A, Flandre P, Boutolleau D, Scieux C, Agut H, Legendre C, Gautheret-Dejean A.</t>
  </si>
  <si>
    <t>J Med Virol. 2012 Mar;84(3):450-6. doi: 10.1002/jmv.23206.</t>
  </si>
  <si>
    <t>Post transplant CD8+ gammadelta T-cell lymphoma associated with human herpes virus-6 infection</t>
  </si>
  <si>
    <t>Lin WC, Moore JO, Mann KP, Traweek ST, Smith C.</t>
  </si>
  <si>
    <t>Leuk Lymphoma. 1999 Apr;33(3-4):377-84. doi: 10.3109/10428199909058439.</t>
  </si>
  <si>
    <t>Mechanism of neuroinflammation: enhanced cytotoxicity and IL-17 production via CD46 binding</t>
  </si>
  <si>
    <t>Yao K, Graham J, Akahata Y, Oh U, Jacobson S.</t>
  </si>
  <si>
    <t>J Neuroimmune Pharmacol. 2010 Sep;5(3):469-78. doi: 10.1007/s11481-010-9232-9. Epub 2010 Jul 27.</t>
  </si>
  <si>
    <t>J Neuroimmune Pharmacol</t>
  </si>
  <si>
    <t>PMC4758197</t>
  </si>
  <si>
    <t>NIHMS757864</t>
  </si>
  <si>
    <t>Gene expression profile of herpesvirus-infected T cells obtained using immunomicroarrays: induction of proinflammatory mechanisms</t>
  </si>
  <si>
    <t>Mayne M, Cheadle C, Soldan SS, Cermelli C, Yamano Y, Akhyani N, Nagel JE, Taub DD, Becker KG, Jacobson S.</t>
  </si>
  <si>
    <t>J Virol. 2001 Dec;75(23):11641-50. doi: 10.1128/JVI.75.23.11641-11650.2001.</t>
  </si>
  <si>
    <t>PMC114751</t>
  </si>
  <si>
    <t>Qualitative and quantitative analysis of human herpesviruses in chronic and acute B cell lymphocytic leukemia and in multiple myeloma</t>
  </si>
  <si>
    <t>Hermouet S, Sutton CA, Rose TM, Greenblatt RJ, Corre I, Garand R, Neves AM, Bataille R, Casey JW.</t>
  </si>
  <si>
    <t>Leukemia. 2003 Jan;17(1):185-95. doi: 10.1038/sj.leu.2402748.</t>
  </si>
  <si>
    <t>Beneficial effect of the CXCL12-3'A variant for patients undergoing hematopoietic stem cell transplantation from unrelated donors</t>
  </si>
  <si>
    <t>Bogunia-Kubik K, Mizia S, Polak M, Gronkowska A, Nowak J, Kyrcz-Krzemień S, Markiewicz M, Dzierżak-Mietła M, Koclęga A, Sędzimirska M, Suchnicki K, Duda D, Lange J, Mordak-Domagała M, Kościńska K, Jędrzejczak WW, Kaczmarek B, Hellmann A, Kucharska A, Kowalczyk J, Drabko K, Warzocha K, Hałaburda K, Tomaszewska A, Mika-Witkowska R, Witkowska A, Goździk J, Mordel A, Wysoczańska B, Jaskula E, Lange A; POLISH DONOR–RECIPIENT STUDY GROUP.</t>
  </si>
  <si>
    <t>Cytokine. 2015 Dec;76(2):182-186. doi: 10.1016/j.cyto.2015.05.001. Epub 2015 May 14.</t>
  </si>
  <si>
    <t>Cytokine</t>
  </si>
  <si>
    <t>X-Linked agammaglobulinemia patients are not infected with Epstein-Barr virus: implications for the biology of the virus</t>
  </si>
  <si>
    <t>Faulkner GC, Burrows SR, Khanna R, Moss DJ, Bird AG, Crawford DH.</t>
  </si>
  <si>
    <t>J Virol. 1999 Feb;73(2):1555-64. doi: 10.1128/JVI.73.2.1555-1564.1999.</t>
  </si>
  <si>
    <t>PMC103980</t>
  </si>
  <si>
    <t>Exacerbation of idiopathic thrombocytopenic purpura by primary human herpesvirus 6 infection</t>
  </si>
  <si>
    <t>Yoshikawa T, Asano Y, Kobayashi I, Nakashima T, Yazaki T.</t>
  </si>
  <si>
    <t>Pediatr Infect Dis J. 1993 May;12(5):409-10. doi: 10.1097/00006454-199305000-00014.</t>
  </si>
  <si>
    <t>Spontaneous resolution of p58/EB6 antigen restricted NK-type lymphoproliferative disease of granular lymphocytes: role of Epstein Barr virus infection</t>
  </si>
  <si>
    <t>Zambello R, Loughran TP Jr, Trentin L, Rassu M, Facco M, Bortolin M, Nash R, Agostini C, Semenzato G.</t>
  </si>
  <si>
    <t>Br J Haematol. 1997 Oct;99(1):215-21. doi: 10.1046/j.1365-2141.1997.3623176.x.</t>
  </si>
  <si>
    <t>Clinical characteristics of human herpesvirus-6 myelitis after allogeneic hematopoietic stem cell transplantation and its favorable outcome by early intervention</t>
  </si>
  <si>
    <t>Shiroshita K, Mori T, Kato J, Sakurai M, Koda Y, Abe R, Murakami K, Sumiya C, Fujita S, Yamaguchi K, Yamazaki R, Nakayama H, Suzuki S, Nakahara J, Okamoto S.</t>
  </si>
  <si>
    <t>Bone Marrow Transplant. 2020 May;55(5):939-945. doi: 10.1038/s41409-019-0755-2. Epub 2019 Nov 21.</t>
  </si>
  <si>
    <t>Human cytomegalovirus, human herpesvirus-6 and human herpesvirus-7 in neutropenic patients with fever of unknown origin</t>
  </si>
  <si>
    <t>Persson L, Dahl H, Linde A, Engervall P, Vikerfors T, Tidefelt U.</t>
  </si>
  <si>
    <t>Clin Microbiol Infect. 2003 Jul;9(7):640-4. doi: 10.1046/j.1469-0691.2003.00578.x.</t>
  </si>
  <si>
    <t>Human Herpesvirus 6B in the Transplant Recipient: When to Worry, When to Act</t>
  </si>
  <si>
    <t>J Pediatric Infect Dis Soc. 2018 Dec 26;7(suppl_2):S75-S78. doi: 10.1093/jpids/piy111.</t>
  </si>
  <si>
    <t>Transactivation of the human immunodeficiency virus promoter by human herpesvirus 6 (HHV-6) strains GS and Z-29 in primary human T lymphocytes and identification of transactivating HHV-6(GS) gene fragments</t>
  </si>
  <si>
    <t>Horvat RT, Wood C, Josephs SF, Balachandran N.</t>
  </si>
  <si>
    <t>J Virol. 1991 Jun;65(6):2895-902. doi: 10.1128/JVI.65.6.2895-2902.1991.</t>
  </si>
  <si>
    <t>PMC240920</t>
  </si>
  <si>
    <t>Chromosomally integrated human herpesvirus-6 in kidney transplant recipients</t>
  </si>
  <si>
    <t>Lee SO, Brown RA, Eid AJ, Razonable RR.</t>
  </si>
  <si>
    <t>Nephrol Dial Transplant. 2011 Jul;26(7):2391-3. doi: 10.1093/ndt/gfr259. Epub 2011 May 12.</t>
  </si>
  <si>
    <t>[Follow-up study of human herpesvirus 6 and human cytomegalovirus infection in organ transplantation recipients]</t>
  </si>
  <si>
    <t>Luo M, Xiao Y, Dai G.</t>
  </si>
  <si>
    <t>Hunan Yi Ke Da Xue Xue Bao. 1999;24(2):116-8.</t>
  </si>
  <si>
    <t>Hunan Yi Ke Da Xue Xue Bao</t>
  </si>
  <si>
    <t>Comparison of specific serological assays for diagnosing human herpesvirus 6 infection after liver transplantation</t>
  </si>
  <si>
    <t>Yoshikawa T, Black JB, Ihira M, Suzuki K, Suga S, Iida K, Saito Y, Asonuma K, Tanaka K, Asano Y.</t>
  </si>
  <si>
    <t>Clin Diagn Lab Immunol. 2001 Jan;8(1):170-3. doi: 10.1128/CDLI.8.1.170-173.2001.</t>
  </si>
  <si>
    <t>Clin Diagn Lab Immunol</t>
  </si>
  <si>
    <t>PMC96028</t>
  </si>
  <si>
    <t>Individuals with inherited chromosomally integrated human herpes virus 6 (ciHHV-6) have functionally active HHV-6 specific T-cell immunity</t>
  </si>
  <si>
    <t>Strenger V, Kayser S, Witte KE, Lassner D, Schwinger W, Jahn G, Urban C, Feuchtinger T.</t>
  </si>
  <si>
    <t>Clin Microbiol Infect. 2016 Feb;22(2):209.e5-209.e8. doi: 10.1016/j.cmi.2015.10.006. Epub 2015 Oct 23.</t>
  </si>
  <si>
    <t>Killing of human Herpes virus 6-infected cells by lymphocytes cultured with interleukin-2 or -12</t>
  </si>
  <si>
    <t>Kida K, Isozumi R, Ito M.</t>
  </si>
  <si>
    <t>Pediatr Int. 2000 Dec;42(6):631-6. doi: 10.1046/j.1442-200x.2000.01315.x.</t>
  </si>
  <si>
    <t>Pediatr Int</t>
  </si>
  <si>
    <t>Impact of human herpesvirus-6 on the frequency and severity of recurrent hepatitis C virus hepatitis in liver transplant recipients</t>
  </si>
  <si>
    <t>Singh N, Husain S, Carrigan DR, Knox KK, Weck KE, Wagener MM, Gayowski T.</t>
  </si>
  <si>
    <t>Clin Transplant. 2002 Apr;16(2):92-6. doi: 10.1034/j.1399-0012.2002.1o096.x.</t>
  </si>
  <si>
    <t>Induction of CD4 and susceptibility to HIV-1 infection in human CD8+ T lymphocytes by human herpesvirus 6</t>
  </si>
  <si>
    <t>Lusso P, De Maria A, Malnati M, Lori F, DeRocco SE, Baseler M, Gallo RC.</t>
  </si>
  <si>
    <t>Nature. 1991 Feb 7;349(6309):533-5. doi: 10.1038/349533a0.</t>
  </si>
  <si>
    <t>The cumulative burden of double-stranded DNA virus detection after allogeneic HCT is associated with increased mortality</t>
  </si>
  <si>
    <t>Hill JA, Mayer BT, Xie H, Leisenring WM, Huang ML, Stevens-Ayers T, Milano F, Delaney C, Sorror ML, Sandmaier BM, Nichols G, Zerr DM, Jerome KR, Schiffer JT, Boeckh M.</t>
  </si>
  <si>
    <t>Blood. 2017 Apr 20;129(16):2316-2325. doi: 10.1182/blood-2016-10-748426. Epub 2017 Feb 16.</t>
  </si>
  <si>
    <t>PMC5399484</t>
  </si>
  <si>
    <t>Increase in Peripheral CD3-CD56brightCD16- Natural Killer Cells in Hashimoto's Thyroiditis Associated with HHV-6 Infection</t>
  </si>
  <si>
    <t>Rizzo R, Zatelli MC, Rotola A, Cassai E, Degli Uberti E, Di Luca D, Caselli E.</t>
  </si>
  <si>
    <t>Adv Exp Med Biol. 2016;897:113-20. doi: 10.1007/5584_2015_5010.</t>
  </si>
  <si>
    <t>Infection in organ-transplant recipients</t>
  </si>
  <si>
    <t>Gómez-Moreno J, Cuervas-Mons V.</t>
  </si>
  <si>
    <t>N Engl J Med. 1998 Oct 22;339(17):1244-5; author reply 1246. doi: 10.1056/NEJM199810223391713.</t>
  </si>
  <si>
    <t>Activation of CCR2+ human proinflammatory monocytes by human herpesvirus-6B chemokine N-terminal peptide</t>
  </si>
  <si>
    <t>Clark DJ, Catusse J, Stacey A, Borrow P, Gompels UA.</t>
  </si>
  <si>
    <t>J Gen Virol. 2013 Jul;94(Pt 7):1624-1635. doi: 10.1099/vir.0.050153-0. Epub 2013 Mar 27.</t>
  </si>
  <si>
    <t>Human herpesvirus 6 in donor biopsies associated with the incidence of clinical cytomegalovirus disease and hepatitis C virus recurrence</t>
  </si>
  <si>
    <t>Guardia AC, Stucchi RS, Sampaio AM, Milan A, Costa SC, Pavan CR, Boin Ide F.</t>
  </si>
  <si>
    <t>Int J Infect Dis. 2012 Feb;16(2):e124-9. doi: 10.1016/j.ijid.2011.10.008. Epub 2011 Dec 16.</t>
  </si>
  <si>
    <t>A computational analysis of Canale-Smith syndrome: chronic lymphadenopathy simulating malignant lymphoma</t>
  </si>
  <si>
    <t>Krueger GR, Brandt ME, Wang G, Berthold F, Buja LM.</t>
  </si>
  <si>
    <t>Anticancer Res. 2002 Jul-Aug;22(4):2365-71.</t>
  </si>
  <si>
    <t>Anticancer Res</t>
  </si>
  <si>
    <t>Human herpesvirus-6 in liver transplant recipients: role in pathogenesis of fungal infections, neurologic complications, and outcome</t>
  </si>
  <si>
    <t>Rogers J, Rohal S, Carrigan DR, Kusne S, Knox KK, Gayowski T, Wagener MM, Fung JJ, Singh N.</t>
  </si>
  <si>
    <t>Transplantation. 2000 Jun 27;69(12):2566-73. doi: 10.1097/00007890-200006270-00016.</t>
  </si>
  <si>
    <t>Human Herpesvirus 6 as an Indicator of Cytomegalovirus Infection and Its Attributable Disease Symptoms in Liver Transplant Recipients</t>
  </si>
  <si>
    <t>Jamalidoust M, Aliabadi N, Namayandeh M, Ziyaeyan M.</t>
  </si>
  <si>
    <t>Exp Clin Transplant. 2021 Jul;19(7):703-707. doi: 10.6002/ect.2019.0119. Epub 2019 Nov 13.</t>
  </si>
  <si>
    <t>Infrequent detection of human herpesvirus 6 DNA in peripheral blood mononuclear cells from multiple sclerosis patients</t>
  </si>
  <si>
    <t>Mayne M, Krishnan J, Metz L, Nath A, Auty A, Sahai BM, Power C.</t>
  </si>
  <si>
    <t>Ann Neurol. 1998 Sep;44(3):391-4. doi: 10.1002/ana.410440317.</t>
  </si>
  <si>
    <t>Ann Neurol</t>
  </si>
  <si>
    <t>Rapid generation of clinical-grade antiviral T cells: selection of suitable T-cell donors and GMP-compliant manufacturing of antiviral T cells</t>
  </si>
  <si>
    <t>Tischer S, Priesner C, Heuft HG, Goudeva L, Mende W, Barthold M, Kloeß S, Arseniev L, Aleksandrova K, Maecker-Kolhoff B, Blasczyk R, Koehl U, Eiz-Vesper B.</t>
  </si>
  <si>
    <t>J Transl Med. 2014 Dec 16;12:336. doi: 10.1186/s12967-014-0336-5.</t>
  </si>
  <si>
    <t>J Transl Med</t>
  </si>
  <si>
    <t>PMC4335407</t>
  </si>
  <si>
    <t>Co-infection and clinical impact of human herpesvirus 5 and 6 in liver transplantation</t>
  </si>
  <si>
    <t>Sampaio AM, Guardia AC, Milan A, Sasaki AN, Andrade PD, Bonon SH, Stucchi RS, Botelho Costa SC, Boin IF.</t>
  </si>
  <si>
    <t>Transplant Proc. 2012 Oct;44(8):2455-8. doi: 10.1016/j.transproceed.2012.07.034.</t>
  </si>
  <si>
    <t>Human herpesvirus 6 and 7 reactivation and disease activity in multiple sclerosis</t>
  </si>
  <si>
    <t>Nora-Krukle Z, Chapenko S, Logina I, Millers A, Platkajis A, Murovska M.</t>
  </si>
  <si>
    <t>Medicina (Kaunas). 2011;47(10):527-31.</t>
  </si>
  <si>
    <t>Medicina (Kaunas)</t>
  </si>
  <si>
    <t>Naturally processed HLA-DR3-restricted HHV-6B peptides are recognized broadly with polyfunctional and cytotoxic CD4 T-cell responses</t>
  </si>
  <si>
    <t>Becerra-Artiles A, Cruz J, Leszyk JD, Sidney J, Sette A, Shaffer SA, Stern LJ.</t>
  </si>
  <si>
    <t>Eur J Immunol. 2019 Aug;49(8):1167-1185. doi: 10.1002/eji.201948126. Epub 2019 May 2.</t>
  </si>
  <si>
    <t>Immunosuppressive effect of human herpesvirus 6 on T-cell functions: suppression of interleukin-2 synthesis and cell proliferation</t>
  </si>
  <si>
    <t>Flamand L, Gosselin J, Stefanescu I, Ablashi D, Menezes J.</t>
  </si>
  <si>
    <t>Blood. 1995 Mar 1;85(5):1263-71.</t>
  </si>
  <si>
    <t>Varicella in a patient with drug-induced hypersensitivity syndrome developed after autologous peripheral stem cell transplantation</t>
  </si>
  <si>
    <t>Miura T, Kikuchi N, Ohtsuka M, Yamamoto T.</t>
  </si>
  <si>
    <t>Int J Dermatol. 2018 Sep;57(9):e71-e73. doi: 10.1111/ijd.14091. Epub 2018 Jun 15.</t>
  </si>
  <si>
    <t>Int J Dermatol</t>
  </si>
  <si>
    <t>Infection-associated hemophagocytic syndrome complicated by infectious lymphoproliferation: a case report</t>
  </si>
  <si>
    <t>Syrůcková Z, Starý J, Sedlácek P, Smísek P, Vavrinec J, Komrska V, Roubalová K, Vandasová J, Sintáková B, Housková J, Hassan M.</t>
  </si>
  <si>
    <t>Pediatr Hematol Oncol. 1996 Mar-Apr;13(2):143-50. doi: 10.3109/08880019609030804.</t>
  </si>
  <si>
    <t>Primary and recurrent cytomegalovirus infections have different effects on human herpesvirus-6 antibodies in immunosuppressed organ graft recipients: absence of virus cross-reactivity and evidence for virus interaction</t>
  </si>
  <si>
    <t>Ward KN, Sheldon MJ, Gray JJ.</t>
  </si>
  <si>
    <t>J Med Virol. 1991 Aug;34(4):258-67. doi: 10.1002/jmv.1890340411.</t>
  </si>
  <si>
    <t>Do microbes with peptides mimicking myelin cause multiple sclerosis if the T cell response to their unique peptides is limited?</t>
  </si>
  <si>
    <t>Kaufman MD.</t>
  </si>
  <si>
    <t>J Theor Biol. 1998 Aug 21;193(4):691-708. doi: 10.1006/jtbi.1998.0734.</t>
  </si>
  <si>
    <t>J Theor Biol</t>
  </si>
  <si>
    <t>May the indirect effects of CIHHV-6 in transplant patients be exerted through the reactivation of the viral replicative machinery?</t>
  </si>
  <si>
    <t>Potenza L, Barozzi P, Rossi G, Riva G, Vallerini D, Zanetti E, Quadrelli C, Morselli M, Forghieri F, Maccaferri M, Paolini A, Marasca R, Narni F, Luppi M.</t>
  </si>
  <si>
    <t>Transplantation. 2011 Nov 15;92(9):e49-51, author reply e51-2. doi: 10.1097/TP.0b013e3182339d1a.</t>
  </si>
  <si>
    <t>HHV-6: clinical and laboratory investigations and correlations with encephalitis in liver transplant recipients</t>
  </si>
  <si>
    <t>Magalhães GS, Guardia AC, Sampaio AM, Boin IF, Stucchi RS.</t>
  </si>
  <si>
    <t>Transplant Proc. 2013 Jun;45(5):1997-9. doi: 10.1016/j.transproceed.2013.01.095.</t>
  </si>
  <si>
    <t>Human herpesvirus-6 associated hemophagocytic syndrome in beta-thalassemia: report of one case</t>
  </si>
  <si>
    <t>Liu DL, Teng RJ, Ho MM, Hwang KC, Hwang LM.</t>
  </si>
  <si>
    <t>Zhonghua Min Guo Xiao Er Ke Yi Xue Hui Za Zhi. 1995 Sep-Oct;36(5):373-5.</t>
  </si>
  <si>
    <t>Zhonghua Min Guo Xiao Er Ke Yi Xue Hui Za Zhi</t>
  </si>
  <si>
    <t>Human herpesvirus type 6 DNAemia and infection following allogeneic stem cell transplantation with a focus on long-term outcome</t>
  </si>
  <si>
    <t>Lindahl JK, Woxenius S, Brune M, Andersson R.</t>
  </si>
  <si>
    <t>Scand J Infect Dis. 2013 Jul;45(7):557-61. doi: 10.3109/00365548.2013.773069. Epub 2013 Mar 5.</t>
  </si>
  <si>
    <t>Role of IL-15 on monocytic resistance to human herpesvirus 6 infection</t>
  </si>
  <si>
    <t>Arena A, Merendino RA, Bonina L, Iannello D, Stassi G, Mastroeni P.</t>
  </si>
  <si>
    <t>New Microbiol. 2000 Apr;23(2):105-12.</t>
  </si>
  <si>
    <t>Symptomatic generalized epilepsy after HHV6 posttransplant acute limbic encephalitis in children</t>
  </si>
  <si>
    <t>Howell KB, Tiedemann K, Haeusler G, Mackay MT, Kornberg AJ, Freeman JL, Harvey AS.</t>
  </si>
  <si>
    <t>Epilepsia. 2012 Jul;53(7):e122-6. doi: 10.1111/j.1528-1167.2012.03494.x. Epub 2012 May 3.</t>
  </si>
  <si>
    <t>Epilepsia</t>
  </si>
  <si>
    <t>Modulatory effect of HHV-6 on MCP-1 production by human monocytes</t>
  </si>
  <si>
    <t>Arena A, Stassi G, Speranza A, Iannello D, Mastroeni P.</t>
  </si>
  <si>
    <t>New Microbiol. 2002 Jul;25(3):335-40.</t>
  </si>
  <si>
    <t>Human herpesvirus 6 viremia affects T-cell reconstitution after allogeneic hematopoietic stem cell transplantation</t>
  </si>
  <si>
    <t>de Koning C, Admiraal R, Nierkens S, Boelens JJ.</t>
  </si>
  <si>
    <t>Blood Adv. 2018 Feb 27;2(4):428-432. doi: 10.1182/bloodadvances.2017012724.</t>
  </si>
  <si>
    <t>PMC5858475</t>
  </si>
  <si>
    <t>[Usefulness of wide-range microbiological diagnostics proceedings in case of simultaneous infection with four herpesviruses after allogeneic haematopoietic stem cell transplantation--a case report]</t>
  </si>
  <si>
    <t>Dzieciatkowski T, Przybylski M, Rusicka P, Madry K, Boguradzki P, Marchel H, Jedrzejczak WW, Młynarczyk G.</t>
  </si>
  <si>
    <t>Med Dosw Mikrobiol. 2014;66(1):23-8.</t>
  </si>
  <si>
    <t>Med Dosw Mikrobiol</t>
  </si>
  <si>
    <t>Virome characterisation from Guthrie cards in children who later developed acute lymphoblastic leukaemia</t>
  </si>
  <si>
    <t>Bogdanovic G, Pou C, Barrientos-Somarribas M, Bjerkner A, Honkaniemi E, Allander T, Andersson B, Gustafsson B.</t>
  </si>
  <si>
    <t>Br J Cancer. 2016 Oct 11;115(8):1008-1014. doi: 10.1038/bjc.2016.261. Epub 2016 Aug 23.</t>
  </si>
  <si>
    <t>Br J Cancer</t>
  </si>
  <si>
    <t>PMC5061901</t>
  </si>
  <si>
    <t>The role of human herpesvirus-6 in delayed engraftment in stem cell transplant patients in China</t>
  </si>
  <si>
    <t>Ma XT, Song YH, Mu GF, Li G, Han MZ, Wu KF.</t>
  </si>
  <si>
    <t>Haematologica. 2001 Mar;86(3):329-30.</t>
  </si>
  <si>
    <t>Risk factors and clinical consequences of human herpesvirus 7 infection in paediatric haematopoietic stem cell transplant recipients</t>
  </si>
  <si>
    <t>Chan PK, Li CK, Chik KW, Lee V, Shing MM, Ng KC, Cheung JL, Fok TF, Cheng AF.</t>
  </si>
  <si>
    <t>J Med Virol. 2004 Apr;72(4):668-74. doi: 10.1002/jmv.20032.</t>
  </si>
  <si>
    <t>Transcriptional activation of human immunodeficiency virus type 1 by herpesvirus infection: an in vivo footprinting study</t>
  </si>
  <si>
    <t>Demarchi F, Bovenzi P, Di Luca D, Giacca M.</t>
  </si>
  <si>
    <t>Intervirology. 1996;39(4):236-41. doi: 10.1159/000150523.</t>
  </si>
  <si>
    <t>Intervirology</t>
  </si>
  <si>
    <t>Monitoring four herpesviruses in unrelated cord blood transplantation</t>
  </si>
  <si>
    <t>Tanaka N, Kimura H, Hoshino Y, Kato K, Yoshikawa T, Asano Y, Horibe K, Kojima S, Morishima T.</t>
  </si>
  <si>
    <t>Bone Marrow Transplant. 2000 Dec;26(11):1193-7. doi: 10.1038/sj.bmt.1702710.</t>
  </si>
  <si>
    <t>Association of human herpesvirus 7 with cytomegalovirus disease in renal transplant recipients</t>
  </si>
  <si>
    <t>Tong CY, Bakran A, Williams H, Cheung CY, Peiris JS.</t>
  </si>
  <si>
    <t>Transplantation. 2000 Jul 15;70(1):213-6.</t>
  </si>
  <si>
    <t>[Lymphohistiocytic activation syndrome and Burkholderia cepacia complex infection in a child revealing chronic granulomatous disease and chromosomal integration of the HHV-6 genome]</t>
  </si>
  <si>
    <t>Araujo A, Pagnier A, Frange P, Wroblewski I, Stasia MJ, Morand P, Plantaz D.</t>
  </si>
  <si>
    <t>Arch Pediatr. 2011 Apr;18(4):416-9. doi: 10.1016/j.arcped.2011.01.006.</t>
  </si>
  <si>
    <t>Arch Pediatr</t>
  </si>
  <si>
    <t>Progress Toward HHV-8 Prevention After Transplantation: In Search for Optimal Diagnostic Strategies</t>
  </si>
  <si>
    <t>Transplantation. 2017 Aug;101(8):1751-1752. doi: 10.1097/TP.0000000000001760.</t>
  </si>
  <si>
    <t>Persistent lack of human herpesvirus-6 specific T-helper cell response in liver transplant recipients</t>
  </si>
  <si>
    <t>Singh N, Bentlejewski C, Carrigan DR, Gayowski T, Knox KK, Zeevi A.</t>
  </si>
  <si>
    <t>Transpl Infect Dis. 2002 Jun;4(2):59-63. doi: 10.1034/j.1399-3062.2002.t01-1-02001.x.</t>
  </si>
  <si>
    <t>Relationship between beta-herpesviruses reactivation and development of complications after autologous peripheral blood stem cell transplantation</t>
  </si>
  <si>
    <t>Chapenko S, Trociukas I, Donina S, Chistyakov M, Sultanova A, Gravelsina S, Lejniece S, Murovska M.</t>
  </si>
  <si>
    <t>J Med Virol. 2012 Dec;84(12):1953-60. doi: 10.1002/jmv.23412.</t>
  </si>
  <si>
    <t>Human herpesvirus-6 encephalopathy after hematopoietic stem cell transplantation and class I human leukocyte antigen</t>
  </si>
  <si>
    <t>Yamamoto W, Ogusa E, Matsumoto K, Maruta A, Ishigatsubo Y, Kanamori H.</t>
  </si>
  <si>
    <t>Clin Transplant. 2014 May;28(5):540-5. doi: 10.1111/ctr.12342. Epub 2014 Apr 2.</t>
  </si>
  <si>
    <t>Time-Series Analysis Comparing the Prevalence of Antibodies against Nine Viral Species Found in Umbilical Cord Blood in Japan</t>
  </si>
  <si>
    <t>Takemoto K, Nishimura N, Kozawa K, Hibino H, Kawaguchi M, Takeuchi S, Fujishiro N, Arai S, Gotoh K, Hosono H, Ozaki T.</t>
  </si>
  <si>
    <t>Jpn J Infect Dis. 2016 Jul 22;69(4):314-8. doi: 10.7883/yoken.JJID.2015.366. Epub 2015 Nov 13.</t>
  </si>
  <si>
    <t>Reduction of adverse effects by a mushroom product, active hexose correlated compound (AHCC) in patients with advanced cancer during chemotherapy--the significance of the levels of HHV-6 DNA in saliva as a surrogate biomarker during chemotherapy</t>
  </si>
  <si>
    <t>Ito T, Urushima H, Sakaue M, Yukawa S, Honda H, Hirai K, Igura T, Hayashi N, Maeda K, Kitagawa T, Kondo K.</t>
  </si>
  <si>
    <t>Nutr Cancer. 2014;66(3):377-82. doi: 10.1080/01635581.2014.884232. Epub 2014 Mar 10.</t>
  </si>
  <si>
    <t>Nutr Cancer</t>
  </si>
  <si>
    <t>Human herpesvirus-6 infection and renal transplantation</t>
  </si>
  <si>
    <t>Merlino C, Giacchino F, Segoloni GP, Ponzi AN.</t>
  </si>
  <si>
    <t>Transplantation. 1992 Jun;53(6):1382-3. doi: 10.1097/00007890-199206000-00047.</t>
  </si>
  <si>
    <t>Lymphotropic herpesvirus DNA detection in patients with active CMV infection - a possible role in the course of CMV infection after hematopoietic stem cell transplantation</t>
  </si>
  <si>
    <t>Zawilinska B, Kopec J, Szostek S, Piatkowska-Jakubas B, Skotnicki AB, Kosz-Vnenchak M.</t>
  </si>
  <si>
    <t>Med Sci Monit. 2011 Aug;17(8):CR432-441. doi: 10.12659/msm.881904.</t>
  </si>
  <si>
    <t>Med Sci Monit</t>
  </si>
  <si>
    <t>PMC3539614</t>
  </si>
  <si>
    <t>Colitis in a renal transplant patient with human herpesvirus-6 infection</t>
  </si>
  <si>
    <t>Delbridge MS, Karim MS, Shrestha BM, McKane W.</t>
  </si>
  <si>
    <t>Transpl Infect Dis. 2006 Dec;8(4):226-8. doi: 10.1111/j.1399-3062.2006.00143.x.</t>
  </si>
  <si>
    <t>Human Herpesvirus 6 Reactivation in DRESS With Acute Liver Failure: A Missing Key Factor</t>
  </si>
  <si>
    <t>Descamps V, Brunet-Possenti F.</t>
  </si>
  <si>
    <t>Transplantation. 2017 Jul;101(7):e224-e225. doi: 10.1097/TP.0000000000001768.</t>
  </si>
  <si>
    <t>Fine mapping of an apparently targeted latent human herpesvirus type 6 integration site in chromosome band 17p13.3</t>
  </si>
  <si>
    <t>Morris C, Luppi M, McDonald M, Barozzi P, Torelli G.</t>
  </si>
  <si>
    <t>J Med Virol. 1999 May;58(1):69-75. doi: 10.1002/(sici)1096-9071(199905)58:1&lt;69::aid-jmv11&gt;3.0.co;2-3.</t>
  </si>
  <si>
    <t>The association of viral infection and chronic allograft nephropathy with graft dysfunction after renal transplantation</t>
  </si>
  <si>
    <t>Tong CY, Bakran A, Peiris JS, Muir P, Herrington CS.</t>
  </si>
  <si>
    <t>Transplantation. 2002 Aug 27;74(4):576-8. doi: 10.1097/00007890-200208270-00026.</t>
  </si>
  <si>
    <t>Identification and characterization of a human herpesvirus 6 gene segment that trans activates the human immunodeficiency virus type 1 promoter</t>
  </si>
  <si>
    <t>Geng YQ, Chandran B, Josephs SF, Wood C.</t>
  </si>
  <si>
    <t>J Virol. 1992 Mar;66(3):1564-70. doi: 10.1128/JVI.66.3.1564-1570.1992.</t>
  </si>
  <si>
    <t>PMC240882</t>
  </si>
  <si>
    <t>[Hepatitis due to herpes group viruses]</t>
  </si>
  <si>
    <t>Cisneros-Herreros JM, Herrero-Romero M.</t>
  </si>
  <si>
    <t>Enferm Infecc Microbiol Clin. 2006 Jun-Jul;24(6):392-7; quiz 398. doi: 10.1157/13089695.</t>
  </si>
  <si>
    <t>HHV-6, HHV-7 and HHV-8 in solid organ transplant recipients</t>
  </si>
  <si>
    <t>Razonable RR, Zerr DM; AST Infectious Diseases Community of Practice.</t>
  </si>
  <si>
    <t>Am J Transplant. 2009 Dec;9 Suppl 4:S97-100. doi: 10.1111/j.1600-6143.2009.02899_1.x.</t>
  </si>
  <si>
    <t>Examination of mycosis fungoides for the presence of Epstein-Barr virus and human herpesvirus-6 by polymerase chain reaction</t>
  </si>
  <si>
    <t>Erkek E, Sahin S, Atakan N, Kocagöz T, Olut A, Gököz A.</t>
  </si>
  <si>
    <t>J Eur Acad Dermatol Venereol. 2001 Sep;15(5):422-6. doi: 10.1046/j.1468-3083.2001.00309.x.</t>
  </si>
  <si>
    <t>J Eur Acad Dermatol Venereol</t>
  </si>
  <si>
    <t>Human herpesvirus 6 (HHV-6) disease in the setting of transplantation</t>
  </si>
  <si>
    <t>Curr Opin Infect Dis. 2012 Aug;25(4):438-44. doi: 10.1097/QCO.0b013e3283553362.</t>
  </si>
  <si>
    <t>HHV-6 infection in patients with HIV-1 infection and disease</t>
  </si>
  <si>
    <t>Fantry LE, Cleghorn FR.</t>
  </si>
  <si>
    <t>AIDS Read. 1999 May-Jun;9(3):198-203, 221.</t>
  </si>
  <si>
    <t>AIDS Read</t>
  </si>
  <si>
    <t>The distribution of antibodies to HHV-6 compared with other herpesviruses in young children</t>
  </si>
  <si>
    <t>Farr TJ, Harnett GB, Pietroboni GR, Bucens MR.</t>
  </si>
  <si>
    <t>Epidemiol Infect. 1990 Dec;105(3):603-7. doi: 10.1017/s095026880004824x.</t>
  </si>
  <si>
    <t>Epidemiol Infect</t>
  </si>
  <si>
    <t>PMC2271835</t>
  </si>
  <si>
    <t>Human herpesvirus-6 and -7 in pediatric stem cell transplantation</t>
  </si>
  <si>
    <t>Savolainen H, Lautenschlager I, Piiparinen H, Saarinen-Pihkala U, Hovi L, Vettenranta K.</t>
  </si>
  <si>
    <t>Pediatr Blood Cancer. 2005 Nov;45(6):820-5. doi: 10.1002/pbc.20337.</t>
  </si>
  <si>
    <t>Correlation between the detection of viral DNA by the polymerase chain reaction in peripheral blood leukocytes and serological responses to human herpesvirus 6, human herpesvirus 7, and cytomegalovirus in renal allograft recipients</t>
  </si>
  <si>
    <t>Osman HK, Peiris JS, Taylor CE, Karlberg JP, Madeley CR.</t>
  </si>
  <si>
    <t>J Med Virol. 1997 Nov;53(3):288-94. doi: 10.1002/(sici)1096-9071(199711)53:3&lt;288::aid-jmv19&gt;3.0.co;2-d.</t>
  </si>
  <si>
    <t>Transcriptional down-regulation of CXC chemokine receptor 4 induced by impaired association of transcription regulator YY1 with c-Myc in human herpesvirus 6-infected cells</t>
  </si>
  <si>
    <t>Hasegawa A, Yasukawa M, Sakai I, Fujita S.</t>
  </si>
  <si>
    <t>J Immunol. 2001 Jan 15;166(2):1125-31. doi: 10.4049/jimmunol.166.2.1125.</t>
  </si>
  <si>
    <t>Drug reaction with eosinophilia and systemic symptoms (DRESS): a multiorgan antiviral T cell response</t>
  </si>
  <si>
    <t>Picard D, Janela B, Descamps V, D'Incan M, Courville P, Jacquot S, Rogez S, Mardivirin L, Moins-Teisserenc H, Toubert A, Benichou J, Joly P, Musette P.</t>
  </si>
  <si>
    <t>Sci Transl Med. 2010 Aug 25;2(46):46ra62. doi: 10.1126/scitranslmed.3001116.</t>
  </si>
  <si>
    <t>Sci Transl Med</t>
  </si>
  <si>
    <t>Angioimmunoblastic T-cell lymphoma: histological progression associates with EBV and HHV6B viral load</t>
  </si>
  <si>
    <t>Zhou Y, Attygalle AD, Chuang SS, Diss T, Ye H, Liu H, Hamoudi RA, Munson P, Bacon CM, Dogan A, Du MQ.</t>
  </si>
  <si>
    <t>Br J Haematol. 2007 Jul;138(1):44-53. doi: 10.1111/j.1365-2141.2007.06620.x.</t>
  </si>
  <si>
    <t>Human herpesvirus 6 fulminant hepatic failure treated by living donor liver transplantation</t>
  </si>
  <si>
    <t>Ohashi M, Yoshikawa T, Asonuma K, Iwasaki T, Nishiyama Y, Asano Y, Kimoto Y, Yagi T, Urushihara N, Tanaka N, Baba K.</t>
  </si>
  <si>
    <t>Pediatr Int. 2004 Dec;46(6):730-2. doi: 10.1111/j.1442-200x.2004.01989.x.</t>
  </si>
  <si>
    <t>HHV-6-DNAemia related to CMV-DNAemia after liver transplantation</t>
  </si>
  <si>
    <t>Härmä M, Loginov R, Piiparinen H, Halme L, Höckerstedt K, Lautenschlager I.</t>
  </si>
  <si>
    <t>Transplant Proc. 2005 Mar;37(2):1230-2. doi: 10.1016/j.transproceed.2004.12.004.</t>
  </si>
  <si>
    <t>Clinical significance of pretransplant chromosomally integrated human herpesvirus-6 in liver transplant recipients</t>
  </si>
  <si>
    <t>Transplantation. 2011 Jul 27;92(2):224-9. doi: 10.1097/TP.0b013e318222444a.</t>
  </si>
  <si>
    <t>Cytokine and cellular responses to human herpesvirus-6B in patients with B-acute lymphoblastic leukemia</t>
  </si>
  <si>
    <t>Nefzi F, Lambert C, Gautheret-Dejean A, Fisson S, Khebizi Q, Khelif A, Agut H, Aouni M.</t>
  </si>
  <si>
    <t>Microbiol Immunol. 2016 Nov;60(11):770-777. doi: 10.1111/1348-0421.12452.</t>
  </si>
  <si>
    <t>Dynamics of infection with human herpesvirus-6 in EBV-negative infectious mononucleosis: data acquisition for computer modeling</t>
  </si>
  <si>
    <t>Krueger GR, Bertram G, Ramon A, Koch B, Ablashi DV, Brandt ME, Wang G, Buja LM.</t>
  </si>
  <si>
    <t>In Vivo. 2001 Sep-Oct;15(5):373-80.</t>
  </si>
  <si>
    <t>Antibody Cross-Reactivity between Porcine Cytomegalovirus (PCMV) and Human Herpesvirus-6 (HHV-6)</t>
  </si>
  <si>
    <t>Fiebig U, Holzer A, Ivanusic D, Plotzki E, Hengel H, Neipel F, Denner J.</t>
  </si>
  <si>
    <t>Viruses. 2017 Oct 28;9(11):317. doi: 10.3390/v9110317.</t>
  </si>
  <si>
    <t>PMC5707524</t>
  </si>
  <si>
    <t>Preferential expression of CD134, an HHV-6 cellular receptor, on CD4T cells in drug-induced hypersensitivity syndrome (DIHS)/drug reaction with eosinophilia and systemic symptoms (DRESS)</t>
  </si>
  <si>
    <t>Miyagawa F, Nakamura Y, Miyashita K, Iioka H, Himuro Y, Ogawa K, Nishimura C, Nishikawa M, Mitsui Y, Ito Y, Ommori R, Mori Y, Asada H.</t>
  </si>
  <si>
    <t>J Dermatol Sci. 2016 Aug;83(2):151-4. doi: 10.1016/j.jdermsci.2016.05.001. Epub 2016 May 9.</t>
  </si>
  <si>
    <t>A prospective survey of human herpesvirus-6 primary infection in solid organ transplant recipients</t>
  </si>
  <si>
    <t>Cervera C, Marcos MA, Linares L, Roig E, Benito N, Pumarola T, Moreno A.</t>
  </si>
  <si>
    <t>Transplantation. 2006 Oct 15;82(7):979-82. doi: 10.1097/01.tp.0000229938.12722.ee.</t>
  </si>
  <si>
    <t>The associations between psychosocial stress and the frequency of illness, and innate and adaptive immune function in children</t>
  </si>
  <si>
    <t>Caserta MT, O'Connor TG, Wyman PA, Wang H, Moynihan J, Cross W, Tu X, Jin X.</t>
  </si>
  <si>
    <t>Brain Behav Immun. 2008 Aug;22(6):933-40. doi: 10.1016/j.bbi.2008.01.007. Epub 2008 Mar 4.</t>
  </si>
  <si>
    <t>Brain Behav Immun</t>
  </si>
  <si>
    <t>PMC2516370</t>
  </si>
  <si>
    <t>NIHMS59850</t>
  </si>
  <si>
    <t>Am J Transplant. 2009 Dec;9 Suppl 4:S100-3. doi: 10.1111/j.1600-6143.2009.02899_2.x.</t>
  </si>
  <si>
    <t>Specificity analysis of human CD4+ T-cell clones directed against human herpesvirus 6 (HHV-6), HHV-7, and human cytomegalovirus</t>
  </si>
  <si>
    <t>Yasukawa M, Yakushijin Y, Furukawa M, Fujita S.</t>
  </si>
  <si>
    <t>J Virol. 1993 Oct;67(10):6259-64. doi: 10.1128/JVI.67.10.6259-6264.1993.</t>
  </si>
  <si>
    <t>PMC238049</t>
  </si>
  <si>
    <t>Epstein-Barr Virus and Human herpes virus 6 Type A DNA Enhance IL-17 Production in Mice</t>
  </si>
  <si>
    <t>Rahal EA, Hajjar H, Rajeh M, Yamout B, Abdelnoor AM.</t>
  </si>
  <si>
    <t>Viral Immunol. 2015 Jun;28(5):297-302. doi: 10.1089/vim.2014.0129. Epub 2015 Apr 14.</t>
  </si>
  <si>
    <t>Viral Immunol</t>
  </si>
  <si>
    <t>Primary HHV 6 infection after liver transplantation with acute graft rejection and multi-organ failure: successful treatment with a 2.5-fold dose of cidofovir and reduction of immunosuppression</t>
  </si>
  <si>
    <t>Dohna-Schwake C, Fiedler M, Gierenz N, Gerner P, Ballauf A, Breddemann A, Läer S, Baba HA, Hoyer PF.</t>
  </si>
  <si>
    <t>Pediatr Transplant. 2011 Sep;15(6):E126-9. doi: 10.1111/j.1399-3046.2010.01310.x. Epub 2010 Mar 17.</t>
  </si>
  <si>
    <t>Simultaneous infection with human herpesvirus-6 and measles virus in infants</t>
  </si>
  <si>
    <t>Suga S, Yoshikawa T, Asano Y, Yazaki T, Yoshida S.</t>
  </si>
  <si>
    <t>J Med Virol. 1990 Aug;31(4):306-11. doi: 10.1002/jmv.1890310412.</t>
  </si>
  <si>
    <t>Screening for chromosomally integrated human herpesvirus 6 status in solid-organ donors and recipients</t>
  </si>
  <si>
    <t>Das BB, Munoz FM.</t>
  </si>
  <si>
    <t>J Heart Lung Transplant. 2017 Apr;36(4):481. doi: 10.1016/j.healun.2017.01.004. Epub 2017 Jan 6.</t>
  </si>
  <si>
    <t>J Heart Lung Transplant</t>
  </si>
  <si>
    <t>Influence of ganciclovir prophylaxis on citomegalovirus, human herpesvirus 6, and human herpesvirus 7 viremia in renal transplant recipients</t>
  </si>
  <si>
    <t>Galarraga MC, Gomez E, de Oña M, Rodriguez A, Laures A, Boga JA, Melon S.</t>
  </si>
  <si>
    <t>Transplant Proc. 2005 Jun;37(5):2124-6. doi: 10.1016/j.transproceed.2005.03.123.</t>
  </si>
  <si>
    <t>Human herpesvirus-6 meningoencephalitis in a recipient of an unrelated allogeneic bone marrow transplantation</t>
  </si>
  <si>
    <t>Rieux C, Gautheret-Dejean A, Challine-Lehmann D, Kirch C, Agut H, Vernant JP.</t>
  </si>
  <si>
    <t>Transplantation. 1998 May 27;65(10):1408-11. doi: 10.1097/00007890-199805270-00024.</t>
  </si>
  <si>
    <t>Human herpesvirus-6-associated generalized vesiculobullous eruptions after allogeneic bone marrow transplantation</t>
  </si>
  <si>
    <t>Yokote T, Muroi K, Kawano C, Kirto K, Ohtsuki T, Komatsu N, Murakami T, Takahashi K, Ozawa K.</t>
  </si>
  <si>
    <t>Leuk Lymphoma. 2002 Apr;43(4):927-9. doi: 10.1080/10428190290017233.</t>
  </si>
  <si>
    <t>Central nervous system infection following allogeneic hematopoietic stem cell transplantation</t>
  </si>
  <si>
    <t>Hanajiri R, Kobayashi T, Yoshioka K, Watanabe D, Watakabe K, Murata Y, Hagino T, Seno Y, Najima Y, Igarashi A, Doki N, Kakihana K, Sakamaki H, Ohashi K.</t>
  </si>
  <si>
    <t>Hematol Oncol Stem Cell Ther. 2017 Mar;10(1):22-28. doi: 10.1016/j.hemonc.2016.08.008. Epub 2016 Sep 17.</t>
  </si>
  <si>
    <t>Hematol Oncol Stem Cell Ther</t>
  </si>
  <si>
    <t>[Adult T-cell leukemia/lymphoma with multiple intracranial masses and CMV and HHV-6 reactivation at initial presentation]</t>
  </si>
  <si>
    <t>Hori T, Yasui S, Hosoki M, Yamagami H, Otoda T, Yuasa T, Aihara KI, Takishita M, Abe M, Nakamura S.</t>
  </si>
  <si>
    <t>Rinsho Ketsueki. 2023;64(4):283-289. doi: 10.11406/rinketsu.64.283.</t>
  </si>
  <si>
    <t>Encephalitis caused by human herpesvirus-6B in pancreas-after-kidney transplantation</t>
  </si>
  <si>
    <t>Yamamoto T, Watarai Y, Goto N, Horikoshi Y, Yamada S, Yasui K, Tsujita M, Hiramitsu T, Narumi S, Katayama A, Uchida K, Kobayashi T.</t>
  </si>
  <si>
    <t>Transpl Infect Dis. 2014 Oct;16(5):853-8. doi: 10.1111/tid.12270. Epub 2014 Jul 21.</t>
  </si>
  <si>
    <t>Outcomes of hematopoietic cell transplantation using donors or recipients with inherited chromosomally integrated HHV-6</t>
  </si>
  <si>
    <t>Hill JA, Magaret AS, Hall-Sedlak R, Mikhaylova A, Huang ML, Sandmaier BM, Hansen JA, Jerome KR, Zerr DM, Boeckh M.</t>
  </si>
  <si>
    <t>Blood. 2017 Aug 24;130(8):1062-1069. doi: 10.1182/blood-2017-03-775759. Epub 2017 Jun 8.</t>
  </si>
  <si>
    <t>PMC5570681</t>
  </si>
  <si>
    <t>A concurrent human herpesvirus-6 infection renders two human hematopoietic progenitor (TF-1 and KG-1) cell lines susceptible to human immunodeficiency virus type-1</t>
  </si>
  <si>
    <t>Furlini G, Vignoli M, Ramazzotti E, Re MC, Visani G, La Placa.</t>
  </si>
  <si>
    <t>Blood. 1996 Jun 1;87(11):4737-45.</t>
  </si>
  <si>
    <t>Correlation between HHV-6 infection and skin rash after allogeneic bone marrow transplantation</t>
  </si>
  <si>
    <t>Yoshikawa T, Ihira M, Ohashi M, Suga S, Asano Y, Miyazaki H, Hirano M, Suzuki K, Matsunaga K, Horibe K, Kojima S, Kudo K, Kato K, Matsuyama T, Nishiyama Y.</t>
  </si>
  <si>
    <t>Bone Marrow Transplant. 2001 Jul;28(1):77-81. doi: 10.1038/sj.bmt.1703099.</t>
  </si>
  <si>
    <t>Fulminant HHV-6 hepatitis requiring liver transplantation</t>
  </si>
  <si>
    <t>de la Villa S, Catalina MV, Conthe A.</t>
  </si>
  <si>
    <t>Transpl Infect Dis. 2022 Apr;24(2):e13797. doi: 10.1111/tid.13797. Epub 2022 Jan 25.</t>
  </si>
  <si>
    <t>Human herpesvirus 6 infection in hematopoietic stem cell transplant patients</t>
  </si>
  <si>
    <t>Br J Haematol. 2004 Feb;124(4):421-32. doi: 10.1046/j.1365-2141.2003.04788.x.</t>
  </si>
  <si>
    <t>Guidelines from the 2017 European Conference on Infections in Leukaemia for management of HHV-6 infection in patients with hematologic malignancies and after hematopoietic stem cell transplantation</t>
  </si>
  <si>
    <t>Ward KN, Hill JA, Hubacek P, de la Camara R, Crocchiolo R, Einsele H, Navarro D, Robin C, Cordonnier C, Ljungman P; 2017 European Conference on Infections in Leukaemia (ECIL).</t>
  </si>
  <si>
    <t>Haematologica. 2019 Nov;104(11):2155-2163. doi: 10.3324/haematol.2019.223073. Epub 2019 Aug 29.</t>
  </si>
  <si>
    <t>PMC6821622</t>
  </si>
  <si>
    <t>Human herpesvirus 6 (HHV-6) associated permanent hyponatremia in umbilical cord blood transplant recipient</t>
  </si>
  <si>
    <t>Gannamani V, Varma A, Nathan S, Ustun C.</t>
  </si>
  <si>
    <t>Transpl Immunol. 2023 Feb;76:101742. doi: 10.1016/j.trim.2022.101742. Epub 2022 Nov 11.</t>
  </si>
  <si>
    <t>Transpl Immunol</t>
  </si>
  <si>
    <t>Correlation of cytomegalovirus and human herpesvirus 7 with CD3+ and CD3+ CD4+ cells in chronic periodontitis patients</t>
  </si>
  <si>
    <t>Thomasini RL, Bonon SH, Durante P, Costa SC.</t>
  </si>
  <si>
    <t>J Periodontal Res. 2012 Feb;47(1):114-20. doi: 10.1111/j.1600-0765.2011.01413.x. Epub 2011 Sep 5.</t>
  </si>
  <si>
    <t>J Periodontal Res</t>
  </si>
  <si>
    <t>Uvulo-palatoglossal junctional ulcers--an early clinical sign of exanthem subitum due to human herpesvirus 6</t>
  </si>
  <si>
    <t>Chua KB, Lam SK, Sazaly AB, Lim ST, Paranjothy M.</t>
  </si>
  <si>
    <t>Med J Malaysia. 1999 Mar;54(1):32-6.</t>
  </si>
  <si>
    <t>Med J Malaysia</t>
  </si>
  <si>
    <t>EBV, HCMV, HHV6, and HHV7 screening in bone marrow samples from children with acute lymphoblastic leukemia</t>
  </si>
  <si>
    <t>Morales-Sánchez A, Pompa-Mera EN, Fajardo-Gutiérrez A, Alvarez-Rodríguez FJ, Bekker-Méndez VC, Flores-Chapa Jde D, Flores-Lujano J, Jiménez-Hernández E, Peñaloza-González JG, Rodríguez-Zepeda MC, Torres-Nava JR, Velázquez-Aviña MM, Amador-Sánchez R, Alvarado-Ibarra M, Reyes-Zepeda N, Espinosa-Elizondo RM, Pérez-Saldivar ML, Núñez-Enríquez JC, Mejía-Aranguré JM, Fuentes-Pananá EM.</t>
  </si>
  <si>
    <t>Biomed Res Int. 2014;2014:548097. doi: 10.1155/2014/548097. Epub 2014 Sep 18.</t>
  </si>
  <si>
    <t>Biomed Res Int</t>
  </si>
  <si>
    <t>PMC4189769</t>
  </si>
  <si>
    <t>Cytokine and chemokine responses in the blood and cerebrospinal fluid of patients with human herpesvirus 6B-associated acute encephalopathy with biphasic seizures and late reduced diffusion</t>
  </si>
  <si>
    <t>Kawamura Y, Yamazaki Y, Ohashi M, Ihira M, Yoshikawa T.</t>
  </si>
  <si>
    <t>J Med Virol. 2014 Mar;86(3):512-8. doi: 10.1002/jmv.23788. Epub 2013 Oct 16.</t>
  </si>
  <si>
    <t>Selective suppression of IL-12 production by human herpesvirus 6</t>
  </si>
  <si>
    <t>Smith A, Santoro F, Di Lullo G, Dagna L, Verani A, Lusso P.</t>
  </si>
  <si>
    <t>Blood. 2003 Oct 15;102(8):2877-84. doi: 10.1182/blood-2002-10-3152. Epub 2003 Jun 26.</t>
  </si>
  <si>
    <t>An assessment of herpesvirus co-infections in patients with CMV disease: correlation with clinical and virologic outcomes</t>
  </si>
  <si>
    <t>Humar A, Asberg A, Kumar D, Hartmann A, Moussa G, Jardine A, Rollag H, Mouas H, Gahlemann CG, Pescovitz MD; VICTOR study group.</t>
  </si>
  <si>
    <t>Am J Transplant. 2009 Feb;9(2):374-81. doi: 10.1111/j.1600-6143.2008.02501.x. Epub 2008 Dec 15.</t>
  </si>
  <si>
    <t>Viral reactivations following hematopoietic stem cell transplantation in pediatric patients - A single center 11-year analysis</t>
  </si>
  <si>
    <t>Düver F, Weißbrich B, Eyrich M, Wölfl M, Schlegel PG, Wiegering V.</t>
  </si>
  <si>
    <t>PLoS One. 2020 Feb 4;15(2):e0228451. doi: 10.1371/journal.pone.0228451. eCollection 2020.</t>
  </si>
  <si>
    <t>PMC6999888</t>
  </si>
  <si>
    <t>Transfer of human herpesvirus 6 and 7 antibodies from mothers to their offspring</t>
  </si>
  <si>
    <t>Ohashi M, Ihira M, Suzuki K, Suga S, Asano Y, Yoshikawa T, Saito Y, Sakui H.</t>
  </si>
  <si>
    <t>Pediatr Infect Dis J. 2001 Apr;20(4):449-50. doi: 10.1097/00006454-200104000-00017.</t>
  </si>
  <si>
    <t>[Significance of PCR detection of HHV6 in gastro biopsy on the course of diarrhea in patients with severe diarrhea after allogeneic hematopoietic stem cell transplantation]</t>
  </si>
  <si>
    <t>Han TT, Zhao XS, Huang XJ, Zhang XH, Liu KY, Wang Y, Yan CH, Xu LP.</t>
  </si>
  <si>
    <t>Zhonghua Xue Ye Xue Za Zhi. 2017 Aug 14;38(8):690-694. doi: 10.3760/cma.j.issn.0253-2727.2017.08.008.</t>
  </si>
  <si>
    <t>PMC7348244</t>
  </si>
  <si>
    <t>Human herpesvirus 6 (HHV-6)-associated dysfunction of blood monocytes</t>
  </si>
  <si>
    <t>Burd EM, Carrigan DR.</t>
  </si>
  <si>
    <t>Virus Res. 1993 Jul;29(1):79-90. doi: 10.1016/0168-1702(93)90127-9.</t>
  </si>
  <si>
    <t>Evidence linking human herpesvirus-6 (HHV-6) with disease in gastrointestinal transplantation</t>
  </si>
  <si>
    <t>Durno C, Jones N, Hébert D, Sherman P, Allen U.</t>
  </si>
  <si>
    <t>Transplant Proc. 2000 Sep;32(6):1235-7. doi: 10.1016/s0041-1345(00)01204-5.</t>
  </si>
  <si>
    <t>Human herpesvirus-6-specific interleukin 10-producing CD4+ T cells suppress the CD4+ T-cell response in infected individuals</t>
  </si>
  <si>
    <t>Wang F, Yao K, Yin QZ, Zhou F, Ding CL, Peng GY, Xu J, Chen Y, Feng DJ, Ma CL, Xu WR.</t>
  </si>
  <si>
    <t>Microbiol Immunol. 2006;50(10):787-803. doi: 10.1111/j.1348-0421.2006.tb03855.x.</t>
  </si>
  <si>
    <t>Sequential FDG PET and MRI findings in a case of human herpes virus 6 limbic encephalitis</t>
  </si>
  <si>
    <t>Hubele F, Bilger K, Kremer S, Imperiale A, Lioure B, Namer IJ.</t>
  </si>
  <si>
    <t>Clin Nucl Med. 2012 Jul;37(7):716-7. doi: 10.1097/RLU.0b013e31824c5e2f.</t>
  </si>
  <si>
    <t>Clin Nucl Med</t>
  </si>
  <si>
    <t>Clinical and Economic Burden of Multiple Double-Stranded DNA Viral Infections after Allogeneic Hematopoietic Cell Transplantation</t>
  </si>
  <si>
    <t>Hill JA, Moon SH, Chandak A, Zhang Z, Boeckh M, Maziarz RT.</t>
  </si>
  <si>
    <t>Transplant Cell Ther. 2022 Sep;28(9):619.e1-619.e8. doi: 10.1016/j.jtct.2022.06.016. Epub 2022 Jun 25.</t>
  </si>
  <si>
    <t>Infection of human T lymphoid cells by human herpesvirus 6 is blocked by two unrelated protein tyrosine kinase inhibitors, biochanin A and herbimycin</t>
  </si>
  <si>
    <t>Cirone M, Zompetta C, Tarasi D, Frati L, Faggioni A.</t>
  </si>
  <si>
    <t>AIDS Res Hum Retroviruses. 1996 Nov 20;12(17):1629-34. doi: 10.1089/aid.1996.12.1629.</t>
  </si>
  <si>
    <t>A Systematic Review of Sodium Disorders in HHV-6 Encephalitis</t>
  </si>
  <si>
    <t>Victoria NC, Phan TL, Agarwal KA.</t>
  </si>
  <si>
    <t>Biol Blood Marrow Transplant. 2020 May;26(5):1034-1039. doi: 10.1016/j.bbmt.2020.01.023. Epub 2020 Feb 3.</t>
  </si>
  <si>
    <t>Human herpesviruses 6 and 7 in solid organ transplant recipients</t>
  </si>
  <si>
    <t>Emery VC.</t>
  </si>
  <si>
    <t>Clin Infect Dis. 2001 May 1;32(9):1357-60. doi: 10.1086/320000. Epub 2001 Apr 10.</t>
  </si>
  <si>
    <t>Evaluation of CMV/human herpes virus-6 positivity in bronchoalveolar lavage fluids as early detection of acute GVHD following BMT: evidence of a significant relationship</t>
  </si>
  <si>
    <t>Takemoto Y, Takatsuka H, Wada H, Mori A, Saheki K, Okada M, Tamura S, Fujimori Y, Okamoto T, Kakishita E, Kanamaru A.</t>
  </si>
  <si>
    <t>Bone Marrow Transplant. 2000 Jul;26(1):77-81. doi: 10.1038/sj.bmt.1702459.</t>
  </si>
  <si>
    <t>Immune reconstitution and viral infections after stem cell transplantation</t>
  </si>
  <si>
    <t>Bone Marrow Transplant. 1998 Apr;21 Suppl 2:S72-4.</t>
  </si>
  <si>
    <t>Multiple viral infections after haploidentical hematopoietic stem cell transplantation in a child with acute lymphoblastic leukemia</t>
  </si>
  <si>
    <t>Ernst J, Sauerbrei A, Krumbholz A, Egerer R, Mentzel HJ, Kurzai M, Häfer R, Beck JF, Gruhn B.</t>
  </si>
  <si>
    <t>Transpl Infect Dis. 2012 Oct;14(5):E82-8. doi: 10.1111/j.1399-3062.2012.00778.x. Epub 2012 Aug 3.</t>
  </si>
  <si>
    <t>Risk factors of human herpesvirus 6 encephalitis/myelitis after allogeneic hematopoietic stem cell transplantation</t>
  </si>
  <si>
    <t>Miyashita N, Endo T, Onozawa M, Hashimoto D, Kondo T, Fujimoto K, Kahata K, Sugita J, Goto H, Matsukawa T, Hashino S, Teshima T.</t>
  </si>
  <si>
    <t>Transpl Infect Dis. 2017 Jun;19(3). doi: 10.1111/tid.12682. Epub 2017 Apr 12.</t>
  </si>
  <si>
    <t>Severe neutropenia and thrombocytopenia following cardiac transplantation in a child</t>
  </si>
  <si>
    <t>Chitlur M, Abella E, Singh TP, Savaşan S.</t>
  </si>
  <si>
    <t>Pediatr Transplant. 2005 Feb;9(1):94-6. doi: 10.1111/j.1399-3046.2004.00233.x.</t>
  </si>
  <si>
    <t>[Development and application of an indirect immunofluorescence assay for the detection of serum immunoglobulin G to human herpesvirus 6]</t>
  </si>
  <si>
    <t>Liu JL, Xu ZK, Wang HY, Wang DT, Zhang FL, Yang QX, Yao K.</t>
  </si>
  <si>
    <t>Xi Bao Yu Fen Zi Mian Yi Xue Za Zhi. 2003 Mar;19(2):181-2.</t>
  </si>
  <si>
    <t>Xi Bao Yu Fen Zi Mian Yi Xue Za Zhi</t>
  </si>
  <si>
    <t>Monitoring for HHV-6 infection after renal transplantation: evaluation of risk factors for sustained viral replication</t>
  </si>
  <si>
    <t>Luiz CR, Machado CM, Canto CL, Christ SC, Pestana JO, Kotton CN, Camargo LF.</t>
  </si>
  <si>
    <t>Transplantation. 2013 Mar 27;95(6):842-6. doi: 10.1097/TP.0b013e3182807ab7.</t>
  </si>
  <si>
    <t>Human herpesvirus-6 reactivation and disease after allogeneic haematopoietic cell transplantation in the era of letermovir for cytomegalovirus prophylaxis</t>
  </si>
  <si>
    <t>Kampouri E, Zamora D, Kiem ES, Liu W, Ibrahimi S, Blazevic RL, Lovas EA, Kimball LE, Huang ML, Jerome KR, Ueda Oshima M, Mielcarek M, Zerr DM, Boeckh MJ, Krantz EM, Hill JA.</t>
  </si>
  <si>
    <t>Clin Microbiol Infect. 2023 Nov;29(11):1450.e1-1450.e7. doi: 10.1016/j.cmi.2023.07.026. Epub 2023 Jul 31.</t>
  </si>
  <si>
    <t>PMC10828110</t>
  </si>
  <si>
    <t>NIHMS1931751</t>
  </si>
  <si>
    <t>Human herpesvirus-6 and -7 after lung and heart-lung transplantation</t>
  </si>
  <si>
    <t>Lehto JT, Halme M, Tukiainen P, Harjula A, Sipponen J, Lautenschlager I.</t>
  </si>
  <si>
    <t>J Heart Lung Transplant. 2007 Jan;26(1):41-7. doi: 10.1016/j.healun.2006.10.017.</t>
  </si>
  <si>
    <t>[Chronic fatigue syndrome, a case of high anti-HHV-6 antibody titer and one associated with primary hyperaldosteronism]</t>
  </si>
  <si>
    <t>Kato Y, Kamijima S, Kashiwagi A, Oguri T.</t>
  </si>
  <si>
    <t>Nihon Rinsho. 1992 Nov;50(11):2673-8.</t>
  </si>
  <si>
    <t>MR imaging of human herpesvirus-6 encephalopathy after hematopoietic stem cell transplantation in adults</t>
  </si>
  <si>
    <t>Noguchi T, Mihara F, Yoshiura T, Togao O, Atsumi K, Matsuura T, Kuroiwa T, Honda H.</t>
  </si>
  <si>
    <t>AJNR Am J Neuroradiol. 2006 Nov-Dec;27(10):2191-5.</t>
  </si>
  <si>
    <t>AJNR Am J Neuroradiol</t>
  </si>
  <si>
    <t>PMC7977197</t>
  </si>
  <si>
    <t>Cumulative Roles for Epstein-Barr Virus, Human Endogenous Retroviruses, and Human Herpes Virus-6 in Driving an Inflammatory Cascade Underlying MS Pathogenesis</t>
  </si>
  <si>
    <t>Meier UC, Cipian RC, Karimi A, Ramasamy R, Middeldorp JM.</t>
  </si>
  <si>
    <t>Front Immunol. 2021 Nov 1;12:757302. doi: 10.3389/fimmu.2021.757302. eCollection 2021.</t>
  </si>
  <si>
    <t>PMC8592026</t>
  </si>
  <si>
    <t>Successful ganciclovir therapy in a patient with human herpesvirus-6 encephalitis after unrelated cord blood transplantation: usefulness of longitudinal measurements of viral load in cerebrospinal fluid</t>
  </si>
  <si>
    <t>Hirabayashi K, Nakazawa Y, Katsuyama Y, Yanagisawa T, Saito S, Yoshikawa K, Shigemura T, Sakashita K, Ichikawa M, Koike K.</t>
  </si>
  <si>
    <t>Infection. 2013 Feb;41(1):219-23. doi: 10.1007/s15010-012-0329-3. Epub 2012 Sep 13.</t>
  </si>
  <si>
    <t>Human herpesvirus 6 in hematological malignancies</t>
  </si>
  <si>
    <t>J Clin Exp Hematop. 2009 Nov;49(2):57-67. doi: 10.3960/jslrt.49.57.</t>
  </si>
  <si>
    <t>J Clin Exp Hematop</t>
  </si>
  <si>
    <t>Evaluation of immunoassays for detection of antibodies to human herpesvirus 7</t>
  </si>
  <si>
    <t>Black JB, Schwarz TF, Patton JL, Kite-Powell K, Pellett PE, Wiersbitzky S, Bruns R, Müller C, Jäger G, Stewart JA.</t>
  </si>
  <si>
    <t>Clin Diagn Lab Immunol. 1996 Jan;3(1):79-83. doi: 10.1128/cdli.3.1.79-83.1996.</t>
  </si>
  <si>
    <t>PMC170251</t>
  </si>
  <si>
    <t>Human herpesvirus 6 (HHV-6) is a helper virus for adeno-associated virus type 2 (AAV-2) and the AAV-2 rep gene homologue in HHV-6 can mediate AAV-2 DNA replication and regulate gene expression</t>
  </si>
  <si>
    <t>Thomson BJ, Weindler FW, Gray D, Schwaab V, Heilbronn R.</t>
  </si>
  <si>
    <t>Virology. 1994 Oct;204(1):304-11. doi: 10.1006/viro.1994.1535.</t>
  </si>
  <si>
    <t>A report of human herpesvirus 6-associated encephalitis in a solid organ transplant recipient and a review of previously published cases</t>
  </si>
  <si>
    <t>Vinnard C, Barton T, Jerud E, Blumberg E.</t>
  </si>
  <si>
    <t>Liver Transpl. 2009 Oct;15(10):1242-6. doi: 10.1002/lt.21816.</t>
  </si>
  <si>
    <t>Association of HHV-6 With Outcomes in CMV-seronegative Liver Transplant Recipients With CMV-seropositive Donors Receiving Preemptive Antiviral Therapy</t>
  </si>
  <si>
    <t>Singh N, Winston DJ, Razonable RR, Lyon GM, Huang ML, Jerome KR, Silveira FP, Wagener MM, Limaye AP.</t>
  </si>
  <si>
    <t>Transplantation. 2021 Nov 1;105(11):2427-2434. doi: 10.1097/TP.0000000000003604.</t>
  </si>
  <si>
    <t>[Human herpesvirus 6 encephalitis in a patient with adult T-cell leukemia/lymphoma]</t>
  </si>
  <si>
    <t>Idutsu K, Abe Y, Otonari J, Tachikawa Y, Ohtsuka R, Choi I, Muta K, Takayanagi R.</t>
  </si>
  <si>
    <t>Rinsho Ketsueki. 2007 Aug;48(8):664-6.</t>
  </si>
  <si>
    <t>[HHV-6 encephalitis after unrelated cord blood transplantation in a patient with acute lymphoblastic leukemia]</t>
  </si>
  <si>
    <t>Watanabe J, Ogura K, Kobayashi S, Torikai H, Ikeda T, Sato K, Kimura F, Motoyoshi K.</t>
  </si>
  <si>
    <t>Nihon Naika Gakkai Zasshi. 2005 Nov 10;94(11):2388-90. doi: 10.2169/naika.94.2388.</t>
  </si>
  <si>
    <t>Nihon Naika Gakkai Zasshi</t>
  </si>
  <si>
    <t>Temporally-specific retrograde amnesia in two cases of discrete bilateral hippocampal pathology</t>
  </si>
  <si>
    <t>Kapur N, Brooks DJ.</t>
  </si>
  <si>
    <t>Hippocampus. 1999;9(3):247-54. doi: 10.1002/(SICI)1098-1063(1999)9:3&lt;247::AID-HIPO5&gt;3.0.CO;2-W.</t>
  </si>
  <si>
    <t>Hippocampus</t>
  </si>
  <si>
    <t>Human Herpes Virus-6-Associated Encephalitis/Myelitis Mimicking Calcineurin Inhibitor-Induced Pain Syndrome in Allogeneic Stem Cell Transplantation Recipients</t>
  </si>
  <si>
    <t>Yoshimoto G, Mori Y, Kato K, Shima T, Miyawaki K, Kikushige Y, Kamezaki K, Numata A, Maeda T, Takenaka K, Iwasaki H, Teshima T, Akashi K, Miyamoto T.</t>
  </si>
  <si>
    <t>Biol Blood Marrow Transplant. 2018 Dec;24(12):2540-2548. doi: 10.1016/j.bbmt.2018.07.017. Epub 2018 Jul 17.</t>
  </si>
  <si>
    <t>Clinical consequences of human herpesvirus-6 DNAemia in peripheral blood in pediatric liver transplant recipients</t>
  </si>
  <si>
    <t>Al Fawaz T, Ng V, Richardson SE, Barton M, Allen U.</t>
  </si>
  <si>
    <t>Pediatr Transplant. 2014 Feb;18(1):47-51. doi: 10.1111/petr.12176. Epub 2013 Oct 30.</t>
  </si>
  <si>
    <t>MR imaging of human herpesvirus-6-associated encephalitis in 4 patients with anterograde amnesia after allogeneic hematopoietic stem-cell transplantation</t>
  </si>
  <si>
    <t>Gorniak RJ, Young GS, Wiese DE, Marty FM, Schwartz RB.</t>
  </si>
  <si>
    <t>AJNR Am J Neuroradiol. 2006 Apr;27(4):887-91.</t>
  </si>
  <si>
    <t>PMC8133963</t>
  </si>
  <si>
    <t>Low incidence of HHV-6 reactivation in haploidentical hematopoietic stem cell transplantation with corticosteroid as graft-vs-host disease prophylaxis compared with cord blood transplantation</t>
  </si>
  <si>
    <t>Tamaki H, Ikegame K, Yoshihara S, Kaida K, Yoshihara K, Inoue T, Kato R, Nakata J, Fujioka T, Soma T, Okada M, Ogawa H.</t>
  </si>
  <si>
    <t>Transpl Infect Dis. 2019 Jun;21(3):e13073. doi: 10.1111/tid.13073. Epub 2019 Apr 1.</t>
  </si>
  <si>
    <t>[Human herpesvirus-6 infection induces IL-10 production in monocytes]</t>
  </si>
  <si>
    <t>Li C, Goodrich JM, Yang X.</t>
  </si>
  <si>
    <t>Zhonghua Shi Yan He Lin Chuang Bing Du Xue Za Zhi. 1998 Jun;12(2):151-4.</t>
  </si>
  <si>
    <t>U24 from Roseolovirus interacts strongly with Nedd4 WW Domains</t>
  </si>
  <si>
    <t>Sang Y, Zhang R, Scott WR, Creagh AL, Haynes CA, Straus SK.</t>
  </si>
  <si>
    <t>Sci Rep. 2017 Jan 4;7:39776. doi: 10.1038/srep39776.</t>
  </si>
  <si>
    <t>PMC5209733</t>
  </si>
  <si>
    <t>[How I manage respiratory syncytial virus, human herpesvirus 6 and adenovirus reactivation or infection after allogeneic stem cell transplantation: a report of the SFGM-TC]</t>
  </si>
  <si>
    <t>Deconinck E, Dalle JH, Berceanu A, Chevallier P, Duléry R, Garnier A, Huynh A, Labussière-Wallet H, Nguyen Quoc S, Dewilde A, Ramon P, Yakoub-Agha I; SFGM-TC.</t>
  </si>
  <si>
    <t>Pathol Biol (Paris). 2013 Aug;61(4):149-51. doi: 10.1016/j.patbio.2013.07.012. Epub 2013 Sep 4.</t>
  </si>
  <si>
    <t>Pathol Biol (Paris)</t>
  </si>
  <si>
    <t>Human herpesvirus-6 and -7 infections in transplantation</t>
  </si>
  <si>
    <t>Pediatr Transplant. 2003 Feb;7(1):11-7. doi: 10.1034/j.1399-3046.2003.02094.x.</t>
  </si>
  <si>
    <t>Correlation between CMV genotypes, multiple infections with herpesviruses (HHV-6, 7) and development of CMV disease in kidney recipients in Kuwait</t>
  </si>
  <si>
    <t>Pacsa AS, Essa S, Voevodin A, el-Shazly A, Kazak H, Nampoory MR, Johny KV, Said T, Al-Nakib W.</t>
  </si>
  <si>
    <t>FEMS Immunol Med Microbiol. 2003 Mar 20;35(2):125-30. doi: 10.1016/S0928-8244(03)00006-3.</t>
  </si>
  <si>
    <t>FEMS Immunol Med Microbiol</t>
  </si>
  <si>
    <t>Differential effect of human herpesvirus 6A on cell division and apoptosis among naive and central and effector memory CD4+ and CD8+ T-cell subsets</t>
  </si>
  <si>
    <t>Gupta S, Agrawal S, Gollapudi S.</t>
  </si>
  <si>
    <t>J Virol. 2009 Jun;83(11):5442-50. doi: 10.1128/JVI.00106-09. Epub 2009 Mar 18.</t>
  </si>
  <si>
    <t>PMC2681935</t>
  </si>
  <si>
    <t>Active human herpesvirus (HHV-6) infection of the central nervous system in patients with AIDS</t>
  </si>
  <si>
    <t>J Acquir Immune Defic Syndr Hum Retrovirol. 1995 May 1;9(1):69-73.</t>
  </si>
  <si>
    <t>The 85-kilodalton phosphoprotein (pp85) of human herpesvirus 7 is encoded by open reading frame U14 and localizes to a tegument substructure in virion particles</t>
  </si>
  <si>
    <t>Stefan A, Secchiero P, Baechi T, Kempf W, Campadelli-Fiume G.</t>
  </si>
  <si>
    <t>J Virol. 1997 Aug;71(8):5758-63. doi: 10.1128/JVI.71.8.5758-5763.1997.</t>
  </si>
  <si>
    <t>PMC191828</t>
  </si>
  <si>
    <t>The impact of human herpesvirus-6 and -7 infection on the outcome of liver transplantation</t>
  </si>
  <si>
    <t>Razonable RR, Paya CV.</t>
  </si>
  <si>
    <t>Liver Transpl. 2002 Aug;8(8):651-8. doi: 10.1053/jlts.2002.34966.</t>
  </si>
  <si>
    <t>Human herpesvirus 6 infection arrests cord blood mononuclear cells in G(2) phase of the cell cycle</t>
  </si>
  <si>
    <t>De Bolle L, Hatse S, Verbeken E, De Clercq E, Naesens L.</t>
  </si>
  <si>
    <t>FEBS Lett. 2004 Feb 27;560(1-3):25-9. doi: 10.1016/S0014-5793(04)00035-3.</t>
  </si>
  <si>
    <t>FEBS Lett</t>
  </si>
  <si>
    <t>Human herpesvirus 6 infection in hemodialysis and peritoneal dialysis patients</t>
  </si>
  <si>
    <t>Altay M, Akay H, Ünverdi S, Altay F, Ceri M, Altay FA, Cesur S, Duranay M, Demiroz AP.</t>
  </si>
  <si>
    <t>Perit Dial Int. 2011 May-Jun;31(3):320-4. doi: 10.3747/pdi.2010.00093. Epub 2011 Jan 31.</t>
  </si>
  <si>
    <t>Perit Dial Int</t>
  </si>
  <si>
    <t>HHV-6 reactivation is often associated with CMV infection in liver transplant patients</t>
  </si>
  <si>
    <t>Lautenschlager I, Linnavuori K, Lappalainen M, Suni J, Höckerstedt K.</t>
  </si>
  <si>
    <t>Transpl Int. 2000;13 Suppl 1:S351-3. doi: 10.1007/s001470050359.</t>
  </si>
  <si>
    <t>Cytomegalovirus and human herpesvirus 6 both cause viral disease after renal transplantation</t>
  </si>
  <si>
    <t>Ratnamohan VM, Chapman J, Howse H, Bovington K, Robertson P, Byth K, Allen R, Cunningham AL.</t>
  </si>
  <si>
    <t>Transplantation. 1998 Oct 15;66(7):877-82. doi: 10.1097/00007890-199810150-00011.</t>
  </si>
  <si>
    <t>Cross-reactivity with myelin basic protein and human herpesvirus-6 in multiple sclerosis</t>
  </si>
  <si>
    <t>Tejada-Simon MV, Zang YC, Hong J, Rivera VM, Zhang JZ.</t>
  </si>
  <si>
    <t>Ann Neurol. 2003 Feb;53(2):189-97. doi: 10.1002/ana.10425.</t>
  </si>
  <si>
    <t>[Herpesviruses mixed infections in allogeneic steam cell recipients (allo-HSCT)]</t>
  </si>
  <si>
    <t>Zawilińska B, Kosz-Vnenchak M, Piatkowska-Jakubas B, Kopeć J, Daszkiewicz E, Skotnicki AB.</t>
  </si>
  <si>
    <t>Przegl Epidemiol. 2008;62(1):39-46.</t>
  </si>
  <si>
    <t>Enzyme-linked immunosorbent assay for detection of IgG antibody to human herpesvirus 6</t>
  </si>
  <si>
    <t>Asano Y, Yoshikawa T, Suga S, Yazaki T, Ozaki T, Saito Y, Hatano Y, Takahashi M.</t>
  </si>
  <si>
    <t>J Med Virol. 1990 Oct;32(2):119-23. doi: 10.1002/jmv.1890320209.</t>
  </si>
  <si>
    <t>[Immune system modulation by herpesvirus infection]</t>
  </si>
  <si>
    <t>Rinsho Ketsueki. 2005 Apr;46(4):245-53.</t>
  </si>
  <si>
    <t>HHV-6 encephalitis in umbilical cord blood transplantation: a systematic review and meta-analysis</t>
  </si>
  <si>
    <t>Scheurer ME, Pritchett JC, Amirian ES, Zemke NR, Lusso P, Ljungman P.</t>
  </si>
  <si>
    <t>Bone Marrow Transplant. 2013 Apr;48(4):574-80. doi: 10.1038/bmt.2012.180. Epub 2012 Sep 24.</t>
  </si>
  <si>
    <t>Human herpesvirus-6 encephalitis followed by severe acute GVHD after a stem cell transplant from a microchimeric non-inherited maternal antigen (NIMA)-mismatched sibling</t>
  </si>
  <si>
    <t>Muta T, Kamo M, Gondo H, Kato K, Eto T, Shibuya T, Fukuda T, Miyamoto T, Nagafuji K, Ichinohe T, Harada M.</t>
  </si>
  <si>
    <t>Bone Marrow Transplant. 2005 Feb;35(4):411-3. doi: 10.1038/sj.bmt.1704770.</t>
  </si>
  <si>
    <t>Concurrent T-cell/histiocyte-rich large B-cell lymphoma and HHV-6A-infected T-cell proliferation: a diagnostic pitfall</t>
  </si>
  <si>
    <t>Bruehl FK, Norgan AP, Shi M, Rech KL, Ding Y, Pittaluga S, Yuan J.</t>
  </si>
  <si>
    <t>Histopathology. 2023 Dec;83(6):999-1002. doi: 10.1111/his.15038. Epub 2023 Sep 4.</t>
  </si>
  <si>
    <t>Histopathology</t>
  </si>
  <si>
    <t>[Examination of human herpesvirus-6 antibody in blood patients serum]</t>
  </si>
  <si>
    <t>Wang D, Xiao Y, Luo M, Zhang X.</t>
  </si>
  <si>
    <t>Hunan Yi Ke Da Xue Xue Bao. 1999;24(2):198-200.</t>
  </si>
  <si>
    <t>Detection of human herpesvirus 6 in patients with oral chronic graft-vs-host disease following allogeneic progenitor cell transplantation</t>
  </si>
  <si>
    <t>Pereira CM, de Almeida OP, Corrêa ME, Costa FF, de Souza CA, Barjas-Castro ML.</t>
  </si>
  <si>
    <t>Oral Dis. 2007 May;13(3):329-34. doi: 10.1111/j.1601-0825.2006.01294.x.</t>
  </si>
  <si>
    <t>Oral Dis</t>
  </si>
  <si>
    <t>CD4 cytopenia and occasional expansion of CD4+CD8+lymphocytes in Sjögren's syndrome</t>
  </si>
  <si>
    <t>Ferraccioli GF, Tonutti E, Casatta L, Pegoraro I, De Vita S, Sala P, Ravaioli T, Bartoli E.</t>
  </si>
  <si>
    <t>Clin Exp Rheumatol. 1996 Mar-Apr;14(2):125-30.</t>
  </si>
  <si>
    <t>Clin Exp Rheumatol</t>
  </si>
  <si>
    <t>Modulation of CD4, CXCR-4, and CCR-5 makes human hematopoietic progenitor cell lines infected with human herpesvirus-6 susceptible to human immunodeficiency virus type 1</t>
  </si>
  <si>
    <t>Vignoli M, Furlini G, Re MC, Ramazzotti E, La Placa M.</t>
  </si>
  <si>
    <t>J Hematother Stem Cell Res. 2000 Feb;9(1):39-45. doi: 10.1089/152581600319603.</t>
  </si>
  <si>
    <t>J Hematother Stem Cell Res</t>
  </si>
  <si>
    <t>Immune regulation of human herpesviruses and its implications for human transplantation</t>
  </si>
  <si>
    <t>Smith C, Khanna R.</t>
  </si>
  <si>
    <t>Am J Transplant. 2013 Feb;13 Suppl 3:9-23; quiz 23. doi: 10.1111/ajt.12005.</t>
  </si>
  <si>
    <t>Fulminant multiorgan failure due to varicella zoster virus and HHV6 in an immunocompetent adult patient, and anhepatia</t>
  </si>
  <si>
    <t>Maggi U, Russo R, Conte G, Chiumello D, Lunghi G, Maggioni M, Caspani ML, Arnoldi R, Dondossola D, Rossi G.</t>
  </si>
  <si>
    <t>Transplant Proc. 2011 May;43(4):1184-6. doi: 10.1016/j.transproceed.2011.01.142.</t>
  </si>
  <si>
    <t>Human herpesvirus 6: a clinical update</t>
  </si>
  <si>
    <t>Herpes. 2006 May;13(1):20-4.</t>
  </si>
  <si>
    <t>HHV-6 reactivation and associated sequelae after hematopoietic cell transplantation</t>
  </si>
  <si>
    <t>Zerr DM, Boeckh M, Delaney C, Martin PJ, Xie H, Adler AL, Huang ML, Corey L, Leisenring WM.</t>
  </si>
  <si>
    <t>Biol Blood Marrow Transplant. 2012 Nov;18(11):1700-8. doi: 10.1016/j.bbmt.2012.05.012. Epub 2012 May 26.</t>
  </si>
  <si>
    <t>PMC3439599</t>
  </si>
  <si>
    <t>NIHMS380924</t>
  </si>
  <si>
    <t>Interstitial pneumonitis associated with human herpesvirus-6 infection after marrow transplantation</t>
  </si>
  <si>
    <t>Carrigan DR, Drobyski WR, Russler SK, Tapper MA, Knox KK, Ash RC.</t>
  </si>
  <si>
    <t>Lancet. 1991 Jul 20;338(8760):147-9. doi: 10.1016/0140-6736(91)90137-e.</t>
  </si>
  <si>
    <t>Detection of EBV and HHV6 in the Brain Tissue of Patients with Rasmussen's Encephalitis</t>
  </si>
  <si>
    <t>Liu D, Wang X, Wang Y, Wang P, Fan D, Chen S, Guan Y, Li T, An J, Luan G.</t>
  </si>
  <si>
    <t>Virol Sin. 2018 Oct;33(5):402-409. doi: 10.1007/s12250-018-0063-9. Epub 2018 Oct 29.</t>
  </si>
  <si>
    <t>Virol Sin</t>
  </si>
  <si>
    <t>PMC6235760</t>
  </si>
  <si>
    <t>Seroprevalence of antibodies to human herpesviruses in England and Hong Kong</t>
  </si>
  <si>
    <t>Kangro HO, Osman HK, Lau YL, Heath RB, Yeung CY, Ng MH.</t>
  </si>
  <si>
    <t>J Med Virol. 1994 May;43(1):91-6. doi: 10.1002/jmv.1890430117.</t>
  </si>
  <si>
    <t>HHV-6: an unusual cause of cerebellar ataxia</t>
  </si>
  <si>
    <t>Abu Sitta E, Khazan A, Luttmann K, Hanrahan J.</t>
  </si>
  <si>
    <t>BMJ Case Rep. 2020 Mar 17;13(3):e234303. doi: 10.1136/bcr-2020-234303.</t>
  </si>
  <si>
    <t>BMJ Case Rep</t>
  </si>
  <si>
    <t>PMC7078691</t>
  </si>
  <si>
    <t>The hepatologist in the haematologists' camp</t>
  </si>
  <si>
    <t>Liatsos C, Mehta AB, Potter M, Burroughs AK.</t>
  </si>
  <si>
    <t>Br J Haematol. 2001 Jun;113(3):567-78. doi: 10.1046/j.1365-2141.2001.02628.x.</t>
  </si>
  <si>
    <t>[The blood picture in exanthema subitum (Zahorsky)/ critical 3-day fever-exanthema in young children]</t>
  </si>
  <si>
    <t>Wiersbitzky S, Abel E, Bruns R, Eberle J, Ladstätter L, Wiersbitzky H, Paul W, Deinhardt F.</t>
  </si>
  <si>
    <t>Kinderarztl Prax. 1991 Sep;59(9):258-61.</t>
  </si>
  <si>
    <t>Drug-induced hypersensitivity syndrome with human herpesvirus-6 reactivation</t>
  </si>
  <si>
    <t>Riyaz N, Sarita S, Arunkumar G, Sabeena S, Manikoth N, Sivakumar CP.</t>
  </si>
  <si>
    <t>Indian J Dermatol Venereol Leprol. 2012 Mar-Apr;78(2):175-7. doi: 10.4103/0378-6323.93635.</t>
  </si>
  <si>
    <t>Indian J Dermatol Venereol Leprol</t>
  </si>
  <si>
    <t>Thrombotic microangiopathy associated with reactivation of human herpesvirus-6 following high-dose chemotherapy with autologous bone marrow transplantation in young children</t>
  </si>
  <si>
    <t>Matsuda Y, Hara J, Miyoshi H, Osugi Y, Fujisaki H, Takai K, Ohta H, Tanaka-Taya K, Yamanishi K, Okada S.</t>
  </si>
  <si>
    <t>Bone Marrow Transplant. 1999 Oct;24(8):919-23. doi: 10.1038/sj.bmt.1702003.</t>
  </si>
  <si>
    <t>Human herpesvirus 6 encephalitis simulating brain metastases in a patient with advanced small-cell lung cancer</t>
  </si>
  <si>
    <t>Mordenti P, Zaffignani E, Immovilli P, Nobili E, Cavanna L.</t>
  </si>
  <si>
    <t>Chemotherapy. 2013;59(5):385-6. doi: 10.1159/000360616. Epub 2014 May 13.</t>
  </si>
  <si>
    <t>Chemotherapy</t>
  </si>
  <si>
    <t>High human herpesvirus 6 viral load in pediatric allogeneic hematopoietic stem cell transplant patients is associated with detection in end organs and high mortality</t>
  </si>
  <si>
    <t>Winestone LE, Punn R, Tamaresis JS, Buckingham J, Pinsky BA, Waggoner JJ, Kharbanda S.</t>
  </si>
  <si>
    <t>Pediatr Transplant. 2018 Mar;22(2):10.1111/petr.13084. doi: 10.1111/petr.13084. Epub 2017 Nov 27.</t>
  </si>
  <si>
    <t>PMC5820136</t>
  </si>
  <si>
    <t>NIHMS924659</t>
  </si>
  <si>
    <t>Human herpesvirus 6 infection of the gastroduodenal mucosa</t>
  </si>
  <si>
    <t>Halme L, Arola J, Höckerstedt K, Lautenschlager I.</t>
  </si>
  <si>
    <t>Clin Infect Dis. 2008 Feb 1;46(3):434-9. doi: 10.1086/525264.</t>
  </si>
  <si>
    <t>Human herpesvirus 6 reactivation before engraftment is strongly predictive of graft failure after double umbilical cord blood allogeneic stem cell transplantation in adults</t>
  </si>
  <si>
    <t>Le Bourgeois A, Labopin M, Guillaume T, Delaunay J, Foucher Y, Tessoulin B, Malard F, Ayari S, Peterlin P, Derenne S, Herry P, Cesbron A, Gagne K, Lodé L, Illiaquer M, Imbert-Marcille BM, Le Gouill S, Moreau P, Mohty M, Chevallier P.</t>
  </si>
  <si>
    <t>Exp Hematol. 2014 Nov;42(11):945-54. doi: 10.1016/j.exphem.2014.07.264. Epub 2014 Jul 26.</t>
  </si>
  <si>
    <t>Human herpesvirus 6 lymphadenitis in drug rash with eosinophilia and systemic symptoms syndrome: a lymphoma mimic</t>
  </si>
  <si>
    <t>Johnson S, Mathews S, Hudnall SD.</t>
  </si>
  <si>
    <t>Histopathology. 2017 Jun;70(7):1166-1170. doi: 10.1111/his.13157. Epub 2017 Mar 10.</t>
  </si>
  <si>
    <t>CD46 on glial cells can function as a receptor for viral glycoprotein-mediated cell-cell fusion</t>
  </si>
  <si>
    <t>Cassiani-Ingoni R, Greenstone HL, Donati D, Fogdell-Hahn A, Martinelli E, Refai D, Martin R, Berger EA, Jacobson S.</t>
  </si>
  <si>
    <t>Glia. 2005 Nov 15;52(3):252-8. doi: 10.1002/glia.20219.</t>
  </si>
  <si>
    <t>Cyclic AMP-responsive element-dependent activation of Epstein-Barr virus zebra promoter by human herpesvirus 6</t>
  </si>
  <si>
    <t>Flamand L, Menezes J.</t>
  </si>
  <si>
    <t>J Virol. 1996 Mar;70(3):1784-91. doi: 10.1128/JVI.70.3.1784-1791.1996.</t>
  </si>
  <si>
    <t>PMC190004</t>
  </si>
  <si>
    <t>HHV-6 variant A meningoencephalitis after allogeneic hematopoietic stem cell transplantation diagnosed by quantitative real-time polymerase chain reaction</t>
  </si>
  <si>
    <t>de Labarthe A, Gauthert-Dejean A, Bossi P, Vernant JP, Dhedin N.</t>
  </si>
  <si>
    <t>Transplantation. 2005 Aug 27;80(4):539. doi: 10.1097/01.tp.0000168339.08246.73.</t>
  </si>
  <si>
    <t>Seroepidemiology of human herpesvirus 7 in healthy children and adults in Japan</t>
  </si>
  <si>
    <t>Yoshikawa T, Asano Y, Kobayashi I, Nakashima T, Yazaki T, Suga S, Ozaki T, Wyatt LS, Frenkel N.</t>
  </si>
  <si>
    <t>J Med Virol. 1993 Dec;41(4):319-23. doi: 10.1002/jmv.1890410412.</t>
  </si>
  <si>
    <t>HHV-6 and HHV-7 antigenemia related to CMV infection after liver transplantation</t>
  </si>
  <si>
    <t>Härmä M, Höckerstedt K, Lyytikäinen O, Lautenschlager I.</t>
  </si>
  <si>
    <t>J Med Virol. 2006 Jun;78(6):800-5. doi: 10.1002/jmv.20626.</t>
  </si>
  <si>
    <t>Reactivation of chromosomally integrated human herpesvirus-6 by telomeric circle formation</t>
  </si>
  <si>
    <t>Prusty BK, Krohne G, Rudel T.</t>
  </si>
  <si>
    <t>PLoS Genet. 2013;9(12):e1004033. doi: 10.1371/journal.pgen.1004033. Epub 2013 Dec 19.</t>
  </si>
  <si>
    <t>PLoS Genet</t>
  </si>
  <si>
    <t>PMC3868596</t>
  </si>
  <si>
    <t>Prevalence of antibodies to human herpesviruses 6 and 7 in early infancy and age at primary infection</t>
  </si>
  <si>
    <t>Cermelli C, Fabio G, Montorsi M, Sabbatini AM, Portolani M.</t>
  </si>
  <si>
    <t>New Microbiol. 1996 Jan;19(1):1-8.</t>
  </si>
  <si>
    <t>Human herpesvirus-6 dysregulates monocyte-mediated anticryptococcal defences</t>
  </si>
  <si>
    <t>Cermelli C, Cenacchi V, Beretti F, Pezzini F, Luca DD, Blasi E.</t>
  </si>
  <si>
    <t>J Med Microbiol. 2006 Jun;55(Pt 6):695-702. doi: 10.1099/jmm.0.46496-0.</t>
  </si>
  <si>
    <t>CMV infection is usually associated with concurrent HHV-6 and HHV-7 antigenemia in liver transplant patients</t>
  </si>
  <si>
    <t>Lautenschlager I, Lappalainen M, Linnavuori K, Suni J, Höckerstedt K.</t>
  </si>
  <si>
    <t>J Clin Virol. 2002 Aug;25 Suppl 2:S57-61. doi: 10.1016/s1386-6532(02)00101-4.</t>
  </si>
  <si>
    <t>[Herpesviruses in patients after renal transplantation]</t>
  </si>
  <si>
    <t>Dzhumabaeva BT, Tikhomirov DS, Biryukova LS, Tupoleva TA, Nesterenko IV, Purlo NV, Chebotarev DI.</t>
  </si>
  <si>
    <t>Ter Arkh. 2021 Nov 15;93(11):1264-1270. doi: 10.26442/00403660.2021.11.201164.</t>
  </si>
  <si>
    <t>Ter Arkh</t>
  </si>
  <si>
    <t>Encephalopathy associated with human herpesvirus 6 in a liver transplant recipient</t>
  </si>
  <si>
    <t>Paterson DL, Singh N, Gayowski T, Carrigan DR, Marino IR.</t>
  </si>
  <si>
    <t>Liver Transpl Surg. 1999 Sep;5(5):454-5. doi: 10.1002/lt.500050504.</t>
  </si>
  <si>
    <t>Liver Transpl Surg</t>
  </si>
  <si>
    <t>Infection of gamma/delta T lymphocytes by human herpesvirus 6: transcriptional induction of CD4 and susceptibility to HIV infection</t>
  </si>
  <si>
    <t>Lusso P, Garzino-Demo A, Crowley RW, Malnati MS.</t>
  </si>
  <si>
    <t>J Exp Med. 1995 Apr 1;181(4):1303-10. doi: 10.1084/jem.181.4.1303.</t>
  </si>
  <si>
    <t>PMC2191959</t>
  </si>
  <si>
    <t>Isotype immune response of IgG antibodies at the persistence and reactivation stages of human herpes virus 6 infection</t>
  </si>
  <si>
    <t>Carricart SE, Bustos D, Biganzoli P, Nates SE, Pavan JV.</t>
  </si>
  <si>
    <t>J Clin Virol. 2004 Dec;31(4):266-9. doi: 10.1016/j.jcv.2004.05.013.</t>
  </si>
  <si>
    <t>Possible progesterone-induced gestational activation of chromosomally integrated human herpesvirus 6B and transplacental transmission of activated human herpesvirus 6B</t>
  </si>
  <si>
    <t>Das BB, Rakheja D, Lacelle C, Sedlak RH, Gulve N, Chowdhury SR, Prusty BK.</t>
  </si>
  <si>
    <t>J Heart Lung Transplant. 2016 Nov;35(11):1373-1376. doi: 10.1016/j.healun.2016.08.009. Epub 2016 Aug 20.</t>
  </si>
  <si>
    <t>Cerebrospinal fluid concentration of foscarnet in patients with HHV-6 encephalitis after haematopoietic stem cell transplantation</t>
  </si>
  <si>
    <t>Irie K, Hiramoto N, Yamaoka K, Fuckushima S.</t>
  </si>
  <si>
    <t>J Antimicrob Chemother. 2023 Jun 1;78(6):1549-1551. doi: 10.1093/jac/dkad117.</t>
  </si>
  <si>
    <t>Viral load and ganciclovir (GCV) concentration in cerebrospinal fluid of patients successfully treated with GCV or valGCV for human herpesvirus 6 encephalitis/myelitis following umbilical cord blood transplantation</t>
  </si>
  <si>
    <t>Morita D, Hirabayashi K, Katsuyama Y, Morokawa H, Motobayashi M, Kurata T, Shigemura T, Tanaka M, Inaba Y, Koike K, Nakazawa Y.</t>
  </si>
  <si>
    <t>Transpl Infect Dis. 2016 Oct;18(5):773-776. doi: 10.1111/tid.12579. Epub 2016 Sep 7.</t>
  </si>
  <si>
    <t>Activation of lymphocytes by HHV-6 antigen in normal children and adults</t>
  </si>
  <si>
    <t>Koide W, Ito M, Torigoe S, Ihara T, Kamiya H, Sakurai M.</t>
  </si>
  <si>
    <t>Viral Immunol. 1998;11(1):19-25. doi: 10.1089/vim.1998.11.19.</t>
  </si>
  <si>
    <t>Intracellular metabolism of the N7-substituted acyclic nucleoside analog 2-amino-7-(1,3-dihydroxy-2-propoxymethyl)purine, a potent inhibitor of herpesvirus replication</t>
  </si>
  <si>
    <t>Neyts J, Balzarini J, Andrei G, Chaoyong Z, Snoeck R, Zimmermann A, Mertens T, Karlsson A, De Clercq E.</t>
  </si>
  <si>
    <t>Mol Pharmacol. 1998 Jan;53(1):157-65. doi: 10.1124/mol.53.1.157.</t>
  </si>
  <si>
    <t>[Case report; drug-induced hypersensitivity syndrome following meningoencephalitis associated with human herpes virus-6]</t>
  </si>
  <si>
    <t>Suematsu N, Nakamura S, Takahashi N, Hino Y, Takata M, Kimura K, Ibusuki C, Adachi A, Chihara K.</t>
  </si>
  <si>
    <t>Nihon Naika Gakkai Zasshi. 2013 Oct 10;102(10):2682-4. doi: 10.2169/naika.102.2682.</t>
  </si>
  <si>
    <t>[Human herpesvirus 6 seropositive encephalitis after bone marrow transplantation]</t>
  </si>
  <si>
    <t>Morita S.</t>
  </si>
  <si>
    <t>No To Shinkei. 2003 May;55(5):448-9.</t>
  </si>
  <si>
    <t>No To Shinkei</t>
  </si>
  <si>
    <t>Neutralizing antibody responses to human herpesviruses 6 and 7 do not cross-react with each other, and maternal neutralizing antibodies contribute to sequential infection with these viruses in childhood</t>
  </si>
  <si>
    <t>Yoshida M, Torigoe S, Ikeue K, Yamada M.</t>
  </si>
  <si>
    <t>Clin Diagn Lab Immunol. 2002 Mar;9(2):388-93. doi: 10.1128/cdli.9.2.388-393.2002.</t>
  </si>
  <si>
    <t>PMC119946</t>
  </si>
  <si>
    <t>Leukotropic herpesviruses in multiple sclerosis</t>
  </si>
  <si>
    <t>Hay KA, Tenser RB.</t>
  </si>
  <si>
    <t>Mult Scler. 2000 Apr;6(2):66-8. doi: 10.1177/135245850000600202.</t>
  </si>
  <si>
    <t>An encephalitic episode in a multiple sclerosis patient with human herpesvirus 6 latent infection</t>
  </si>
  <si>
    <t>Merelli E, Sola P, Barozzi P, Torelli G.</t>
  </si>
  <si>
    <t>J Neurol Sci. 1996 Apr;137(1):42-6. doi: 10.1016/0022-510x(95)00319-w.</t>
  </si>
  <si>
    <t>Avidity of IgG antibodies to human herpesvirus-6 distinguishes primary from recurrent infection in organ transplant recipients and excludes cross-reactivity with other herpesviruses</t>
  </si>
  <si>
    <t>Ward KN, Gray JJ, Joslin ME, Sheldon MJ.</t>
  </si>
  <si>
    <t>J Med Virol. 1993 Jan;39(1):44-9. doi: 10.1002/jmv.1890390109.</t>
  </si>
  <si>
    <t>[A palpebral lesion]</t>
  </si>
  <si>
    <t>Lenfant T, Pourcher V.</t>
  </si>
  <si>
    <t>Rev Med Interne. 2020 May;41(5):346-347. doi: 10.1016/j.revmed.2019.10.335. Epub 2019 Nov 10.</t>
  </si>
  <si>
    <t>Rev Med Interne</t>
  </si>
  <si>
    <t>Interleukin-15 as an activator of natural killer cell-mediated antiviral response</t>
  </si>
  <si>
    <t>Gosselin J, TomoIu A, Gallo RC, Flamand L.</t>
  </si>
  <si>
    <t>Blood. 1999 Dec 15;94(12):4210-9.</t>
  </si>
  <si>
    <t>[Viral encephalitis]</t>
  </si>
  <si>
    <t>Arroyo HA, Bologna R.</t>
  </si>
  <si>
    <t>Rev Neurol. 1997 Jun;25(142):912-9.</t>
  </si>
  <si>
    <t>Rev Neurol</t>
  </si>
  <si>
    <t>The HHV-6A Proteins U20 and U21 Target NKG2D Ligands to Escape Immune Recognition</t>
  </si>
  <si>
    <t>Chaouat AE, Seliger B, Mandelboim O, Schmiedel D.</t>
  </si>
  <si>
    <t>Front Immunol. 2021 Oct 15;12:714799. doi: 10.3389/fimmu.2021.714799. eCollection 2021.</t>
  </si>
  <si>
    <t>PMC8554080</t>
  </si>
  <si>
    <t>Fever, human herpesvirus-6 (HHV-6) seroconversion, and acute rejection episodes as a function of the initial seroprevalence for HHV-6 in renal transplant recipients</t>
  </si>
  <si>
    <t>Deborska-Materkowska D, Lewandowski Z, Sadowska A, Nowacka-Cieciura E, Chudziński W, Czerwiński J, Paczek L, Durlik M.</t>
  </si>
  <si>
    <t>Transplant Proc. 2006 Jan-Feb;38(1):139-43. doi: 10.1016/j.transproceed.2005.11.093.</t>
  </si>
  <si>
    <t>Human herpesvirus 7 in patients with pityriasis rosea. Electron microscopy investigations and polymerase chain reaction in mononuclear cells, plasma and skin</t>
  </si>
  <si>
    <t>Drago F, Ranieri E, Malaguti F, Battifoglio ML, Losi E, Rebora A.</t>
  </si>
  <si>
    <t>Dermatology. 1997;195(4):374-8. doi: 10.1159/000245991.</t>
  </si>
  <si>
    <t>Dermatology</t>
  </si>
  <si>
    <t>Abnormal Tr1 differentiation in multiple sclerosis</t>
  </si>
  <si>
    <t>Astier AL, Hafler DA.</t>
  </si>
  <si>
    <t>J Neuroimmunol. 2007 Nov;191(1-2):70-8. doi: 10.1016/j.jneuroim.2007.09.018. Epub 2007 Oct 22.</t>
  </si>
  <si>
    <t>PMC2200628</t>
  </si>
  <si>
    <t>NIHMS34899</t>
  </si>
  <si>
    <t>[HHV 6,7 and 8. Recently discovered herpesviruses explain the etiology of well-known diseases]</t>
  </si>
  <si>
    <t>Bergström T.</t>
  </si>
  <si>
    <t>Lakartidningen. 1999 Jun 30;96(26-27):3161-5.</t>
  </si>
  <si>
    <t>Lakartidningen</t>
  </si>
  <si>
    <t>Caserta MT, Mock DJ, Dewhurst S.</t>
  </si>
  <si>
    <t>Clin Infect Dis. 2001 Sep 15;33(6):829-33. doi: 10.1086/322691. Epub 2001 Aug 10.</t>
  </si>
  <si>
    <t>Severe amnesia associated with human herpesvirus 6 encephalitis after bone marrow transplantation</t>
  </si>
  <si>
    <t>MacLean HJ, Douen AG.</t>
  </si>
  <si>
    <t>Transplantation. 2002 Apr 15;73(7):1086-9. doi: 10.1097/00007890-200204150-00012.</t>
  </si>
  <si>
    <t>The preceding hyponatremia is a useful hallmark for the diagnosis of HHV-6 encephalitis after allogeneic hematopoietic stem cell transplantation</t>
  </si>
  <si>
    <t>Yoshida S, Ara T, Okada K, Mori Y, Tsukamoto S, Miyashita N, Kasahara K, Ebata K, Iwasaki J, Takahashi S, Shigematsu A, Minauchi K, Kobayashi N, Ogasawara M, Imamura M, Teshima T, Ota S.</t>
  </si>
  <si>
    <t>Bone Marrow Transplant. 2023 Jan;58(1):97-99. doi: 10.1038/s41409-022-01843-y. Epub 2022 Oct 15.</t>
  </si>
  <si>
    <t>PMC9812762</t>
  </si>
  <si>
    <t>Identification, characterization, and sequence analysis of a cDNA encoding a phosphoprotein of human herpesvirus 6</t>
  </si>
  <si>
    <t>Chang CK, Balachandran N.</t>
  </si>
  <si>
    <t>J Virol. 1991 Jun;65(6):2884-94. doi: 10.1128/JVI.65.6.2884-2894.1991.</t>
  </si>
  <si>
    <t>PMC240918</t>
  </si>
  <si>
    <t>Development of the loop-mediated isothermal amplification method for rapid detection of cytomegalovirus DNA</t>
  </si>
  <si>
    <t>Suzuki R, Yoshikawa T, Ihira M, Enomoto Y, Inagaki S, Matsumoto K, Kato K, Kudo K, Kojima S, Asano Y.</t>
  </si>
  <si>
    <t>J Virol Methods. 2006 Mar;132(1-2):216-21. doi: 10.1016/j.jviromet.2005.09.008. Epub 2005 Nov 11.</t>
  </si>
  <si>
    <t>Foscarnet against human herpesvirus (HHV)-6 reactivation after allo-SCT: breakthrough HHV-6 encephalitis following antiviral prophylaxis</t>
  </si>
  <si>
    <t>Ogata M, Satou T, Inoue Y, Takano K, Ikebe T, Ando T, Ikewaki J, Kohno K, Nishida A, Saburi M, Miyazaki Y, Ohtsuka E, Saburi Y, Fukuda T, Kadota J.</t>
  </si>
  <si>
    <t>Bone Marrow Transplant. 2013 Feb;48(2):257-64. doi: 10.1038/bmt.2012.121. Epub 2012 Jul 2.</t>
  </si>
  <si>
    <t>Anti-viral properties of interferon beta treatment in patients with multiple sclerosis</t>
  </si>
  <si>
    <t>Hong J, Tejada-Simon MV, Rivera VM, Zang YC, Zhang JZ.</t>
  </si>
  <si>
    <t>Mult Scler. 2002 May;8(3):237-42. doi: 10.1191/1352458502ms794oa.</t>
  </si>
  <si>
    <t>Infections due to human herpesvirus 6 in solid organ transplant recipients</t>
  </si>
  <si>
    <t>Curr Opin Organ Transplant. 2010 Dec;15(6):671-5. doi: 10.1097/MOT.0b013e3283404325.</t>
  </si>
  <si>
    <t>Curr Opin Organ Transplant</t>
  </si>
  <si>
    <t>The Outbreak of Unexplained Acute Hepatitis in Children: The Role of Viral Infections in View of the COVID-19 Pandemic</t>
  </si>
  <si>
    <t>Shteyer E, Mor O, Waisbourd-Zinman O, Mozer-Glazberg Y, Arnon R, Hecht Sagie L, Mandelboim M, Erster O, Weil M, Dovrat S, Goldberg L, Gozlan Y.</t>
  </si>
  <si>
    <t>Viruses. 2024 May 20;16(5):808. doi: 10.3390/v16050808.</t>
  </si>
  <si>
    <t>PMC11125843</t>
  </si>
  <si>
    <t>Development of a new quantitative real-time HHV-6-PCR and monitoring of HHV-6 DNAaemia after liver transplantation</t>
  </si>
  <si>
    <t>Karlsson T, Mannonen L, Loginov R, Lappalainen M, Höckerstedt K, Lautenschlager I.</t>
  </si>
  <si>
    <t>J Virol Methods. 2012 Apr;181(1):25-36. doi: 10.1016/j.jviromet.2012.01.007. Epub 2012 Jan 24.</t>
  </si>
  <si>
    <t>Prevalence of blood-borne viral infections (cytomegalovirus, human herpesvirus-6, human herpesvirus-7, human herpesvirus-8, human T-cell lymphotropic virus-I/II, human retrovirus-5) among blood donors in Latvia</t>
  </si>
  <si>
    <t>Kozireva S, Nemceva G, Danilane I, Pavlova O, Blomberg J, Murovska M.</t>
  </si>
  <si>
    <t>Ann Hematol. 2001 Nov;80(11):669-73. doi: 10.1007/s002770100359.</t>
  </si>
  <si>
    <t>Potential screening assay for undetectable viruses on the basis of their capacity to induce alpha interferon production</t>
  </si>
  <si>
    <t>Schmidt B, Ashlock B, Neipel F, Levy JA.</t>
  </si>
  <si>
    <t>J Clin Microbiol. 2004 Sep;42(9):4300-2. doi: 10.1128/JCM.42.9.4300-4302.2004.</t>
  </si>
  <si>
    <t>PMC516323</t>
  </si>
  <si>
    <t>Recent Advances in Drug-Induced Hypersensitivity Syndrome/Drug Reaction with Eosinophilia and Systemic Symptoms</t>
  </si>
  <si>
    <t>Watanabe H.</t>
  </si>
  <si>
    <t>J Immunol Res. 2018 Mar 18;2018:5163129. doi: 10.1155/2018/5163129. eCollection 2018.</t>
  </si>
  <si>
    <t>PMC5878892</t>
  </si>
  <si>
    <t>Post-transplant acute limbic encephalitis: clinical features and relationship to HHV6</t>
  </si>
  <si>
    <t>Chamberlain MC, Chowdhary S.</t>
  </si>
  <si>
    <t>Neurology. 2008 Feb 5;70(6):491-2; author reply 492-3. doi: 10.1212/01.wnl.0000304028.19061.46.</t>
  </si>
  <si>
    <t>Human herpesvirus-6 is present at higher levels in the pancreatic tissues of donors with type 1 diabetes</t>
  </si>
  <si>
    <t>Sabouri S, Benkahla MA, Kiosses WB, Rodriguez-Calvo T, Zapardiel-Gonzalo J, Castillo E, von Herrath MG.</t>
  </si>
  <si>
    <t>J Autoimmun. 2020 Feb;107:102378. doi: 10.1016/j.jaut.2019.102378. Epub 2019 Dec 6.</t>
  </si>
  <si>
    <t>J Autoimmun</t>
  </si>
  <si>
    <t>PMC7237334</t>
  </si>
  <si>
    <t>NIHMS1546190</t>
  </si>
  <si>
    <t>Differentiating juvenile myelomonocytic leukemia from infectious disease</t>
  </si>
  <si>
    <t>Pinkel D.</t>
  </si>
  <si>
    <t>Blood. 1998 Jan 1;91(1):365-7.</t>
  </si>
  <si>
    <t>Prevention and treatment of temporal lobe epilepsy: lessons from hepatitis B story!</t>
  </si>
  <si>
    <t>Asadi-Pooya AA, Bartolini L.</t>
  </si>
  <si>
    <t>Int J Neurosci. 2020 Nov;130(11):1151-1155. doi: 10.1080/00207454.2020.1730370. Epub 2020 Feb 27.</t>
  </si>
  <si>
    <t>Int J Neurosci</t>
  </si>
  <si>
    <t>[Drug-induced hypersensitivity syndrome: DIHS]</t>
  </si>
  <si>
    <t>Arerugi. 2007 Nov;56(11):1346-50.</t>
  </si>
  <si>
    <t>Arerugi</t>
  </si>
  <si>
    <t>Five cases of thrombocytopenia induced by primary human herpesvirus 6 infection</t>
  </si>
  <si>
    <t>Yoshikawa T, Morooka M, Suga S, Niinomi Y, Kaneko T, Shinoda K, Muraki Y, Takahashi K, Sugaya N, Asano Y.</t>
  </si>
  <si>
    <t>Acta Paediatr Jpn. 1998 Jun;40(3):278-81. doi: 10.1111/j.1442-200x.1998.tb01928.x.</t>
  </si>
  <si>
    <t>Acta Paediatr Jpn</t>
  </si>
  <si>
    <t>Drug-Induced Hypersensitivity Syndrome (DIHS)/Drug Reaction With Eosinophilia and Systemic Symptoms (DRESS): Clinical Features and Pathogenesis</t>
  </si>
  <si>
    <t>Hama N, Abe R, Gibson A, Phillips EJ.</t>
  </si>
  <si>
    <t>J Allergy Clin Immunol Pract. 2022 May;10(5):1155-1167.e5. doi: 10.1016/j.jaip.2022.02.004. Epub 2022 Feb 15.</t>
  </si>
  <si>
    <t>J Allergy Clin Immunol Pract</t>
  </si>
  <si>
    <t>PMC9201940</t>
  </si>
  <si>
    <t>NIHMS1809245</t>
  </si>
  <si>
    <t>Quantitative detection of Epstein-Barr virus in bronchoalveolar lavage from transplant and nontransplant patients</t>
  </si>
  <si>
    <t>Costa C, Elia M, Astegiano S, Sidoti F, Terlizzi ME, Solidoro P, Botto S, Libertucci D, Bergallo M, Cavallo R.</t>
  </si>
  <si>
    <t>Transplantation. 2008 Nov 27;86(10):1389-94. doi: 10.1097/TP.0b013e3181890415.</t>
  </si>
  <si>
    <t>Acute liver failure caused by drug-induced hypersensitivity syndrome associated with hyperferritinemia</t>
  </si>
  <si>
    <t>Miyazaki M, Tanaka M, Ueda A, Yoshimoto T, Kato M, Nakamuta M, Kotoh K, Takayanagi R.</t>
  </si>
  <si>
    <t>World J Gastroenterol. 2011 Nov 28;17(44):4928-31. doi: 10.3748/wjg.v17.i44.4928.</t>
  </si>
  <si>
    <t>PMC3235638</t>
  </si>
  <si>
    <t>[Acute urinary retention secondary to aseptic meningoencephalitis in an infant--case report]</t>
  </si>
  <si>
    <t>Kawamura M, Kaku H, Takayama N, Ushimi T, Kishida S.</t>
  </si>
  <si>
    <t>Brain Nerve. 2007 Nov;59(11):1287-91.</t>
  </si>
  <si>
    <t>Human herpesvirus 6 infections after bone marrow transplantation: clinical and virologic manifestations</t>
  </si>
  <si>
    <t>Cone RW, Huang ML, Corey L, Zeh J, Ashley R, Bowden R.</t>
  </si>
  <si>
    <t>J Infect Dis. 1999 Feb;179(2):311-8. doi: 10.1086/314581.</t>
  </si>
  <si>
    <t>Human herpesvirus-6 and cytomegalovirus DNA in liver donor biopsies and their correlation with HLA matches and acute cellular rejection</t>
  </si>
  <si>
    <t>Guardia AC, Stucchi RS, Milan A, Costa SC, Boin Ide F.</t>
  </si>
  <si>
    <t>Braz J Infect Dis. 2014 Mar-Apr;18(2):220-4. doi: 10.1016/j.bjid.2013.07.007. Epub 2013 Nov 22.</t>
  </si>
  <si>
    <t>Braz J Infect Dis</t>
  </si>
  <si>
    <t>PMC9427445</t>
  </si>
  <si>
    <t>Differential diagnosis of fever and rash cases negative for measles and rubella to complement surveillance activities</t>
  </si>
  <si>
    <t>Fappani C, Gori M, Bianchi S, Terraneo M, Bilardi E, Colzani D, Tanzi E, Canuti M, Amendola A.</t>
  </si>
  <si>
    <t>J Med Virol. 2023 Oct;95(10):e29141. doi: 10.1002/jmv.29141.</t>
  </si>
  <si>
    <t>Virus specific cell-mediated immunity may play a role in controlling reactivated human herpesvirus 6B in patients under measles induced immunosuppression</t>
  </si>
  <si>
    <t>Kumagai T, Yoshikawa T, Shiraki K, Yoshida M, Nakayama T, Ihira M, Asano Y.</t>
  </si>
  <si>
    <t>J Med Virol. 2014 Apr;86(4):658-65. doi: 10.1002/jmv.23862. Epub 2014 Jan 3.</t>
  </si>
  <si>
    <t>RNA Sequencing of the In Vivo Human Herpesvirus 6B Transcriptome To Identify Targets for Clinical Assays Distinguishing between Latent and Active Infections</t>
  </si>
  <si>
    <t>Hill JA, Ikoma M, Zerr DM, Basom RS, Peddu V, Huang ML, Hall Sedlak R, Jerome KR, Boeckh M, Barcy S.</t>
  </si>
  <si>
    <t>J Virol. 2019 Jan 17;93(3):e01419-18. doi: 10.1128/JVI.01419-18. Print 2019 Feb 1.</t>
  </si>
  <si>
    <t>PMC6340040</t>
  </si>
  <si>
    <t>[Fever without an infectious focus and liver transplantation: Infection due to human herpes virus type 6 in transplanted patients]</t>
  </si>
  <si>
    <t>Blasco F, Moreno JM, García-Navarro MJ, Cuervas-Mons V.</t>
  </si>
  <si>
    <t>Enferm Infecc Microbiol Clin. 2005 May;23(5):327-8. doi: 10.1157/13074976.</t>
  </si>
  <si>
    <t>Brainstem infarction associated with HHV-6 infection in an infant</t>
  </si>
  <si>
    <t>Wada A, Muramatsu K, Sunaga Y, Mizuno T, Takei M, Ogasawara S, Uchida M, Tsukida K, Tashiro M.</t>
  </si>
  <si>
    <t>Brain Dev. 2018 Mar;40(3):242-246. doi: 10.1016/j.braindev.2017.09.005. Epub 2017 Sep 25.</t>
  </si>
  <si>
    <t>Brain Dev</t>
  </si>
  <si>
    <t>EBV/HHV-6A dUTPases contribute to myalgic encephalomyelitis/chronic fatigue syndrome pathophysiology by enhancing TFH cell differentiation and extrafollicular activities</t>
  </si>
  <si>
    <t>Cox BS, Alharshawi K, Mena-Palomo I, Lafuse WP, Ariza ME.</t>
  </si>
  <si>
    <t>JCI Insight. 2022 Jun 8;7(11):e158193. doi: 10.1172/jci.insight.158193.</t>
  </si>
  <si>
    <t>JCI Insight</t>
  </si>
  <si>
    <t>PMC9220958</t>
  </si>
  <si>
    <t>Exogenous human herpesvirus 6 reinfection after tumor-infiltrating T-lymphocyte therapy</t>
  </si>
  <si>
    <t>Filippova A, Charles J, Epaulard O, Germi R, Persoons V, Templier I, Leccia MT, Dreno B, Malova I, Morand P, Lupo J.</t>
  </si>
  <si>
    <t>Cytotherapy. 2018 Apr;20(4):521-523. doi: 10.1016/j.jcyt.2017.12.006. Epub 2018 Feb 9.</t>
  </si>
  <si>
    <t>Cytotherapy</t>
  </si>
  <si>
    <t>High Frequency of Detection by PCR of Viral Nucleic Acid in The Blood of Infants Presenting with Clinical Myocarditis</t>
  </si>
  <si>
    <t>Simpson KE, Storch GA, Lee CK, Ward KE, Danon S, Simon CM, Delaney JW, Tong A, Canter CE.</t>
  </si>
  <si>
    <t>Pediatr Cardiol. 2016 Feb;37(2):399-404. doi: 10.1007/s00246-015-1290-6. Epub 2015 Oct 26.</t>
  </si>
  <si>
    <t>Pediatr Cardiol</t>
  </si>
  <si>
    <t>PMC4775434</t>
  </si>
  <si>
    <t>NIHMS746233</t>
  </si>
  <si>
    <t>Human herpes virus type 6 can cause skin lesions at the BCG inoculation site similar to Kawasaki Disease</t>
  </si>
  <si>
    <t>Kakisaka Y, Ohara T, Katayama S, Suzuki T, Sasai S, Hino-Fukuyo N, Kure S.</t>
  </si>
  <si>
    <t>Tohoku J Exp Med. 2012 Dec;228(4):351-3. doi: 10.1620/tjem.228.351.</t>
  </si>
  <si>
    <t>Tohoku J Exp Med</t>
  </si>
  <si>
    <t>Oral brincidofovir decreases the incidence of HHV-6B viremia after allogeneic HCT</t>
  </si>
  <si>
    <t>Hill JA, Nichols WG, Marty FM, Papanicolaou GA, Brundage TM, Lanier R, Zerr DM, Boeckh MJ.</t>
  </si>
  <si>
    <t>Blood. 2020 Apr 23;135(17):1447-1451. doi: 10.1182/blood.2019004315.</t>
  </si>
  <si>
    <t>PMC7180083</t>
  </si>
  <si>
    <t>[Successful treatment with antiviral agents for human herpesvirus type 6 encephalitis following reduced intensity stem cell transplantation in a patient with myelodysplastic syndrome]</t>
  </si>
  <si>
    <t>Chiba H, Hirayama Y, Tsuji Y, Sakamaki S, Sagawa T, Kuroiwa G, Kobune M, Matsunaga T, Kato J, Niitsu Y.</t>
  </si>
  <si>
    <t>Rinsho Ketsueki. 2004 Jun;45(6):473-7.</t>
  </si>
  <si>
    <t>Detection of simultaneous beta-herpesvirus infections in clinical syndromes due to defined cytomegalovirus infection</t>
  </si>
  <si>
    <t>Razonable RR, Rivero A, Brown RA, Hart GD, Espy MJ, van Cruijsen H, Wilson J, Groettum C, Kremers W, Smith TF, Paya CV.</t>
  </si>
  <si>
    <t>Clin Transplant. 2003 Apr;17(2):114-20. doi: 10.1034/j.1399-0012.2003.02104.x.</t>
  </si>
  <si>
    <t>Human herpesvirus-6 is associated with cytomegalovirus reactivation in liver transplant recipients</t>
  </si>
  <si>
    <t>Humar A, Malkan G, Moussa G, Greig P, Levy G, Mazzulli T.</t>
  </si>
  <si>
    <t>J Infect Dis. 2000 Apr;181(4):1450-3. doi: 10.1086/315391. Epub 2000 Apr 13.</t>
  </si>
  <si>
    <t>Fever in liver transplant recipients: changing spectrum of etiologic agents</t>
  </si>
  <si>
    <t>Chang FY, Singh N, Gayowski T, Wagener MM, Marino IR.</t>
  </si>
  <si>
    <t>Clin Infect Dis. 1998 Jan;26(1):59-65. doi: 10.1086/516265.</t>
  </si>
  <si>
    <t>Exanthem subitum (human herpesvirus-6 reactivation) after autologous stem cell transplantation</t>
  </si>
  <si>
    <t>Schlaweck S, Brägelmann J, Brossart P, Mayer K.</t>
  </si>
  <si>
    <t>Transpl Infect Dis. 2016 Apr;18(2):255-6. doi: 10.1111/tid.12514.</t>
  </si>
  <si>
    <t>Human herpesvirus 6 encephalitis in patients administered mycophenolate mofetil as prophylaxis for graft-versus-host disease after allogeneic hematopoietic stem cell transplantation</t>
  </si>
  <si>
    <t>Inui Y, Yakushijin K, Okamura A, Tanaka Y, Shinzato I, Nomura T, Ichikawa H, Mizutani Y, Kitao A, Kurata K, Kakiuchi S, Miyata Y, Sanada Y, Kitagawa K, Uryu K, Kawamoto S, Yamamoto K, Matsuoka H, Murayama T, Ito M, Minami H.</t>
  </si>
  <si>
    <t>Transpl Infect Dis. 2019 Feb;21(1):e13024. doi: 10.1111/tid.13024. Epub 2018 Nov 27.</t>
  </si>
  <si>
    <t>Early HHV-6 replication is associated with morbidity non-related to CMV infection after kidney transplantation</t>
  </si>
  <si>
    <t>Schroeder RB, Michelon TF, Garbin G, Garcia V, Silveira JG, Santos L, Neumann J, Keitel E.</t>
  </si>
  <si>
    <t>Braz J Infect Dis. 2012 Mar-Apr;16(2):146-52. doi: 10.1016/s1413-8670(12)70296-9.</t>
  </si>
  <si>
    <t>Drug-induced hypersensitivity syndrome associated with primary Epstein-Barr virus and human herpesvirus 6 infections in a child intestinal transplant recipient</t>
  </si>
  <si>
    <t>Mahé E, Bodemer C, Dupic L, Hubert P, Lacaille F, Goulet O, Leruez-Ville M, Fraitag S.</t>
  </si>
  <si>
    <t>Transplantation. 2004 Feb 15;77(3):479-80. doi: 10.1097/01.TP.0000102459.25647.C6.</t>
  </si>
  <si>
    <t>Long-term prognosis of human herpesvirus 6 reactivation following allogeneic hematopoietic stem cell transplantation</t>
  </si>
  <si>
    <t>Iesato K, Hori T, Yoto Y, Yamamoto M, Inazawa N, Kamo K, Ikeda H, Iyama S, Hatakeyama N, Iguchi A, Sugita J, Kobayashi R, Suzuki N, Tsutsumi H.</t>
  </si>
  <si>
    <t>Pediatr Int. 2018 Jun;60(6):547-552. doi: 10.1111/ped.13551.</t>
  </si>
  <si>
    <t>Analysis of five cases of human herpesvirus-6 myelitis among 121 cord blood transplantations</t>
  </si>
  <si>
    <t>Ueki T, Hoshi K, Hiroshima Y, Sumi M, Ichikawa N, Ogata M, Satou T, Fukuda T, Kobayashi H.</t>
  </si>
  <si>
    <t>Int J Hematol. 2018 Mar;107(3):363-372. doi: 10.1007/s12185-017-2347-5. Epub 2017 Oct 11.</t>
  </si>
  <si>
    <t>Human herpesvirus-6 encephalitis in hematopoietic SCT recipients in Japan: a retrospective multicenter study</t>
  </si>
  <si>
    <t>Muta T, Fukuda T, Harada M.</t>
  </si>
  <si>
    <t>Bone Marrow Transplant. 2009 Apr;43(7):583-5. doi: 10.1038/bmt.2008.359. Epub 2008 Nov 3.</t>
  </si>
  <si>
    <t>[Human herpesvirus-6: a new member of the herpesvirus family, a threat to AIDS, organ-transplanted and other immune deficient patients]</t>
  </si>
  <si>
    <t>Kenigsberg S, Bantov J, Rager-Zisman B.</t>
  </si>
  <si>
    <t>Harefuah. 1997 Mar 2;132(5):346-50.</t>
  </si>
  <si>
    <t>Harefuah</t>
  </si>
  <si>
    <t>Human herpesvirus-6 encephalitis after unrelated cord blood transplantation</t>
  </si>
  <si>
    <t>Tanaka M, Taguchi J, Hyo R, Kawano T, Hashimoto C, Motomura S, Kodama F, Kobayashi S, Okabe G, Maruta A, Nagao T, Ishigatsubo Y.</t>
  </si>
  <si>
    <t>Leuk Lymphoma. 2005 Apr;46(4):561-6. doi: 10.1080/10428190400029882.</t>
  </si>
  <si>
    <t>HHV-6 cell receptor CD46 expression on various cell subsets of six blood and graft sources: a prospective series</t>
  </si>
  <si>
    <t>Chevallier P, Robillard N, Illiaquer M, Esbelin J, Mohty M, Bodin-Bressollette C, Guillaume T, Stocco V, Auffray F, Derenne S, Planche L, Bene MC, Imbert-Marcille BM.</t>
  </si>
  <si>
    <t>J Clin Virol. 2013 Apr;56(4):331-5. doi: 10.1016/j.jcv.2012.12.005. Epub 2013 Jan 1.</t>
  </si>
  <si>
    <t>Human herpesvirus-6 as a possible cause of encephalitis and hemorrhagic cystitis after allogeneic hematopoietic stem cell transplantation</t>
  </si>
  <si>
    <t>Kim YJ, Kim DW, Lee DG, Park ST, Park YH, Min CK, Lee S, Choi JH, Lee JW, Min WS, Shin WS, Kim CC.</t>
  </si>
  <si>
    <t>Leukemia. 2002 May;16(5):958-9. doi: 10.1038/sj.leu.2402403.</t>
  </si>
  <si>
    <t>Cord-blood hematopoietic stem cell transplant confers an increased risk for human herpesvirus-6-associated acute limbic encephalitis: a cohort analysis</t>
  </si>
  <si>
    <t>Hill JA, Koo S, Guzman Suarez BB, Ho VT, Cutler C, Koreth J, Armand P, Alyea EP 3rd, Baden LR, Antin JH, Soiffer RJ, Marty FM.</t>
  </si>
  <si>
    <t>Biol Blood Marrow Transplant. 2012 Nov;18(11):1638-48. doi: 10.1016/j.bbmt.2012.04.016. Epub 2012 May 4.</t>
  </si>
  <si>
    <t>PMC3816521</t>
  </si>
  <si>
    <t>NIHMS375423</t>
  </si>
  <si>
    <t>Correlations of HHV-6 viral load and plasma IL-6 concentration with HHV-6 encephalitis in allogeneic stem cell transplant recipients</t>
  </si>
  <si>
    <t>Ogata M, Satou T, Kawano R, Takakura S, Goto K, Ikewaki J, Kohno K, Ikebe T, Ando T, Miyazaki Y, Ohtsuka E, Saburi Y, Saikawa T, Kadota J.</t>
  </si>
  <si>
    <t>Bone Marrow Transplant. 2010 Jan;45(1):129-36. doi: 10.1038/bmt.2009.116. Epub 2009 May 25.</t>
  </si>
  <si>
    <t>Atypical CD4(+)/CD8(+) Lymphocytosis and Prolonged Pancytopenia Associated With Human Herpesvirus 6 Reactivation After Autologous Peripheral Blood Stem Cell Transplantation</t>
  </si>
  <si>
    <t>Russell SJ, Duran J, Fuchs D, Yeager AM.</t>
  </si>
  <si>
    <t>Clin Lymphoma Myeloma Leuk. 2019 Aug;19(8):531-535. doi: 10.1016/j.clml.2019.03.010. Epub 2019 Mar 15.</t>
  </si>
  <si>
    <t>Clin Lymphoma Myeloma Leuk</t>
  </si>
  <si>
    <t>HHV-6 and CMV pneumonitis in immunocompromised patients</t>
  </si>
  <si>
    <t>Lancet. 1994 Jun 25;343(8913):1647.</t>
  </si>
  <si>
    <t>Human Herpesvirus 6 Reactivation Associated With Intestinal Pseudo-Obstruction in a Renal Transplant Recipient</t>
  </si>
  <si>
    <t>Saraiva S, Simões C, Verdelho Machado M, Freitas C, Baldaia C, Valente A, Marinho RT.</t>
  </si>
  <si>
    <t>Exp Clin Transplant. 2022 Feb;20(2):209-212. doi: 10.6002/ect.2021.0315. Epub 2022 Jan 14.</t>
  </si>
  <si>
    <t>The possible involvement of human herpesvirus type 6 in obliterative bronchiolitis after bone marrow transplantation</t>
  </si>
  <si>
    <t>Nishimaki K, Okada S, Miyamura K, Ohno I, Ashino Y, Sugawara T, Kondo T, Hattori T.</t>
  </si>
  <si>
    <t>Bone Marrow Transplant. 2003 Dec;32(11):1103-5. doi: 10.1038/sj.bmt.1704269.</t>
  </si>
  <si>
    <t>Human herpesvirus 6-associated limbic encephalitis in adult recipients of unrelated umbilical cord blood transplantation</t>
  </si>
  <si>
    <t>Matà S, Guidi S, Nozzoli C, Orsi A, Pratesi A, Mascalchi M, Moretti M, Letizia L, Rombolà G, Sorbi S, Bosi A.</t>
  </si>
  <si>
    <t>Bone Marrow Transplant. 2008 Nov;42(10):693-5. doi: 10.1038/bmt.2008.233. Epub 2008 Aug 4.</t>
  </si>
  <si>
    <t>Human herpesviruses 6 and 7 as potential pathogens after liver transplant: prospective comparison with the effect of cytomegalovirus</t>
  </si>
  <si>
    <t>Griffiths PD, Ait-Khaled M, Bearcroft CP, Clark DA, Quaglia A, Davies SE, Burroughs AK, Rolles K, Kidd IM, Knight SN, Noibi SM, Cope AV, Phillips AN, Emery VC.</t>
  </si>
  <si>
    <t>J Med Virol. 1999 Dec;59(4):496-501. doi: 10.1002/(sici)1096-9071(199912)59:4&lt;496::aid-jmv12&gt;3.0.co;2-u.</t>
  </si>
  <si>
    <t>Elevated serum thymus and activation-regulated chemokine (TARC/CCL17) relates to reactivation of human herpesvirus 6 in drug reaction with eosinophilia and systemic symptoms (DRESS)/drug-induced hypersensitivity syndrome (DIHS)</t>
  </si>
  <si>
    <t>Ogawa K, Morito H, Hasegawa A, Miyagawa F, Kobayashi N, Watanabe H, Sueki H, Tohyama M, Hashimoto K, Kano Y, Shiohara T, Ito K, Fujita H, Aihara M, Asada H.</t>
  </si>
  <si>
    <t>Br J Dermatol. 2014 Aug;171(2):425-7. doi: 10.1111/bjd.12948. Epub 2014 Aug 2.</t>
  </si>
  <si>
    <t>Human herpesvirus-7 (HHV-7)</t>
  </si>
  <si>
    <t>Ablashi DV, Berneman ZN, Kramarsky B, Asano Y, Choudhury S, Pearson GR.</t>
  </si>
  <si>
    <t>In Vivo. 1994 Jul-Aug;8(4):549-54.</t>
  </si>
  <si>
    <t>Relationship between cytomegalovirus DNA load in epithelial lining fluid and plasma of lung transplant recipients and analysis of coinfection with Epstein-Barr virus and human herpesvirus 6 in the lung compartment</t>
  </si>
  <si>
    <t>Bauer CC, Jaksch P, Aberle SW, Haber H, Lang G, Klepetko W, Hofmann H, Puchhammer-Stöckl E.</t>
  </si>
  <si>
    <t>J Clin Microbiol. 2007 Feb;45(2):324-8. doi: 10.1128/JCM.01173-06. Epub 2006 Dec 6.</t>
  </si>
  <si>
    <t>PMC1829057</t>
  </si>
  <si>
    <t>Human Herpes Virus 6 (HHV-6)-associated Lymphadenitis: Pitfalls in Diagnosis in Benign and Malignant Settings</t>
  </si>
  <si>
    <t>Balakrishna JP, Bhavsar T, Nicolae A, Raffeld M, Jaffe ES, Pittaluga S.</t>
  </si>
  <si>
    <t>Am J Surg Pathol. 2018 Oct;42(10):1402-1408. doi: 10.1097/PAS.0000000000001121.</t>
  </si>
  <si>
    <t>Am J Surg Pathol</t>
  </si>
  <si>
    <t>PMC6133726</t>
  </si>
  <si>
    <t>NIHMS974228</t>
  </si>
  <si>
    <t>Human herpesvirus-6 enhances natural killer cell cytotoxicity via IL-15</t>
  </si>
  <si>
    <t>Flamand L, Stefanescu I, Menezes J.</t>
  </si>
  <si>
    <t>J Clin Invest. 1996 Mar 15;97(6):1373-81. doi: 10.1172/JCI118557.</t>
  </si>
  <si>
    <t>J Clin Invest</t>
  </si>
  <si>
    <t>PMC507195</t>
  </si>
  <si>
    <t>Investigation of cytomegalovirus and human herpes viruses 6 and 7 as possible causative antigens in psoriasis</t>
  </si>
  <si>
    <t>Kirby B, Al-Jiffri O, Cooper RJ, Corbitt G, Klapper PE, Griffiths CE.</t>
  </si>
  <si>
    <t>Acta Derm Venereol. 2000 Nov-Dec;80(6):404-6. doi: 10.1080/000155500300012738.</t>
  </si>
  <si>
    <t>[Acute human herpesvirus 6 (HHV-6) infections: when and how to treat?]</t>
  </si>
  <si>
    <t>Pathol Biol (Paris). 2011 Apr;59(2):108-12. doi: 10.1016/j.patbio.2010.07.015. Epub 2010 Sep 15.</t>
  </si>
  <si>
    <t>[Prevalence of CI-HHV-6 in patients with hematological diseases and healthy donors in Poland - preliminary study]</t>
  </si>
  <si>
    <t>Tormanowska M, Dzieciątkowski T, Rynans S, Przybylski M, Gronkowska A, Basak GW, Młynarczyk G, Tomaszewska A.</t>
  </si>
  <si>
    <t>Med Dosw Mikrobiol. 2016;68(2):113-117.</t>
  </si>
  <si>
    <t>Cytomegalovirus, human herpesvirus-6, and human herpesvirus-7 in adult liver transplant recipients: diagnosis based on antigenemia</t>
  </si>
  <si>
    <t>Sampaio AM, Thomasini RL, Guardia AC, Stucchi RS, Rossi CL, Costa SC, Boin IF.</t>
  </si>
  <si>
    <t>Transplant Proc. 2011 May;43(4):1357-9. doi: 10.1016/j.transproceed.2011.03.062.</t>
  </si>
  <si>
    <t>[Pneumonitis with a bronchiolitis obliterans organizing pneumonia-like shadow in a patient with human herpes virus-6 viremia after allogeneic bone marrow transplantation]</t>
  </si>
  <si>
    <t>Yata K, Nakajima M, Takemoto Y, Yamada O, Okada M, Takatsuka H, Okamoto T, Wada H, Otsuki T, Yawata Y, Kakishita E, Sugihara T.</t>
  </si>
  <si>
    <t>Kansenshogaku Zasshi. 2002 May;76(5):385-90. doi: 10.11150/kansenshogakuzasshi1970.76.385.</t>
  </si>
  <si>
    <t>Human herpes virus 6 infection is a hallmark of cord blood transplant in adults and may participate to delayed engraftment: a comparison with matched unrelated donors as stem cell source</t>
  </si>
  <si>
    <t>Chevallier P, Hebia-Fellah I, Planche L, Guillaume T, Bressolette-Bodin C, Coste-Burel M, Rialland F, Mohty M, Imbert-Marcille BM.</t>
  </si>
  <si>
    <t>Bone Marrow Transplant. 2010 Jul;45(7):1204-11. doi: 10.1038/bmt.2009.326. Epub 2009 Nov 23.</t>
  </si>
  <si>
    <t>Safety of pre-engraftment prophylactic foscarnet administration after allogeneic stem cell transplantation</t>
  </si>
  <si>
    <t>Ishiyama K, Katagiri T, Ohata K, Hosokawa K, Kondo Y, Yamazaki H, Takami A, Nakao S.</t>
  </si>
  <si>
    <t>Transpl Infect Dis. 2012 Feb;14(1):33-9. doi: 10.1111/j.1399-3062.2011.00662.x. Epub 2011 Jul 28.</t>
  </si>
  <si>
    <t>[HHV-6 infection and its clinical significance]</t>
  </si>
  <si>
    <t>Lautenschlager I, Loginov R.</t>
  </si>
  <si>
    <t>Duodecim. 2011;127(12):1204-11.</t>
  </si>
  <si>
    <t>Duodecim</t>
  </si>
  <si>
    <t>Transformation of large granular lymphocytic leukemia during the course of a reactivated human herpesvirus-6 infection</t>
  </si>
  <si>
    <t>Tagawa S, Mizuki M, Onoi U, Nakamura Y, Nozima J, Yoshida H, Kondo K, Mukai T, Yamanishi K, Kitani T.</t>
  </si>
  <si>
    <t>Leukemia. 1992 May;6(5):465-9.</t>
  </si>
  <si>
    <t>Current Perspectives on the Management of Herpesvirus Infections in Solid Organ Transplant Recipients</t>
  </si>
  <si>
    <t>Malahe SRK, van Kampen JJA, Manintveld OC, Hoek RAS, den Hoed CM, Baan CC, Kho MML, Verjans GMGM.</t>
  </si>
  <si>
    <t>Viruses. 2023 Jul 21;15(7):1595. doi: 10.3390/v15071595.</t>
  </si>
  <si>
    <t>PMC10383436</t>
  </si>
  <si>
    <t>[Chronic fatigue syndrome--study of 51 cases treated at the Second Tokyo National Hospital]</t>
  </si>
  <si>
    <t>Nishikai M.</t>
  </si>
  <si>
    <t>Nihon Rinsho. 1992 Nov;50(11):2641-7.</t>
  </si>
  <si>
    <t>Identification and characterization of U83A viral chemokine, a broad and potent beta-chemokine agonist for human CCRs with unique selectivity and inhibition by spliced isoform</t>
  </si>
  <si>
    <t>Dewin DR, Catusse J, Gompels UA.</t>
  </si>
  <si>
    <t>J Immunol. 2006 Jan 1;176(1):544-56. doi: 10.4049/jimmunol.176.1.544.</t>
  </si>
  <si>
    <t>Impact of Human Herpesvirus-6 Reactivation on Outcomes of Allogeneic Hematopoietic Stem Cell Transplantation</t>
  </si>
  <si>
    <t>Aoki J, Numata A, Yamamoto E, Fujii E, Tanaka M, Kanamori H.</t>
  </si>
  <si>
    <t>Biol Blood Marrow Transplant. 2015 Nov;21(11):2017-22. doi: 10.1016/j.bbmt.2015.07.022. Epub 2015 Jul 27.</t>
  </si>
  <si>
    <t>Human herpesvirus-6 infection after lung and heart-lung transplantation: a prospective longitudinal study</t>
  </si>
  <si>
    <t>Jacobs F, Knoop C, Brancart F, Gilot P, Mélot C, Byl B, Delforge ML, Estenne M, Liesnard C; Brussels Heart and Lung Transplantation Group.</t>
  </si>
  <si>
    <t>Transplantation. 2003 Jun 27;75(12):1996-2001. doi: 10.1097/01.TP.0000058809.42027.66.</t>
  </si>
  <si>
    <t>Human herpesvirus 6 causes hepatitis in transplant recipients</t>
  </si>
  <si>
    <t>Intern Med. 2006;45(7):417-8. doi: 10.2169/internalmedicine.45.0147. Epub 2006 May 1.</t>
  </si>
  <si>
    <t>Intern Med</t>
  </si>
  <si>
    <t>ATL-like marked atypical lymphocytosis associated with drug-induced hypersensitivity syndrome and human herpesvirus-6 reactivation</t>
  </si>
  <si>
    <t>Nakazato T, Suzuki K, Mihara A, Sanada Y, Aisa Y, Kakimoto T.</t>
  </si>
  <si>
    <t>Int J Hematol. 2009 Dec;90(5):648-650. doi: 10.1007/s12185-009-0449-4. Epub 2009 Nov 25.</t>
  </si>
  <si>
    <t>HHV-6 DNA throughout the tissues of two stem cell transplant patients with chromosomally integrated HHV-6 and fatal CMV pneumonitis</t>
  </si>
  <si>
    <t>Hubacek P, Virgili A, Ward KN, Pohlreich D, Keslova P, Goldova B, Markova M, Zajac M, Cinek O, Nacheva EP, Sedlacek P, Cetkovsky P.</t>
  </si>
  <si>
    <t>Br J Haematol. 2009 May;145(3):394-8. doi: 10.1111/j.1365-2141.2009.07622.x. Epub 2009 Feb 17.</t>
  </si>
  <si>
    <t>[The role of herpesviruses in development of diseases of the urogenital tract and infertility in women]</t>
  </si>
  <si>
    <t>Kushch AA, Kisteneva LB, Klimova RR, Cheshik SG.</t>
  </si>
  <si>
    <t>Vopr Virusol. 2021 Jan 7;65(6):317-325. doi: 10.36233/0507-4088-2020-65-6-2.</t>
  </si>
  <si>
    <t>Drug-induced hypersensitivity syndrome with rapid hematopoietic reconstitution during treatment for acute myeloid leukemia</t>
  </si>
  <si>
    <t>Suzuki HI, Asai T, Tamaki Z, Hangaishi A, Chiba S, Kurokawa M.</t>
  </si>
  <si>
    <t>Haematologica. 2008 Mar;93(3):469-70. doi: 10.3324/haematol.12029.</t>
  </si>
  <si>
    <t>Significance of human herpesviruses to transplant recipients</t>
  </si>
  <si>
    <t>Curr Opin Infect Dis. 2003 Dec;16(6):601-6. doi: 10.1097/00001432-200312000-00014.</t>
  </si>
  <si>
    <t>Human herpesvirus-6 encephalitis after unrelated umbilical cord blood transplant in children</t>
  </si>
  <si>
    <t>Chik KW, Chan PK, Li CK, Shing MM, Lee V, Cheng AF, Yuen PM.</t>
  </si>
  <si>
    <t>Bone Marrow Transplant. 2002 Jun;29(12):991-4. doi: 10.1038/sj.bmt.1703596.</t>
  </si>
  <si>
    <t>Cell Fusion and Syncytium Formation in Betaherpesvirus Infection</t>
  </si>
  <si>
    <t>Tang J, Frascaroli G, Zhou X, Knickmann J, Brune W.</t>
  </si>
  <si>
    <t>Viruses. 2021 Sep 30;13(10):1973. doi: 10.3390/v13101973.</t>
  </si>
  <si>
    <t>PMC8537622</t>
  </si>
  <si>
    <t>Tissue viral DNA is associated with chronic allograft nephropathy</t>
  </si>
  <si>
    <t>Sebeková K, Feber J, Carpenter B, Shaw L, Karnauchow T, Diaz-Mitoma F, Filler G.</t>
  </si>
  <si>
    <t>Pediatr Transplant. 2005 Oct;9(5):598-603. doi: 10.1111/j.1399-3046.2005.00347.x.</t>
  </si>
  <si>
    <t>Angioimmunoblastic lymphadenopathy with disseminated human herpesvirus 6 infection in a patient with acute myeloblastic leukemia</t>
  </si>
  <si>
    <t>Daibata M, Ido E, Murakami K, Kuzume T, Kubonishi I, Taguchi H, Miyoshi I.</t>
  </si>
  <si>
    <t>Leukemia. 1997 Jun;11(6):882-5. doi: 10.1038/sj.leu.2400671.</t>
  </si>
  <si>
    <t>Comparison of HHV-6 DNA detection in plasma and whole blood in allogeneic hematopoietic stem cell transplant recipients: frequent false-positive results for active HHV-6 infection using whole blood samples</t>
  </si>
  <si>
    <t>Takano K, Ogata M, Kawano R, Satou T, Nashimoto Y, Shirao K.</t>
  </si>
  <si>
    <t>Int J Hematol. 2018 Nov;108(5):535-542. doi: 10.1007/s12185-018-2498-z. Epub 2018 Jul 16.</t>
  </si>
  <si>
    <t>Pityriasis rosea in a hepatitis B-positive patient treated with pegylated interferon α2a: report of a case and review of the literature</t>
  </si>
  <si>
    <t>Drago F, Javor S, Bruzzone L, Drago F, Parodi A, Picciotto A.</t>
  </si>
  <si>
    <t>Dermatology. 2014;228(1):10-3. doi: 10.1159/000356176. Epub 2013 Dec 4.</t>
  </si>
  <si>
    <t>Economic impact of cytomegalovirus in solid organ transplantation</t>
  </si>
  <si>
    <t>Paya CV.</t>
  </si>
  <si>
    <t>Transpl Infect Dis. 2001;3 Suppl 2:14-9. doi: 10.1034/j.1399-3062.2001.00003.x.</t>
  </si>
  <si>
    <t>[Infantile T cell acute lymphoblastic leukemia complicated by thrombotic microangiopathy and human herpes virus 6 infection after allogeneic peripheral blood stem cell transplantation using CD34-positive cells]</t>
  </si>
  <si>
    <t>Hasegawa D, Sano K, Kosaka Y, Hayakawa A, Kawagoe R, Amo K, Taya K, Hirabayashi N, Nakamura H.</t>
  </si>
  <si>
    <t>Rinsho Ketsueki. 1999 Jul;40(7):574-80.</t>
  </si>
  <si>
    <t>Herpes viruses in transplant recipients: HSV, VZV, human herpes viruses, and EBV</t>
  </si>
  <si>
    <t>Shiley K, Blumberg E.</t>
  </si>
  <si>
    <t>Infect Dis Clin North Am. 2010 Jun;24(2):373-93. doi: 10.1016/j.idc.2010.01.003.</t>
  </si>
  <si>
    <t>Infect Dis Clin North Am</t>
  </si>
  <si>
    <t>Temporal relationship between HHV 6 and graft vs host disease in a patient after haplo-identical SCT and severe T-cell depletion</t>
  </si>
  <si>
    <t>Brands-Nijenhuis AV, van Loo IH, Schouten HC, van Gelder M.</t>
  </si>
  <si>
    <t>Bone Marrow Transplant. 2011 Aug;46(8):1151-2. doi: 10.1038/bmt.2010.245. Epub 2010 Oct 18.</t>
  </si>
  <si>
    <t>Human herpesvirus 6 in bronchalveolar lavage fluid after lung transplantation: a risk factor for bronchiolitis obliterans syndrome?</t>
  </si>
  <si>
    <t>Neurohr C, Huppmann P, Leuchte H, Schwaiblmair M, Bittmann I, Jaeger G, Hatz R, Frey L, Uberfuhr P, Reichart B, Behr J; Munich Lung Transplant Group.</t>
  </si>
  <si>
    <t>Am J Transplant. 2005 Dec;5(12):2982-91. doi: 10.1111/j.1600-6143.2005.01103.x.</t>
  </si>
  <si>
    <t>Postinfantile giant cell hepatitis with autoimmune features following a human herpesvirus 6-induced adverse drug reaction</t>
  </si>
  <si>
    <t>Kuntzen T, Friedrichs N, Fischer HP, Eis-Hübinger AM, Sauerbruch T, Spengler U.</t>
  </si>
  <si>
    <t>Eur J Gastroenterol Hepatol. 2005 Oct;17(10):1131-4. doi: 10.1097/00042737-200510000-00020.</t>
  </si>
  <si>
    <t>Eur J Gastroenterol Hepatol</t>
  </si>
  <si>
    <t>Immune surveillance, organophosphorus exposure, and lymphomagenesis</t>
  </si>
  <si>
    <t>Newcombe DS.</t>
  </si>
  <si>
    <t>Lancet. 1992 Feb 29;339(8792):539-41. doi: 10.1016/0140-6736(92)90349-8.</t>
  </si>
  <si>
    <t>Fatal HHV6 infection in an immunocompromised patient presenting with skin involvement</t>
  </si>
  <si>
    <t>Galan A, McNiff JM, Choi JN, Lazova R.</t>
  </si>
  <si>
    <t>J Cutan Pathol. 2010 Feb;37(2):277-81. doi: 10.1111/j.1600-0560.2009.01291.x. Epub 2009 May 11.</t>
  </si>
  <si>
    <t>Prospective study of human betaherpesviruses after renal transplantation: association of human herpesvirus 7 and cytomegalovirus co-infection with cytomegalovirus disease and increased rejection</t>
  </si>
  <si>
    <t>Kidd IM, Clark DA, Sabin CA, Andrew D, Hassan-Walker AF, Sweny P, Griffiths PD, Emery VC.</t>
  </si>
  <si>
    <t>Transplantation. 2000 Jun 15;69(11):2400-4. doi: 10.1097/00007890-200006150-00032.</t>
  </si>
  <si>
    <t>Severe allograft dysfunction after OKT3-induced human herpes virus-6 reactivation</t>
  </si>
  <si>
    <t>Jacobs U, Ferber J, Klehr HU.</t>
  </si>
  <si>
    <t>Transplant Proc. 1994 Dec;26(6):3121.</t>
  </si>
  <si>
    <t>A prospective study of human herpesvirus type 6 detected by polymerase chain reaction after liver transplantation</t>
  </si>
  <si>
    <t>Schmidt CA, Wilbron F, Weiss K, Brinkmann V, Oettle H, Lohmann R, Langrehr JM, Neuhaus P, Siegert W.</t>
  </si>
  <si>
    <t>Transplantation. 1996 Feb 27;61(4):662-4. doi: 10.1097/00007890-199602270-00027.</t>
  </si>
  <si>
    <t>HHV-6A infection of endometrial epithelial cells affects immune profile and trophoblast invasion</t>
  </si>
  <si>
    <t>Bortolotti D, Gentili V, Rotola A, Cultrera R, Marci R, Di Luca D, Rizzo R.</t>
  </si>
  <si>
    <t>Am J Reprod Immunol. 2019 Oct;82(4):e13174. doi: 10.1111/aji.13174. Epub 2019 Aug 17.</t>
  </si>
  <si>
    <t>Am J Reprod Immunol</t>
  </si>
  <si>
    <t>Human herpesvirus-6, HHV-8 and parvovirus B19 after allogeneic hematopoietic cell transplant: the lesser-known viral complications</t>
  </si>
  <si>
    <t>Kampouri E, Little JS, Crocchiolo R, Hill JA.</t>
  </si>
  <si>
    <t>Curr Opin Infect Dis. 2024 Aug 1;37(4):245-253. doi: 10.1097/QCO.0000000000001020. Epub 2024 May 6.</t>
  </si>
  <si>
    <t>Fatal hemophagocytic syndrome related to human herpesvirus-6 reinfection following liver transplantation: a case report</t>
  </si>
  <si>
    <t>Dharancy S, Crombe V, Copin MC, Boleslawski E, Bocket L, Declerck N, Canva V, Dewilde A, Mathurin P, Pruvot FR.</t>
  </si>
  <si>
    <t>Transplant Proc. 2008 Dec;40(10):3791-3. doi: 10.1016/j.transproceed.2008.05.083.</t>
  </si>
  <si>
    <t>Bone marrow involvement in lymphomas with hemophagocytic syndrome at presentation: a clinicopathologic study of 11 patients in a Western institution</t>
  </si>
  <si>
    <t>Allory Y, Challine D, Haioun C, Copie-Bergman C, Delfau-Larue MH, Boucher E, Charlotte F, Fabre M, Michel M, Gaulard P.</t>
  </si>
  <si>
    <t>Am J Surg Pathol. 2001 Jul;25(7):865-74. doi: 10.1097/00000478-200107000-00004.</t>
  </si>
  <si>
    <t>Chronic fatigue. A prospective clinical and virologic study</t>
  </si>
  <si>
    <t>Gold D, Bowden R, Sixbey J, Riggs R, Katon WJ, Ashley R, Obrigewitch RM, Corey L.</t>
  </si>
  <si>
    <t>JAMA. 1990 Jul 4;264(1):48-53. doi: 10.1001/jama.264.1.48.</t>
  </si>
  <si>
    <t>JAMA</t>
  </si>
  <si>
    <t>Reactivation of Human Herpes Virus-6 After Pediatric Stem Cell Transplantation: Risk Factors, Onset, Clinical Symptoms and Association With Severity of Acute Graft-Versus-Host Disease</t>
  </si>
  <si>
    <t>Verhoeven DH, Claas EC, Jol-van der Zijde CM, Thijssen JC, Lankester AC, Bredius RG, Putter H, Kroes AC, Egeler RM, Schilham MW, van Tol MJ.</t>
  </si>
  <si>
    <t>Pediatr Infect Dis J. 2015 Oct;34(10):1118-27. doi: 10.1097/INF.0000000000000824.</t>
  </si>
  <si>
    <t>High incidence of human herpes virus 6-associated encephalitis/myelitis following a second unrelated cord blood transplantation</t>
  </si>
  <si>
    <t>Mori Y, Miyamoto T, Nagafuji K, Kamezaki K, Yamamoto A, Saito N, Kato K, Takenaka K, Iwasaki H, Harada N, Abe Y, Teshima T, Akashi K.</t>
  </si>
  <si>
    <t>Biol Blood Marrow Transplant. 2010 Nov;16(11):1596-602. doi: 10.1016/j.bbmt.2010.05.009. Epub 2010 May 26.</t>
  </si>
  <si>
    <t>Human herpes virus 6 infection in pediatric organ transplant patients</t>
  </si>
  <si>
    <t>Ylinen E, Lehtinen S, Jahnukainen T, Karlsson T, Loginov R, Mannonen L, Lautenschlager I, Jalanko H.</t>
  </si>
  <si>
    <t>Pediatr Transplant. 2017 Jun;21(4). doi: 10.1111/petr.12905. Epub 2017 Feb 18.</t>
  </si>
  <si>
    <t>Lymphoproliferative response to herpes simplex virus type 1, cytomegalovirus, Epstein-Barr virus, varicella zoster virus, human herpes virus 6, 7, and 8 antigen stimulation in pediatric allogeneic stem cell transplant recipients</t>
  </si>
  <si>
    <t>Cheng FW, Chan PK, Lee V, Leung WK, Shing MK, Li CK, Leung TF.</t>
  </si>
  <si>
    <t>Pediatr Transplant. 2010 Sep 1;14(6):761-9. doi: 10.1111/j.1399-3046.2010.01333.x. Epub 2010 May 31.</t>
  </si>
  <si>
    <t>Immune responses to an early lytic cytomegalovirus antigen in systemic lupus erythematosus patients: T-cell responses, cytokine secretions and antibody status</t>
  </si>
  <si>
    <t>Draborg AH, Rasmussen NS, Larsen JL, Jørgensen CS, Sandhu N, Skogstrand K, Jacobsen S, Houen G.</t>
  </si>
  <si>
    <t>PLoS One. 2018 Mar 2;13(3):e0193244. doi: 10.1371/journal.pone.0193244. eCollection 2018.</t>
  </si>
  <si>
    <t>PMC5834189</t>
  </si>
  <si>
    <t>HHV-6 reactivation as a cause of fever in autologous hematopoietic stem cell transplant recipients</t>
  </si>
  <si>
    <t>Colombier MA, Amorim S, Salmona M, Thieblemont C, Legoff J, Lafaurie M.</t>
  </si>
  <si>
    <t>J Infect. 2017 Aug;75(2):155-159. doi: 10.1016/j.jinf.2017.05.011. Epub 2017 May 24.</t>
  </si>
  <si>
    <t>Utility of a monitoring strategy for human herpesviruses 6 and 7 viremia after liver transplantation: a randomized clinical trial</t>
  </si>
  <si>
    <t>Fernández-Ruiz M, Kumar D, Husain S, Lilly L, Renner E, Mazzulli T, Moussa G, Humar A.</t>
  </si>
  <si>
    <t>Transplantation. 2015 Jan;99(1):106-13. doi: 10.1097/TP.0000000000000306.</t>
  </si>
  <si>
    <t>Herpesvirus 6 variant A infection after heart transplantation with giant cell transformation in bile ductular and gastroduodenal epithelium</t>
  </si>
  <si>
    <t>Randhawa PS, Jenkins FJ, Nalesnik MA, Martens J, Williams PA, Ries A, Pham S, Demetris AJ.</t>
  </si>
  <si>
    <t>Am J Surg Pathol. 1997 Jul;21(7):847-53. doi: 10.1097/00000478-199707000-00014.</t>
  </si>
  <si>
    <t>Central diabetes insipidus in an HHV6 encephalitis patient with a posterior pituitary lesion that developed after tandem cord blood transplantation</t>
  </si>
  <si>
    <t>Kawamoto S, Hatanaka K, Imakita M, Tamaki T.</t>
  </si>
  <si>
    <t>Intern Med. 2013;52(10):1107-10. doi: 10.2169/internalmedicine.52.9432. Epub 2013 May 15.</t>
  </si>
  <si>
    <t>Human herpesvirus-6 infection is associated with adhesion molecule induction and lymphocyte infiltration in liver allografts</t>
  </si>
  <si>
    <t>Lautenschlager I, Härmä M, Höckerstedt K, Linnavuori K, Loginov R, Taskinen E.</t>
  </si>
  <si>
    <t>J Hepatol. 2002 Nov;37(5):648-54. doi: 10.1016/s0168-8278(02)00246-5.</t>
  </si>
  <si>
    <t>Increase in peripheral CD4 bright+ CD8 dull+ T cells in Parkinson disease</t>
  </si>
  <si>
    <t>Hisanaga K, Asagi M, Itoyama Y, Iwasaki Y.</t>
  </si>
  <si>
    <t>Arch Neurol. 2001 Oct;58(10):1580-3. doi: 10.1001/archneur.58.10.1580.</t>
  </si>
  <si>
    <t>Arch Neurol</t>
  </si>
  <si>
    <t>Human cytomegalovirus and human herpesvirus 6 genes that transform and transactivate</t>
  </si>
  <si>
    <t>Doniger J, Muralidhar S, Rosenthal LJ.</t>
  </si>
  <si>
    <t>Clin Microbiol Rev. 1999 Jul;12(3):367-82. doi: 10.1128/CMR.12.3.367.</t>
  </si>
  <si>
    <t>PMC100243</t>
  </si>
  <si>
    <t>Altered cytokine production after human herpes virus type 6 infection</t>
  </si>
  <si>
    <t>Arena A, Liberto MC, Iannello D, Capozza AB, Focà A.</t>
  </si>
  <si>
    <t>New Microbiol. 1999 Oct;22(4):293-300.</t>
  </si>
  <si>
    <t>HHV-6-related acute liver failure in two immunocompetent adults: favourable outcome after liver transplantation and/or ganciclovir therapy</t>
  </si>
  <si>
    <t>Cacheux W, Carbonell N, Rosmorduc O, Wendum D, Paye F, Poupon R, Chazouillères O, Gozlan J.</t>
  </si>
  <si>
    <t>J Intern Med. 2005 Dec;258(6):573-8. doi: 10.1111/j.1365-2796.2005.01567.x.</t>
  </si>
  <si>
    <t>J Intern Med</t>
  </si>
  <si>
    <t>A case of human herpesvirus 6 encephalitis following pediatric hematopoietic stem cell transplantation: early diagnosis and treatment matters</t>
  </si>
  <si>
    <t>Sakamoto A, Yamada M, Tsujimoto SI, Osumi T, Arai K, Tomizawa D, Ishiguro A, Matsumoto K, Imadome KI, Kato M.</t>
  </si>
  <si>
    <t>Int J Hematol. 2020 Nov;112(5):751-754. doi: 10.1007/s12185-020-02905-x. Epub 2020 Jun 11.</t>
  </si>
  <si>
    <t>[Effect of HHV-6 on expression of M-CSF in patients with hematological disorders]</t>
  </si>
  <si>
    <t>Yang W, Wu K, Song Y.</t>
  </si>
  <si>
    <t>Zhonghua Xue Ye Xue Za Zhi. 1998 Dec;19(12):646-8.</t>
  </si>
  <si>
    <t>Human herpesvirus 6 and pneumonia</t>
  </si>
  <si>
    <t>Cone RW, Huang ML, Hackman RC.</t>
  </si>
  <si>
    <t>Leuk Lymphoma. 1994 Oct;15(3-4):235-41. doi: 10.3109/10428199409049719.</t>
  </si>
  <si>
    <t>Selective immunosuppression with daclizumab in liver transplantation with graft-versus-host disease</t>
  </si>
  <si>
    <t>Riñón M, Maruri N, Arrieta A, Fernández JR, Ortiz de Urbina J, García Masdevall MD.</t>
  </si>
  <si>
    <t>Transplant Proc. 2002 Feb;34(1):109-10. doi: 10.1016/s0041-1345(01)02828-7.</t>
  </si>
  <si>
    <t>Multicentric plasmocytic Castleman's disease with polyneuropathy, organomegaly, endocrinopathy, M protein, skin changes syndrome and coexistent human herpes virus-6 infection--a possible relationship</t>
  </si>
  <si>
    <t>Fazakas A, Csire M, Berencsi G, Szepesi A, Matolcsy A, Jakab L, Karádi I, Várkonyi J.</t>
  </si>
  <si>
    <t>Leuk Lymphoma. 2009 Oct;50(10):1661-5. doi: 10.1080/10428190903162743.</t>
  </si>
  <si>
    <t>Suppression of CCR5- but not CXCR4-tropic HIV-1 in lymphoid tissue by human herpesvirus 6</t>
  </si>
  <si>
    <t>Grivel JC, Ito Y, Fagà G, Santoro F, Shaheen F, Malnati MS, Fitzgerald W, Lusso P, Margolis L.</t>
  </si>
  <si>
    <t>Nat Med. 2001 Nov;7(11):1232-5. doi: 10.1038/nm1101-1232.</t>
  </si>
  <si>
    <t>Nat Med</t>
  </si>
  <si>
    <t>Case 5-2018: A 63-Year-Old Man with Confusion after Stem-Cell Transplantation</t>
  </si>
  <si>
    <t>El-Jawahri AR, Schaefer PW, El Khoury JB, Martinez-Lage M.</t>
  </si>
  <si>
    <t>N Engl J Med. 2018 Feb 15;378(7):659-669. doi: 10.1056/NEJMcpc1707556.</t>
  </si>
  <si>
    <t>Pediatric 8p11 eosinophilic myeloproliferative syndrome (EMS): A case report and review of the literature</t>
  </si>
  <si>
    <t>Sarthy JF, Reddivalla N, Radhi M, Chastain K.</t>
  </si>
  <si>
    <t>Pediatr Blood Cancer. 2017 May;64(5). doi: 10.1002/pbc.26310. Epub 2016 Nov 3.</t>
  </si>
  <si>
    <t>Simulect and HHV-6 in pediatric renal transplantation</t>
  </si>
  <si>
    <t>Acott PD, Crocker JF, Lee S.</t>
  </si>
  <si>
    <t>Transplant Proc. 2004 Mar;36(2 Suppl):483S-486S. doi: 10.1016/j.transproceed.2003.12.041.</t>
  </si>
  <si>
    <t>Management of CMV, HHV-6, HHV-7 and Kaposi-sarcoma herpesvirus (HHV-8) infections in patients with hematological malignancies and after SCT</t>
  </si>
  <si>
    <t>Ljungman P, de la Camara R, Cordonnier C, Einsele H, Engelhard D, Reusser P, Styczynski J, Ward K; European Conference on Infections in Leukemia.</t>
  </si>
  <si>
    <t>Bone Marrow Transplant. 2008 Aug;42(4):227-40. doi: 10.1038/bmt.2008.162. Epub 2008 Jun 30.</t>
  </si>
  <si>
    <t>Early and late virological monitoring of cytomegalovirus, Epstein-Barr virus, and human herpes virus 6 infections in small bowel/multivisceral transplant recipients</t>
  </si>
  <si>
    <t>Petrisli E, Chiereghin A, Gabrielli L, Zanfi C, Lauro A, Piccirilli G, Baccolini F, Altimari A, Bagni A, Cescon M, Pinna AD, Landini MP, Lazzarotto T.</t>
  </si>
  <si>
    <t>Transplant Proc. 2010 Jan-Feb;42(1):74-8. doi: 10.1016/j.transproceed.2009.12.032.</t>
  </si>
  <si>
    <t>Lack of association between beta-herpesvirus infection and bronchiolitis obliterans syndrome in lung transplant recipients in the era of antiviral prophylaxis</t>
  </si>
  <si>
    <t>Manuel O, Kumar D, Moussa G, Chen MH, Pilewski J, McCurry KR, Studer SM, Crespo M, Husain S, Humar A.</t>
  </si>
  <si>
    <t>Transplantation. 2009 Mar 15;87(5):719-25. doi: 10.1097/TP.0b013e3181963262.</t>
  </si>
  <si>
    <t>Human herpesvirus-6 encephalitis following allogeneic hematopoietic stem cell transplantation</t>
  </si>
  <si>
    <t>Vu T, Carrum G, Hutton G, Heslop HE, Brenner MK, Kamble R.</t>
  </si>
  <si>
    <t>Bone Marrow Transplant. 2007 Jun;39(11):705-9. doi: 10.1038/sj.bmt.1705666. Epub 2007 Apr 2.</t>
  </si>
  <si>
    <t>Amnestic syndrome after lung transplantation by human herpes virus-6 encephalitis</t>
  </si>
  <si>
    <t>Bollen AE, Wartan AN, Krikke AP, Haaxma-Reiche H.</t>
  </si>
  <si>
    <t>J Neurol. 2001 Jul;248(7):619-20. doi: 10.1007/s004150170142.</t>
  </si>
  <si>
    <t>Endothelial damage caused by cytomegalovirus and human herpesvirus-6</t>
  </si>
  <si>
    <t>Takatsuka H, Wakae T, Mori A, Okada M, Fujimori Y, Takemoto Y, Okamoto T, Kanamaru A, Kakishita E.</t>
  </si>
  <si>
    <t>Bone Marrow Transplant. 2003 Mar;31(6):475-9. doi: 10.1038/sj.bmt.1703879.</t>
  </si>
  <si>
    <t>Selective T-cell depletion targeting CD45RA reduces viremia and enhances early T-cell recovery compared with CD3-targeted T-cell depletion</t>
  </si>
  <si>
    <t>Triplett BM, Muller B, Kang G, Li Y, Cross SJ, Moen J, Cunningham L, Janssen W, Mamcarz E, Shook DR, Srinivasan A, Choi J, Hayden RT, Leung W.</t>
  </si>
  <si>
    <t>Transpl Infect Dis. 2018 Feb;20(1):10.1111/tid.12823. doi: 10.1111/tid.12823. Epub 2018 Jan 16.</t>
  </si>
  <si>
    <t>PMC5809307</t>
  </si>
  <si>
    <t>NIHMS922647</t>
  </si>
  <si>
    <t>Infection of beta-herpesviruses (CMV, HHV-6, HHV-7): role in postrenal transplantation complications</t>
  </si>
  <si>
    <t>Chapenko S, Folkmane I, Tomsone V, Kozireva S, Bicans J, Amerika D, Rozentals R, Murovska M.</t>
  </si>
  <si>
    <t>Transplant Proc. 2001 Jun;33(4):2463-4. doi: 10.1016/s0041-1345(01)02048-6.</t>
  </si>
  <si>
    <t>Bullous pemphigoid: etiology, pathogenesis, and inducing factors: facts and controversies</t>
  </si>
  <si>
    <t>Lo Schiavo A, Ruocco E, Brancaccio G, Caccavale S, Ruocco V, Wolf R.</t>
  </si>
  <si>
    <t>Clin Dermatol. 2013 Jul-Aug;31(4):391-399. doi: 10.1016/j.clindermatol.2013.01.006.</t>
  </si>
  <si>
    <t>Clin Dermatol</t>
  </si>
  <si>
    <t>Targeted therapy guided by single-cell transcriptomic analysis in drug-induced hypersensitivity syndrome: a case report</t>
  </si>
  <si>
    <t>Kim D, Kobayashi T, Voisin B, Jo JH, Sakamoto K, Jin SP, Kelly M, Pasieka HB, Naff JL, Meyerle JH, Ikpeama ID, Fahle GA, Davis FP, Rosenzweig SD, Alejo JC, Pittaluga S, Kong HH, Freeman AF, Nagao K.</t>
  </si>
  <si>
    <t>Nat Med. 2020 Feb;26(2):236-243. doi: 10.1038/s41591-019-0733-7. Epub 2020 Jan 20.</t>
  </si>
  <si>
    <t>PMC7105105</t>
  </si>
  <si>
    <t>NIHMS1546021</t>
  </si>
  <si>
    <t>Hyponatremia associated with human herpesvirus-6 (HHV-6) encephalitis after allogeneic hematopoietic stem cell transplantation: A presentation different from HHV-6 myelitis</t>
  </si>
  <si>
    <t>Murakami K, Kohashi S, Sakurai M, Kato J, Toyama T, Koda Y, Yamane Y, Hashida R, Abe R, Yamazaki R, Kikuchi T, Shimizu T, Suzuki S, Hasegawa N, Okamoto S, Mori T.</t>
  </si>
  <si>
    <t>Int J Hematol. 2017 Sep;106(3):436-440. doi: 10.1007/s12185-017-2254-9. Epub 2017 May 13.</t>
  </si>
  <si>
    <t>Randomized clinical trial to evaluate the efficacy and safety of valganciclovir in a subset of patients with chronic fatigue syndrome</t>
  </si>
  <si>
    <t>Montoya JG, Kogelnik AM, Bhangoo M, Lunn MR, Flamand L, Merrihew LE, Watt T, Kubo JT, Paik J, Desai M.</t>
  </si>
  <si>
    <t>J Med Virol. 2013 Dec;85(12):2101-9. doi: 10.1002/jmv.23713. Epub 2013 Aug 19.</t>
  </si>
  <si>
    <t>Prolonged sinus tachycardia caused by human herpesvirus 6 (HHV6) encephalomyelitis after allogeneic bone marrow transplantation</t>
  </si>
  <si>
    <t>Nishimoto M, Nakamae H, Hayashi Y, Koh H, Nakane T, Yoshida M, Bingo M, Okamura H, Aimoto M, Nanno S, Yoshimura T, Inaba A, Hagihara K, Nakamae M, Hirose A, Nakao Y, Terada Y, Hino M.</t>
  </si>
  <si>
    <t>Intern Med. 2012;51(10):1265-7. doi: 10.2169/internalmedicine.51.6640. Epub 2012 May 15.</t>
  </si>
  <si>
    <t>Human herpesvirus-6 hepatitis associated with cyclosporine-A encephalitis after bone marrow transplantation for chronic myeloid leukemia</t>
  </si>
  <si>
    <t>Kuribayashi K, Matsunaga T, Iyama S, Takada K, Sato T, Murase K, Fujimi A, Takimoto R, Kawanishi J, Niitsu Y.</t>
  </si>
  <si>
    <t>Intern Med. 2006;45(7):475-8. doi: 10.2169/internalmedicine.45.1507. Epub 2006 May 1.</t>
  </si>
  <si>
    <t>[Atherosclerosis, multiple sclerosis, and Alzheimer's disease: what role for Herpesviridae?]</t>
  </si>
  <si>
    <t>Chidiac C, Braun E.</t>
  </si>
  <si>
    <t>Pathol Biol (Paris). 2002 Aug;50(7):463-8. doi: 10.1016/s0369-8114(02)00330-9.</t>
  </si>
  <si>
    <t>[Herpesvirus infections in hematological diseases]</t>
  </si>
  <si>
    <t>Karasuno T, Hiraoka A.</t>
  </si>
  <si>
    <t>Nihon Rinsho. 2006 Mar;64 Suppl 3:73-6.</t>
  </si>
  <si>
    <t>Detection of cytomegalovirus and human herpesvirus-6 DNA in liver biopsy specimens and their correlation with rejection after liver transplantation</t>
  </si>
  <si>
    <t>Guardia-Silva AC, Stucchi RS, Sampaio AM, Milan A, Costa SC, Boin IF.</t>
  </si>
  <si>
    <t>Transplant Proc. 2012 Oct;44(8):2441-4. doi: 10.1016/j.transproceed.2012.07.027.</t>
  </si>
  <si>
    <t>Prevalence and clinical significance of human herpesviruses 6 and 7 active infection in pediatric liver transplant patients</t>
  </si>
  <si>
    <t>Feldstein AE, Razonable RR, Boyce TG, Freese DK, El-Youssef M, Perrault J, Paya CV, Ishitani MB.</t>
  </si>
  <si>
    <t>Pediatr Transplant. 2003 Apr;7(2):125-9. doi: 10.1034/j.1399-3046.2003.00028.x.</t>
  </si>
  <si>
    <t>Role of IFN gamma on TNF alpha, IL-1 beta and IL-6 release during HHV-6 infection</t>
  </si>
  <si>
    <t>Arena A, Capozza AB, Di Luca D.</t>
  </si>
  <si>
    <t>New Microbiol. 1996 Jul;19(3):183-91.</t>
  </si>
  <si>
    <t>[HHV-6 and HHV-7 infections in transplantation]</t>
  </si>
  <si>
    <t>Fujita A, Yoshikawa T.</t>
  </si>
  <si>
    <t>Nihon Rinsho. 2006 Mar;64 Suppl 3:485-9.</t>
  </si>
  <si>
    <t>Hepatitis virus infections in heart transplant recipients</t>
  </si>
  <si>
    <t>Lunel F, Robert C, Munier P, Cadranel JF, Fretz C, Perrin M, Frangeul L, Grippon P, Bernard B, Opolon P, et al.</t>
  </si>
  <si>
    <t>Biomed Pharmacother. 1995;49(3):125-9. doi: 10.1016/0753-3322(96)82605-9.</t>
  </si>
  <si>
    <t>Biomed Pharmacother</t>
  </si>
  <si>
    <t>Acute encephalopathy with biphasic seizures and late reduced diffusion associated with hemophagocytic syndrome</t>
  </si>
  <si>
    <t>Tadokoro R, Okumura A, Nakazawa T, Hara S, Yamakawa Y, Kamata A, Kinoshita K, Obinata K, Shimizu T.</t>
  </si>
  <si>
    <t>Brain Dev. 2010 Jun;32(6):477-81. doi: 10.1016/j.braindev.2009.05.007. Epub 2009 Jun 24.</t>
  </si>
  <si>
    <t>Prolonged viremia and immune response to human herpesvirus 7 in an infant with liver dysfunction</t>
  </si>
  <si>
    <t>Torigoe S, Tabata N, Yamada M, Koide W, Ito M, Ihara T, Kamiya H.</t>
  </si>
  <si>
    <t>Pediatrics. 1997 Sep;100(3 Pt 1):398-400. doi: 10.1542/peds.100.3.398.</t>
  </si>
  <si>
    <t>Breast milk is not a significant source for early Epstein-Barr virus or human herpesvirus 6 infection in infants: a seroepidemiologic study in 2 endemic areas of human T-cell lymphotropic virus type I in Japan</t>
  </si>
  <si>
    <t>Kusuhara K, Takabayashi A, Ueda K, Hidaka Y, Minamishima I, Take H, Fujioka K, Imai S, Osato T.</t>
  </si>
  <si>
    <t>Microbiol Immunol. 1997;41(4):309-12. doi: 10.1111/j.1348-0421.1997.tb01206.x.</t>
  </si>
  <si>
    <t>[Drug eruption--current concepts]</t>
  </si>
  <si>
    <t>Shiohara T.</t>
  </si>
  <si>
    <t>Arerugi. 2002 Jun;51(6):469-72.</t>
  </si>
  <si>
    <t>Fatal herpesvirus-6 encephalitis in a recipient of a T-cell-depleted peripheral blood stem cell transplant from a 3-loci mismatched related donor</t>
  </si>
  <si>
    <t>Tiacci E, Luppi M, Barozzi P, Gurdo G, Tabilio A, Ballanti S, Torelli G, Aversa F.</t>
  </si>
  <si>
    <t>Haematologica. 2000 Jan;85(1):94-7.</t>
  </si>
  <si>
    <t>Human herpesvirus-6 has no apparent influence on course of HCV hepatitis, but may complicate HBV hepatitis and alcoholic liver disease. A pilot study</t>
  </si>
  <si>
    <t>Rojo J, Simoes P, Krueger GR, Humberto CO, Ramon AM.</t>
  </si>
  <si>
    <t>In Vivo. 2003 Jan-Feb;17(1):29-33.</t>
  </si>
  <si>
    <t>An infant with severe combined immunodeficiency, osteopetrosis, chromosomally integrated herpesvirus-6 infection, and hemophagocytic syndrome: What are the links?</t>
  </si>
  <si>
    <t>Singh P, Secord E, Pappas K, Savaşan S.</t>
  </si>
  <si>
    <t>Pediatr Blood Cancer. 2021 Jan;68(1):e28564. doi: 10.1002/pbc.28564. Epub 2020 Aug 18.</t>
  </si>
  <si>
    <t>Human herpesvirus 6 infection inhibits specific lymphocyte proliferation responses and is related to lymphocytopenia after allogeneic stem cell transplantation</t>
  </si>
  <si>
    <t>Wang FZ, Linde A, Dahl H, Ljungman P.</t>
  </si>
  <si>
    <t>Bone Marrow Transplant. 1999 Dec;24(11):1201-6. doi: 10.1038/sj.bmt.1702058.</t>
  </si>
  <si>
    <t>Herpesvirus infection of inflammatory cells in human periodontitis</t>
  </si>
  <si>
    <t>Contreras A, Zadeh HH, Nowzari H, Slots J.</t>
  </si>
  <si>
    <t>Oral Microbiol Immunol. 1999 Aug;14(4):206-12. doi: 10.1034/j.1399-302x.1999.140402.x.</t>
  </si>
  <si>
    <t>Oral Microbiol Immunol</t>
  </si>
  <si>
    <t>Long-term outcome of human herpesvirus-6 encephalitis after allogeneic stem cell transplantation</t>
  </si>
  <si>
    <t>Sakai R, Kanamori H, Motohashi K, Yamamoto W, Matsuura S, Fujita A, Ohshima R, Kuwabara H, Tanaka M, Fujita H, Maruta A, Ishigatsubo Y, Fujisawa S.</t>
  </si>
  <si>
    <t>Biol Blood Marrow Transplant. 2011 Sep;17(9):1389-94. doi: 10.1016/j.bbmt.2011.01.014. Epub 2011 Feb 4.</t>
  </si>
  <si>
    <t>Human herpesvirus-6 encephalitis following chemotherapy induction for acute myelogenous leukemia</t>
  </si>
  <si>
    <t>Frey JW, Cherabie JN, Assi MA.</t>
  </si>
  <si>
    <t>Transpl Infect Dis. 2017 Dec;19(6). doi: 10.1111/tid.12756. Epub 2017 Sep 25.</t>
  </si>
  <si>
    <t>Human herpes virus-6 encephalitis causing severe anterograde amnesia associated with rituximab, azathioprine and prednisolone combination therapy for dermatomyositis</t>
  </si>
  <si>
    <t>Baumer T, Fry C, Luppe S, Gunawardena H, Sieradzan K.</t>
  </si>
  <si>
    <t>J Neurovirol. 2017 Jun;23(3):508-510. doi: 10.1007/s13365-017-0517-0. Epub 2017 Feb 21.</t>
  </si>
  <si>
    <t>Astute Clinician Report: A Novel 10 bp Frameshift Deletion in Exon 2 of ICOS Causes a Combined Immunodeficiency Associated with an Enteritis and Hepatitis</t>
  </si>
  <si>
    <t>Robertson N, Engelhardt KR, Morgan NV, Barge D, Cant AJ, Hughes SM, Abinun M, Xu Y, Koref MS, Arkwright PD, Hambleton S.</t>
  </si>
  <si>
    <t>J Clin Immunol. 2015 Oct;35(7):598-603. doi: 10.1007/s10875-015-0193-x. Epub 2015 Sep 23.</t>
  </si>
  <si>
    <t>PMC4628077</t>
  </si>
  <si>
    <t>A comprehensive immunological analysis in chronic fatigue syndrome</t>
  </si>
  <si>
    <t>Gupta S, Vayuvegula B.</t>
  </si>
  <si>
    <t>Scand J Immunol. 1991 Mar;33(3):319-27. doi: 10.1111/j.1365-3083.1991.tb01777.x.</t>
  </si>
  <si>
    <t>Scand J Immunol</t>
  </si>
  <si>
    <t>Pure red cell aplasia with isolated human herpes virus 6 infection of bone marrow in postcardiac transplant patient</t>
  </si>
  <si>
    <t>Todd K, Paulsen G, Danziger-Isakov L, Tarango C.</t>
  </si>
  <si>
    <t>Pediatr Blood Cancer. 2020 Apr;67(4):e28136. doi: 10.1002/pbc.28136. Epub 2019 Dec 25.</t>
  </si>
  <si>
    <t>Successful treatment of life-threatening human herpesvirus-6 encephalitis with donor lymphocyte infusion in a patient who had undergone human leukocyte antigen-haploidentical nonmyeloablative stem cell transplantation</t>
  </si>
  <si>
    <t>Yoshihara S, Kato R, Inoue T, Miyagawa H, Sashihara J, Kawakami M, Ikegame K, Oka Y, Sugiyama H, Kawase I, Ogawa H.</t>
  </si>
  <si>
    <t>Transplantation. 2004 Mar 27;77(6):835-8. doi: 10.1097/01.tp.0000119603.59880.47.</t>
  </si>
  <si>
    <t>Computational simulation of chronic persistent virus infection: factors determining differences in clinical outcome of HHV-6, HIV-1 and HTLV-1 infections including aplastic, hyperplastic and neoplastic responses</t>
  </si>
  <si>
    <t>Krueger GR, Brandt ME, Wang G, Buja LM.</t>
  </si>
  <si>
    <t>Anticancer Res. 2004 Jan-Feb;24(1):187-97.</t>
  </si>
  <si>
    <t>Pityriasis Rosea during Pregnancy: Major and Minor Alarming Signs</t>
  </si>
  <si>
    <t>Drago F, Ciccarese G, Herzum A, Rebora A, Parodi A.</t>
  </si>
  <si>
    <t>Dermatology. 2018;234(1-2):31-36. doi: 10.1159/000489879. Epub 2018 Jun 22.</t>
  </si>
  <si>
    <t>Transcriptional activation of minimal HIV-1 promoter by ORF-1 protein expressed from the SalI-L fragment of human herpesvirus 6</t>
  </si>
  <si>
    <t>Kashanchi F, Thompson J, Sadaie MR, Doniger J, Duvall J, Brady JN, Rosenthal LJ.</t>
  </si>
  <si>
    <t>Virology. 1994 May 15;201(1):95-106. doi: 10.1006/viro.1994.1269.</t>
  </si>
  <si>
    <t>Human herpesvirus-6 in renal transplant recipients: potential risk factors for the development of human herpesvirus-6 seroconversion</t>
  </si>
  <si>
    <t>Deborska D, Durlik M, Sadowska A, Nowacka-Cieciura E, Pazik J, Lewandowski Z, Chmura A, Galazka Z, Paczek L, Lao M.</t>
  </si>
  <si>
    <t>Transplant Proc. 2003 Sep;35(6):2199-201. doi: 10.1016/s0041-1345(03)00792-9.</t>
  </si>
  <si>
    <t>Mathematical model to simulate the cellular dynamics of infection with human herpesvirus-6 in EBV-negative infectious mononucleosis</t>
  </si>
  <si>
    <t>Wang G, Krueger GR, Buja LM.</t>
  </si>
  <si>
    <t>J Med Virol. 2003 Dec;71(4):569-77. doi: 10.1002/jmv.10522.</t>
  </si>
  <si>
    <t>Association between human herpesvirus type 6 and type 7, and cytomegalovirus disease in heart transplant recipients</t>
  </si>
  <si>
    <t>de Oña M, Melón S, Rodriguez JL, Sanmartin JC, Bernardo MJ.</t>
  </si>
  <si>
    <t>Transplant Proc. 2002 Feb;34(1):75-6. doi: 10.1016/s0041-1345(01)02672-0.</t>
  </si>
  <si>
    <t>Sero-epidemiological analysis of the risk of virus infections for childhood leukaemia</t>
  </si>
  <si>
    <t>Schlehofer B, Blettner M, Geletneky K, Haaf HG, Kaatsch P, Michaelis J, Mueller-Lantzsch N, Niehoff D, Winkelspecht B, Wahrendorf J, Schlehofer JR.</t>
  </si>
  <si>
    <t>Int J Cancer. 1996 Mar 1;65(5):584-90. doi: 10.1002/(SICI)1097-0215(19960301)65:5&lt;584::AID-IJC5&gt;3.0.CO;2-Z.</t>
  </si>
  <si>
    <t>Int J Cancer</t>
  </si>
  <si>
    <t>Functional interaction between human herpesvirus 6 immediate-early 2 protein and ubiquitin-conjugating enzyme 9 in the absence of sumoylation</t>
  </si>
  <si>
    <t>Tomoiu A, Gravel A, Tanguay RM, Flamand L.</t>
  </si>
  <si>
    <t>J Virol. 2006 Oct;80(20):10218-28. doi: 10.1128/JVI.00375-06.</t>
  </si>
  <si>
    <t>PMC1617313</t>
  </si>
  <si>
    <t>Beta-herpesvirus challenges in the transplant recipient</t>
  </si>
  <si>
    <t>J Infect Dis. 2002 Oct 15;186 Suppl 1:S99-S109. doi: 10.1086/342962.</t>
  </si>
  <si>
    <t>[Outcomes of surgical correction of congenital tibia pseudarthrosis depending on the activation of HHV-6/HHV-7 viral infection in a child with neurofibromatosis type-1]</t>
  </si>
  <si>
    <t>Vilks A, Ozols D, Boka V, Murovska M, Mamaia B.</t>
  </si>
  <si>
    <t>Anesteziol Reanimatol. 2014 Jan-Feb;(1):61-3.</t>
  </si>
  <si>
    <t>Anesteziol Reanimatol</t>
  </si>
  <si>
    <t>Acute agranular CD4-positive natural killer cell leukemia. Comprehensive clinicopathologic studies including virologic and in vitro culture with inducing agents</t>
  </si>
  <si>
    <t>Brody JP, Allen S, Schulman P, Sun T, Chan WC, Friedman HD, Teichberg S, Koduru P, Cone RW, Loughran TP Jr.</t>
  </si>
  <si>
    <t>Cancer. 1995 May 15;75(10):2474-83. doi: 10.1002/1097-0142(19950515)75:10&lt;2474::aid-cncr2820751013&gt;3.0.co;2-y.</t>
  </si>
  <si>
    <t>Cancer</t>
  </si>
  <si>
    <t>CMV, EBV, HHV6, and HHV7 infections after intestinal transplantation without specific antiviral prophylaxis</t>
  </si>
  <si>
    <t>Pascher A, Klupp J, Schulz RJ, Dignass A, Neuhaus P.</t>
  </si>
  <si>
    <t>Transplant Proc. 2004 Mar;36(2):381-2. doi: 10.1016/j.transproceed.2004.01.080.</t>
  </si>
  <si>
    <t>Human herpesvirus 6 infection after hematopoietic cell transplantation: is routine surveillance necessary?</t>
  </si>
  <si>
    <t>Betts BC, Young JA, Ustun C, Cao Q, Weisdorf DJ.</t>
  </si>
  <si>
    <t>Biol Blood Marrow Transplant. 2011 Oct;17(10):1562-8. doi: 10.1016/j.bbmt.2011.04.004. Epub 2011 Apr 20.</t>
  </si>
  <si>
    <t>PMC3285510</t>
  </si>
  <si>
    <t>NIHMS324700</t>
  </si>
  <si>
    <t>Interactions between cytomegalovirus, human herpesvirus-6, and the recurrence of hepatitis C after liver transplantation</t>
  </si>
  <si>
    <t>Humar A, Kumar D, Raboud J, Caliendo AM, Moussa G, Levy G, Mazzulli T.</t>
  </si>
  <si>
    <t>Am J Transplant. 2002 May;2(5):461-6. doi: 10.1034/j.1600-6143.2002.20511.x.</t>
  </si>
  <si>
    <t>Signaling from LFA-1 contributes signal transduction through CD2 alternative pathway in T cell activation</t>
  </si>
  <si>
    <t>Yamada A, Kaneyuki T, Torimoto Y, Daley JF, Prado CM, Yokoyama MM.</t>
  </si>
  <si>
    <t>Cell Immunol. 1992 Jun;142(1):145-58. doi: 10.1016/0008-8749(92)90276-u.</t>
  </si>
  <si>
    <t>Cell Immunol</t>
  </si>
  <si>
    <t>The possible role of human cytomegalovirus (HCMV) in the origin of atherosclerosis</t>
  </si>
  <si>
    <t>Horváth R, Cerný J, Benedík J Jr, Hökl J, Jelínková I, Benedík J.</t>
  </si>
  <si>
    <t>J Clin Virol. 2000 Feb;16(1):17-24. doi: 10.1016/s1386-6532(99)00064-5.</t>
  </si>
  <si>
    <t>Detection of IgM antibodies to human herpesvirus 6 in Romanian children with nonprogressive human immunodeficiency virus disease</t>
  </si>
  <si>
    <t>Nigro G, Luzi G, Krzysztofiak A, D'Orio F, Aiuti F.</t>
  </si>
  <si>
    <t>Pediatr Infect Dis J. 1995 Oct;14(10):891-4. doi: 10.1097/00006454-199510000-00014.</t>
  </si>
  <si>
    <t>Association of tumour necrosis factor alpha and interleukin 6 levels with cytomegalovirus DNA detection and disease after renal transplantation</t>
  </si>
  <si>
    <t>Tong CY, Bakran A, Williams H, Cuevas LE, Peiris JS, Hart CA.</t>
  </si>
  <si>
    <t>J Med Virol. 2001 May;64(1):29-34. doi: 10.1002/jmv.1013.</t>
  </si>
  <si>
    <t>Host's innate immune response to fungal and bacterial agents in vitro: up-regulation of interleukin-15 gene expression resulting in enhanced natural killer cell activity</t>
  </si>
  <si>
    <t>Tran P, Ahmad R, Xu J, Ahmad A, Menezes J.</t>
  </si>
  <si>
    <t>Immunology. 2003 Jun;109(2):263-70. doi: 10.1046/j.1365-2567.2003.01659.x.</t>
  </si>
  <si>
    <t>Immunology</t>
  </si>
  <si>
    <t>PMC1782963</t>
  </si>
  <si>
    <t>Human herpesvirus 6 meningoencephalitis successfully treated with ganciclovir in a patient who underwent allogeneic bone marrow transplantation from an HLA-identical sibling</t>
  </si>
  <si>
    <t>Yoshida H, Matsunaga K, Ueda T, Yasumi M, Ishikawa J, Tomiyama Y, Matsuzawa Y.</t>
  </si>
  <si>
    <t>Int J Hematol. 2002 May;75(4):421-5. doi: 10.1007/BF02982136.</t>
  </si>
  <si>
    <t>Emerging viral infections after hematopoietic cell transplantation</t>
  </si>
  <si>
    <t>Boeckh M, Erard V, Zerr D, Englund J.</t>
  </si>
  <si>
    <t>Pediatr Transplant. 2005 Dec;9 Suppl 7:48-54. doi: 10.1111/j.1399-3046.2005.00442.x.</t>
  </si>
  <si>
    <t>Down-regulation of basophil function by human CD200 and human herpesvirus-8 CD200</t>
  </si>
  <si>
    <t>Shiratori I, Yamaguchi M, Suzukawa M, Yamamoto K, Lanier LL, Saito T, Arase H.</t>
  </si>
  <si>
    <t>J Immunol. 2005 Oct 1;175(7):4441-9. doi: 10.4049/jimmunol.175.7.4441.</t>
  </si>
  <si>
    <t>Severe pruritus and hypothermia as the primary manifestations of human herpes virus-6 encephalitis after pediatric cord blood transplantation</t>
  </si>
  <si>
    <t>Hudspeth M, Brown E, Ragucci D, Dixon T, Turner R.</t>
  </si>
  <si>
    <t>Bone Marrow Transplant. 2012 Jan;47(1):153-4. doi: 10.1038/bmt.2011.25. Epub 2011 Feb 28.</t>
  </si>
  <si>
    <t>Productive HHV-6 infection in differentiated U937 cells: role of TNF alpha in regulation of HHV-6</t>
  </si>
  <si>
    <t>Arena A, Liberto MC, Capozza AB, Focà A.</t>
  </si>
  <si>
    <t>New Microbiol. 1997 Jan;20(1):13-20.</t>
  </si>
  <si>
    <t>Presence of human herpes virus 6 (HHV6) in pediatric lymphomas: impact on clinical course and association with cytomegalovirus infection</t>
  </si>
  <si>
    <t>Loutfy SA, Fawzy M, El-Wakil M, Moneer MM.</t>
  </si>
  <si>
    <t>Virol J. 2010 Oct 27;7:287. doi: 10.1186/1743-422X-7-287.</t>
  </si>
  <si>
    <t>PMC2988729</t>
  </si>
  <si>
    <t>Presentation of intravascular lymphomatosis as lumbosacral polyradiculopathy</t>
  </si>
  <si>
    <t>Viali S, Hutchinson DO, Hawkins TE, Croxson MC, Thomas M, Allen JP, Thomas SM, Powell KH.</t>
  </si>
  <si>
    <t>Muscle Nerve. 2000 Aug;23(8):1295-300. doi: 10.1002/1097-4598(200008)23:8&lt;1295::aid-mus24&gt;3.0.co;2-e.</t>
  </si>
  <si>
    <t>Muscle Nerve</t>
  </si>
  <si>
    <t>Human herpesvirus-6 and parvovirus B19 infections in children</t>
  </si>
  <si>
    <t>Asano Y, Yoshikawa T.</t>
  </si>
  <si>
    <t>Curr Opin Pediatr. 1993 Feb;5(1):14-20. doi: 10.1097/00008480-199302000-00003.</t>
  </si>
  <si>
    <t>Curr Opin Pediatr</t>
  </si>
  <si>
    <t>Human herpesvirus 6B induces phenotypic maturation without IL-10 and IL-12p70 production in dendritic cells</t>
  </si>
  <si>
    <t>Bertelsen LB, Petersen CC, Kofod-Olsen E, Oster B, Höllsberg P, Agger R, Hokland M.</t>
  </si>
  <si>
    <t>Scand J Immunol. 2010 Jun;71(6):431-9. doi: 10.1111/j.1365-3083.2010.02389.x.</t>
  </si>
  <si>
    <t>Human herpesvirus-6-associated acute lymphadenitis in immunocompetent adults</t>
  </si>
  <si>
    <t>Maric I, Bryant R, Abu-Asab M, Cohen JI, Vivero A, Jaffe ES, Raffeld M, Tsokos M, Banks PM, Pittaluga S.</t>
  </si>
  <si>
    <t>Mod Pathol. 2004 Nov;17(11):1427-33. doi: 10.1038/modpathol.3800179.</t>
  </si>
  <si>
    <t>Mod Pathol</t>
  </si>
  <si>
    <t>PMC2288737</t>
  </si>
  <si>
    <t>NIHMS43420</t>
  </si>
  <si>
    <t>Human herpesvirus 6 associated post-transplant acute limbic encephalitis: Clinical observations of biomarkers for risk of seizure in a pediatric population</t>
  </si>
  <si>
    <t>Santoro JD, Hemond CC.</t>
  </si>
  <si>
    <t>Transpl Infect Dis. 2019 Feb;21(1):e13003. doi: 10.1111/tid.13003. Epub 2018 Oct 15.</t>
  </si>
  <si>
    <t>Reactivation of viruses in solid organ transplant patients receiving cytomegalovirus prophylaxis</t>
  </si>
  <si>
    <t>Humar A.</t>
  </si>
  <si>
    <t>Transplantation. 2006 Jul 27;82(2 Suppl):S9-S14. doi: 10.1097/01.tp.0000230432.39447.8b.</t>
  </si>
  <si>
    <t>The role of viral infections in the development of dilated cardiomyopathy</t>
  </si>
  <si>
    <t>Tátrai E, Hartyánszky I Jr, Lászik A, Acsády G, Sótonyi P, Hubay M.</t>
  </si>
  <si>
    <t>Pathol Oncol Res. 2011 Jun;17(2):229-35. doi: 10.1007/s12253-010-9302-6. Epub 2010 Sep 18.</t>
  </si>
  <si>
    <t>Pathol Oncol Res</t>
  </si>
  <si>
    <t>Human herpesvirus-6 and human herpesvirus-8 seroprevalence in kidney transplant recipients</t>
  </si>
  <si>
    <t>Deborska D, Durlik M, Sadowska A, Matłosz B, Baczkowska T, Paczek L, Szmidt J, Rowiński W, Lao M.</t>
  </si>
  <si>
    <t>Transplant Proc. 2002 Mar;34(2):673-4. doi: 10.1016/s0041-1345(01)02883-4.</t>
  </si>
  <si>
    <t>[Human herpesvirus 6 encephalitis after bone marrow transplantation]</t>
  </si>
  <si>
    <t>Pop-Jora D, Berhoune C, Najioullah F, Girard S, Mialou V, Bleyzac N, Galambrun C, Bertrand Y.</t>
  </si>
  <si>
    <t>Arch Pediatr. 2006 Dec;13(12):1518-20. doi: 10.1016/j.arcped.2006.08.018. Epub 2006 Nov 7.</t>
  </si>
  <si>
    <t>Macrophage activation syndrome and post-transplant microangiopathy following haploidentical bone marrow transplantation for sickle cell anemia</t>
  </si>
  <si>
    <t>Davies JOJ, Hart AC, De La Fuente J, Bain BJ.</t>
  </si>
  <si>
    <t>Am J Hematol. 2018 Aug;93(4):588-589. doi: 10.1002/ajh.24995. Epub 2017 Dec 18.</t>
  </si>
  <si>
    <t>Cytomegalovirus and Other β-Herpesviruses</t>
  </si>
  <si>
    <t>Santos CA.</t>
  </si>
  <si>
    <t>Semin Nephrol. 2016 Sep;36(5):351-361. doi: 10.1016/j.semnephrol.2016.05.012.</t>
  </si>
  <si>
    <t>Semin Nephrol</t>
  </si>
  <si>
    <t>[Salt-wasting nephropathy induced by foscarnet treatment for HHV-6 encephalitis in a hematopoietic stem cell transplant]</t>
  </si>
  <si>
    <t>Najima Y, Ohashi K, Ando M, Koshida A, Yamashita T, Akiyama H, Sakamaki H.</t>
  </si>
  <si>
    <t>Rinsho Ketsueki. 2008 Jan;49(1):40-5.</t>
  </si>
  <si>
    <t>[Recently discovered herpes viruses explain the etiology of well-known diseases]</t>
  </si>
  <si>
    <t>Tidsskr Nor Laegeforen. 1999 Dec 10;119(30):4463-6.</t>
  </si>
  <si>
    <t>Tidsskr Nor Laegeforen</t>
  </si>
  <si>
    <t>Human herpesvirus 6 limbic encephalitis after stem cell transplantation</t>
  </si>
  <si>
    <t>Wainwright MS, Martin PL, Morse RP, Lacaze M, Provenzale JM, Coleman RE, Morgan MA, Hulette C, Kurtzberg J, Bushnell C, Epstein L, Lewis DV.</t>
  </si>
  <si>
    <t>Ann Neurol. 2001 Nov;50(5):612-9. doi: 10.1002/ana.1251.</t>
  </si>
  <si>
    <t>HHV-6 encephalitis in pediatric unrelated umbilical cord transplantation: a role for ganciclovir prophylaxis?</t>
  </si>
  <si>
    <t>Cheng FW, Lee V, Leung WK, Chan PK, Leung TF, Shing MK, Li CK.</t>
  </si>
  <si>
    <t>Pediatr Transplant. 2010 Jun;14(4):483-7. doi: 10.1111/j.1399-3046.2009.01253.x. Epub 2009 Oct 15.</t>
  </si>
  <si>
    <t>Diagnostic Clues to Human Herpesvirus 6 Encephalitis and Wernicke Encephalopathy After Pediatric Hematopoietic Cell Transplantation</t>
  </si>
  <si>
    <t>Sadighi Z, Sabin ND, Hayden R, Stewart E, Pillai A.</t>
  </si>
  <si>
    <t>J Child Neurol. 2015 Sep;30(10):1307-14. doi: 10.1177/0883073814560628. Epub 2015 Jan 6.</t>
  </si>
  <si>
    <t>J Child Neurol</t>
  </si>
  <si>
    <t>PMC4692275</t>
  </si>
  <si>
    <t>NIHMS744886</t>
  </si>
  <si>
    <t>Posterior reversible encephalopathy syndrome in a child with post-transplant HHV-6B encephalitis</t>
  </si>
  <si>
    <t>Kawamura Y, Ohashi M, Asahito H, Takahashi Y, Kojima S, Yoshikawa T.</t>
  </si>
  <si>
    <t>Bone Marrow Transplant. 2012 Oct;47(10):1381-2. doi: 10.1038/bmt.2012.42. Epub 2012 Mar 5.</t>
  </si>
  <si>
    <t>Codeine phosphate-induced hypersensitivity syndrome</t>
  </si>
  <si>
    <t>Enomoto M, Ochi M, Teramae K, Kamo R, Taguchi S, Yamane T.</t>
  </si>
  <si>
    <t>Ann Pharmacother. 2004 May;38(5):799-802. doi: 10.1345/aph.1D528. Epub 2004 Mar 9.</t>
  </si>
  <si>
    <t>Ann Pharmacother</t>
  </si>
  <si>
    <t>Polyclonal, newly derived T cells with low expression of inhibitory molecule PD-1 in tonsils define the phenotype of lymphocytes in children with Periodic Fever, Aphtous Stomatitis, Pharyngitis and Adenitis (PFAPA) syndrome</t>
  </si>
  <si>
    <t>Dytrych P, Krol P, Kotrova M, Kuzilkova D, Hubacek P, Krol L, Katra R, Hrusak O, Kabelka Z, Dolezalova P, Kalina T, Fronkova E.</t>
  </si>
  <si>
    <t>Mol Immunol. 2015 May;65(1):139-47. doi: 10.1016/j.molimm.2015.01.004. Epub 2015 Feb 3.</t>
  </si>
  <si>
    <t>Mol Immunol</t>
  </si>
  <si>
    <t>The direct and indirect effects of infection in liver transplantation: pathogenesis, impact, and clinical management</t>
  </si>
  <si>
    <t>Rubin RH.</t>
  </si>
  <si>
    <t>Curr Clin Top Infect Dis. 2002;22:125-54.</t>
  </si>
  <si>
    <t>Curr Clin Top Infect Dis</t>
  </si>
  <si>
    <t>Interferon-gamma (IFN-gamma) regulates production of IL-10 and IL-12 in human herpesvirus-6 (HHV-6)-infected monocyte/macrophage lineage</t>
  </si>
  <si>
    <t>Clin Exp Immunol. 1997 Sep;109(3):421-5. doi: 10.1046/j.1365-2249.1997.4661362.x.</t>
  </si>
  <si>
    <t>Clin Exp Immunol</t>
  </si>
  <si>
    <t>PMC1904766</t>
  </si>
  <si>
    <t>Kaposi's sarcoma in renal transplant patients: experience at the Cruces Hospital in Bilbao</t>
  </si>
  <si>
    <t>Mitxelena J, Gomez-Ullate P, Aguirre A, Rubio G, Lampreabe I, Díaz-Pérez JL.</t>
  </si>
  <si>
    <t>Int J Dermatol. 2003 Jan;42(1):18-22. doi: 10.1046/j.1365-4362.2003.01636.x.</t>
  </si>
  <si>
    <t>HTLV-1 cosmopolitan and HTLV-2 subtype b among pregnant women of non-endemic areas of Argentina</t>
  </si>
  <si>
    <t>Berini CA, Delfino C, Torres O, García G, Espejo R, Pianciola L, Juarez M, Arribere G, Nadal M, Eirin ME, Biglione MM.</t>
  </si>
  <si>
    <t>Sex Transm Infect. 2013 Jun;89(4):333-5. doi: 10.1136/sextrans-2012-050594. Epub 2012 Dec 8.</t>
  </si>
  <si>
    <t>Sex Transm Infect</t>
  </si>
  <si>
    <t>Postinfectious Anti-Myelin Oligodendrocyte Glycoprotein Antibody Positive Optic Neuritis and Myelitis</t>
  </si>
  <si>
    <t>Vieira JP, Sequeira J, Brito MJ.</t>
  </si>
  <si>
    <t>J Child Neurol. 2017 Oct;32(12):996-999. doi: 10.1177/0883073817724927. Epub 2017 Aug 18.</t>
  </si>
  <si>
    <t>Simultaneous Detection of Beta and Gamma Human Herpesviruses by Multiplex qPCR Reveals Simple Infection and Coinfection Episodes Increasing Risk for Graft Rejection in Solid Organ Transplantation</t>
  </si>
  <si>
    <t>Sánchez-Ponce Y, Varela-Fascinetto G, Romo-Vázquez JC, López-Martínez B, Sánchez-Huerta JL, Parra-Ortega I, Fuentes-Pananá EM, Morales-Sánchez A.</t>
  </si>
  <si>
    <t>Viruses. 2018 Dec 19;10(12):730. doi: 10.3390/v10120730.</t>
  </si>
  <si>
    <t>PMC6316002</t>
  </si>
  <si>
    <t>HHV-6 encephalitis presenting as status epilepticus in an immunocompetent patient</t>
  </si>
  <si>
    <t>Shahani L.</t>
  </si>
  <si>
    <t>BMJ Case Rep. 2014 Sep 19;2014:bcr2014205880. doi: 10.1136/bcr-2014-205880.</t>
  </si>
  <si>
    <t>PMC4170485</t>
  </si>
  <si>
    <t>Dual infection with human herpesvirus type 6 and parvovirus B19 in a renal transplant recipient</t>
  </si>
  <si>
    <t>al-Khaldi N, Watson AR, Harris A, Irving WL.</t>
  </si>
  <si>
    <t>Pediatr Nephrol. 1994 Jun;8(3):349-50. doi: 10.1007/BF00866361.</t>
  </si>
  <si>
    <t>Apolipoprotein 4 may increase viral load and seizure frequency in mesial temporal lobe epilepsy patients with positive human herpes virus 6B</t>
  </si>
  <si>
    <t>Huang C, Yan B, Lei D, Si Y, Li H, Chen MW, Li L, Chen F, Zhou Q, Zhou D, Li JM.</t>
  </si>
  <si>
    <t>Neurosci Lett. 2015 Apr 23;593:29-34. doi: 10.1016/j.neulet.2014.12.063. Epub 2015 Jan 7.</t>
  </si>
  <si>
    <t>Neurosci Lett</t>
  </si>
  <si>
    <t>[Basic and clinical research to improve the outcome of hematopoietic stem cell transplantation]</t>
  </si>
  <si>
    <t>Teshima T.</t>
  </si>
  <si>
    <t>Rinsho Ketsueki. 2009 Aug;50(8):617-21.</t>
  </si>
  <si>
    <t>Anatomical mapping of human herpesvirus reservoirs of infection</t>
  </si>
  <si>
    <t>Chen T, Hudnall SD.</t>
  </si>
  <si>
    <t>Mod Pathol. 2006 May;19(5):726-37. doi: 10.1038/modpathol.3800584.</t>
  </si>
  <si>
    <t>Immunomodulation by herpesvirus U51A chemokine receptor via CCL5 and FOG-2 down-regulation plus XCR1 and CCR7 mimicry in human leukocytes</t>
  </si>
  <si>
    <t>Catusse J, Spinks J, Mattick C, Dyer A, Laing K, Fitzsimons C, Smit MJ, Gompels UA.</t>
  </si>
  <si>
    <t>Eur J Immunol. 2008 Mar;38(3):763-77. doi: 10.1002/eji.200737618.</t>
  </si>
  <si>
    <t>EBV gene expression not altered in rheumatoid synovia despite the presence of EBV antigen-specific T cell clones</t>
  </si>
  <si>
    <t>Edinger JW, Bonneville M, Scotet E, Houssaint E, Schumacher HR, Posnett DN.</t>
  </si>
  <si>
    <t>J Immunol. 1999 Mar 15;162(6):3694-701.</t>
  </si>
  <si>
    <t>Encephalitis caused by human herpesvirus-6 in a liver transplant recipient</t>
  </si>
  <si>
    <t>Montejo M, Ramon Fernandez J, Testillano M, Valdivieso A, Aguirrebengoa K, Varas C, Olaizola A, De Urbina JO.</t>
  </si>
  <si>
    <t>Eur Neurol. 2002;48(4):234-5. doi: 10.1159/000066172.</t>
  </si>
  <si>
    <t>Prevalence of herpesviridae and hepatitis B virus DNA in the liver of patients with non-A, non-B fulminant hepatic failure</t>
  </si>
  <si>
    <t>Mason A, Sallie R, Perrillo R, Rayner A, Xu L, Dohner DE, Dehner M, Naoumov N, Gelb L, Saha B, O'Grady J, Williams R.</t>
  </si>
  <si>
    <t>Hepatology. 1996 Dec;24(6):1361-5. doi: 10.1002/hep.510240608.</t>
  </si>
  <si>
    <t>Hepatology</t>
  </si>
  <si>
    <t>T- and B-cell clonality and frequency of human herpes viruses-6, -8 and Epstein Barr virus in angioimmunoblastic T-cell lymphoma</t>
  </si>
  <si>
    <t>Vrsalovic MM, Korac P, Dominis M, Ostojic S, Mannhalter C, Kusec R.</t>
  </si>
  <si>
    <t>Hematol Oncol. 2004 Dec;22(4):169-77. doi: 10.1002/hon.740.</t>
  </si>
  <si>
    <t>Hematol Oncol</t>
  </si>
  <si>
    <t>Human herpesvirus 6 meningoencephalitis in allogeneic hematopoietic stem cell transplant recipients</t>
  </si>
  <si>
    <t>Fujimaki K, Mori T, Kida A, Tanaka M, Kawai N, Matsushima T, Kishi K, Fujisawa S, Sakura T, Yokota A, Kanda Y, Taguchi J, Akiyama H, Kanamori H, Maruta A, Okamoto S, Sakamaki H.</t>
  </si>
  <si>
    <t>Int J Hematol. 2006 Dec;84(5):432-7. doi: 10.1532/IJH97.06072.</t>
  </si>
  <si>
    <t>Bone marrow hypoplasia and fibrosis following interferon treatment</t>
  </si>
  <si>
    <t>Hoffmann A, Kirn E, Krueger GR, Fischer R.</t>
  </si>
  <si>
    <t>In Vivo. 1994 Jul-Aug;8(4):605-12.</t>
  </si>
  <si>
    <t>Evaluation of a Multiplex Strip PCR Test for Infectious Uveitis: A Prospective Multicenter Study</t>
  </si>
  <si>
    <t>Nakano S, Tomaru Y, Kubota T, Takase H, Mochizuki M, Shimizu N, Sugita S; Strip PCR Project Group.</t>
  </si>
  <si>
    <t>Am J Ophthalmol. 2020 May;213:252-259. doi: 10.1016/j.ajo.2019.10.031. Epub 2019 Nov 28.</t>
  </si>
  <si>
    <t>Am J Ophthalmol</t>
  </si>
  <si>
    <t>Lysis of catatonic withdrawal by propofol in a bone-marrow transplant recipient with adenovirus limbic encephalitis</t>
  </si>
  <si>
    <t>Alfson ED, Awosika OO, Singhal T, Fricchione GL.</t>
  </si>
  <si>
    <t>Psychosomatics. 2013 Mar-Apr;54(2):192-5. doi: 10.1016/j.psym.2012.03.003. Epub 2012 Jun 15.</t>
  </si>
  <si>
    <t>Psychosomatics</t>
  </si>
  <si>
    <t>Viral infections in neutropenia--current problems and chemotherapeutic control</t>
  </si>
  <si>
    <t>Wood MJ.</t>
  </si>
  <si>
    <t>J Antimicrob Chemother. 1998 Jun;41 Suppl D:81-93. doi: 10.1093/jac/41.suppl_4.81.</t>
  </si>
  <si>
    <t>Achievement of Durable and Complete Remission of Graft-versus-host Disease After Liver Transplantation With Ruxolitinib: A Case Report</t>
  </si>
  <si>
    <t>Endo Y, Oshima G, Hibi T, Shinoda M, Sakurai M, Koda Y, Izawa Y, Obara H, Kitago M, Yagi H, Abe Y, Matsubara K, Yamada Y, Fukushima A, Yokose T, Mori T, Kuroda T, Kitagawa Y.</t>
  </si>
  <si>
    <t>Transplantation. 2019 Nov;103(11):e375-e377. doi: 10.1097/TP.0000000000002904.</t>
  </si>
  <si>
    <t>Hepatitis E virus infection in a liver transplant recipient in the United States: a case report</t>
  </si>
  <si>
    <t>Te HS, Drobeniuc J, Kamili S, Dong C, Hart J, Sharapov UM.</t>
  </si>
  <si>
    <t>Transplant Proc. 2013 Mar;45(2):810-3. doi: 10.1016/j.transproceed.2012.08.020.</t>
  </si>
  <si>
    <t>Delayed human herpes virus 6 encephalitis in a patient with allogeneic stem cell transplant</t>
  </si>
  <si>
    <t>O'Toole J, Ades S, Waters BL, Agarwal Z, Lamba G.</t>
  </si>
  <si>
    <t>Leuk Lymphoma. 2015;56(9):2709-10. doi: 10.3109/10428194.2014.1003054. Epub 2015 Feb 11.</t>
  </si>
  <si>
    <t>Reactivation of multiple viruses in patients with sepsis</t>
  </si>
  <si>
    <t>Walton AH, Muenzer JT, Rasche D, Boomer JS, Sato B, Brownstein BH, Pachot A, Brooks TL, Deych E, Shannon WD, Green JM, Storch GA, Hotchkiss RS.</t>
  </si>
  <si>
    <t>PLoS One. 2014 Jun 11;9(2):e98819. doi: 10.1371/journal.pone.0098819. eCollection 2014.</t>
  </si>
  <si>
    <t>PMC4053360</t>
  </si>
  <si>
    <t>[Human herpesviruses 6 and 7. Basic principles and possible significance for dermatology]</t>
  </si>
  <si>
    <t>Lasch JA, Klussmann JP, Krueger GR.</t>
  </si>
  <si>
    <t>Hautarzt. 1996 May;47(5):341-50. doi: 10.1007/s001050050428.</t>
  </si>
  <si>
    <t>Hautarzt</t>
  </si>
  <si>
    <t>Lack of evidence for a role of HHV-6 in the pathogenesis of Alzheimer's disease</t>
  </si>
  <si>
    <t>Agostini S, Mancuso R, Baglio F, Cabinio M, Hernis A, Guerini FR, Calabrese E, Nemni R, Clerici M.</t>
  </si>
  <si>
    <t>J Alzheimers Dis. 2016;49(1):229-35. doi: 10.3233/JAD-150464.</t>
  </si>
  <si>
    <t>Human herpes 6 virus encephalitis complicating allogeneic hematopoietic stem cell transplantation</t>
  </si>
  <si>
    <t>Bhanushali MJ, Kranick SM, Freeman AF, Cuellar-Rodriguez JM, Battiwalla M, Gea-Banacloche JC, Hickstein DD, Pavletic S, Fahle G, Nath A.</t>
  </si>
  <si>
    <t>Neurology. 2013 Apr 16;80(16):1494-500. doi: 10.1212/WNL.0b013e31828cf8a2. Epub 2013 Mar 20.</t>
  </si>
  <si>
    <t>PMC3662358</t>
  </si>
  <si>
    <t>Seeley WW, Marty FM, Holmes TM, Upchurch K, Soiffer RJ, Antin JH, Baden LR, Bromfield EB.</t>
  </si>
  <si>
    <t>Neurology. 2007 Jul 10;69(2):156-65. doi: 10.1212/01.wnl.0000265591.10200.d7.</t>
  </si>
  <si>
    <t>Viral triggers of multiple sclerosis</t>
  </si>
  <si>
    <t>Kakalacheva K, Münz C, Lünemann JD.</t>
  </si>
  <si>
    <t>Biochim Biophys Acta. 2011 Feb;1812(2):132-40. doi: 10.1016/j.bbadis.2010.06.012. Epub 2010 Jun 25.</t>
  </si>
  <si>
    <t>Biochim Biophys Acta</t>
  </si>
  <si>
    <t>PMC7126972</t>
  </si>
  <si>
    <t>Monitoring of human cytomegalovirus, HHV-6 and HHV-7 infection in kidney transplant recipients by molecular methods to predict HCMV disease after transplantation: a prospective study</t>
  </si>
  <si>
    <t>Rayes N, Seehofer D, Lullius SG, Stein A, May G, Kahl A, Frei U, Neuhaus P, Meisel H.</t>
  </si>
  <si>
    <t>Ann Transplant. 2005;10(2):23-8.</t>
  </si>
  <si>
    <t>Ann Transplant</t>
  </si>
  <si>
    <t>HHV-6A, 6B, and 7: immunobiology and host response</t>
  </si>
  <si>
    <t>Wang FZ, Pellett PE.</t>
  </si>
  <si>
    <t>In: Arvin A, Campadelli-Fiume G, Mocarski E, Moore PS, Roizman B, Whitley R, Yamanishi K, editors. Human Herpesviruses: Biology, Therapy, and Immunoprophylaxis. Cambridge: Cambridge University Press; 2007. Chapter 48.</t>
  </si>
  <si>
    <t>Human Herpesviruses: Biology, Therapy, and Immunoprophylaxis</t>
  </si>
  <si>
    <t>Human herpes virus-6 or Epstein-Barr virus infection and acute allograft rejection in pediatric kidney transplant recipients: greater risk for immunologically naive recipients</t>
  </si>
  <si>
    <t>Wade AW, McDonald AT, Acott PD, Lee S, Crocker JF.</t>
  </si>
  <si>
    <t>Transplant Proc. 1998 Aug;30(5):2091-3. doi: 10.1016/s0041-1345(98)00548-x.</t>
  </si>
  <si>
    <t>Human Herpesvirus 6: an Evolving Story</t>
  </si>
  <si>
    <t>Herpes. 2000 Oct;7(3):70-75.</t>
  </si>
  <si>
    <t>Other herpesviruses: HHV-6, HHV-7, HHV-8, HSV-1 and -2, VZV</t>
  </si>
  <si>
    <t>Am J Transplant. 2004 Nov;4 Suppl 10:66-71. doi: 10.1111/j.1600-6135.2004.00697.x.</t>
  </si>
  <si>
    <t>TCM-1: a nonlinear dynamical computational model to simulate cellular changes in the T cell system; conceptional design and validation</t>
  </si>
  <si>
    <t>Anticancer Res. 2003 Jan-Feb;23(1A):123-35.</t>
  </si>
  <si>
    <t>Comparative Outcomes after Haploidentical or Unrelated Donor Bone Marrow or Blood Stem Cell Transplantation in Adult Patients with Hematological Malignancies</t>
  </si>
  <si>
    <t>Baker M, Wang H, Rowley SD, Cai L, Pecora AL, Skarbnik A, Vesole DH, Adler-Brecher B, Kim D, Donato ML.</t>
  </si>
  <si>
    <t>Biol Blood Marrow Transplant. 2016 Nov;22(11):2047-2055. doi: 10.1016/j.bbmt.2016.08.003. Epub 2016 Aug 10.</t>
  </si>
  <si>
    <t>Human herpesvirus 6 infection increases adhesion molecule expression in liver allografts</t>
  </si>
  <si>
    <t>Transplant Proc. 1999 Feb-Mar;31(1-2):479-80. doi: 10.1016/s0041-1345(98)01717-5.</t>
  </si>
  <si>
    <t>HHV-6A/6B Infection of NK Cells Modulates the Expression of miRNAs and Transcription Factors Potentially Associated to Impaired NK Activity</t>
  </si>
  <si>
    <t>Rizzo R, Soffritti I, D'Accolti M, Bortolotti D, Di Luca D, Caselli E.</t>
  </si>
  <si>
    <t>Front Microbiol. 2017 Oct 31;8:2143. doi: 10.3389/fmicb.2017.02143. eCollection 2017.</t>
  </si>
  <si>
    <t>Front Microbiol</t>
  </si>
  <si>
    <t>PMC5671584</t>
  </si>
  <si>
    <t>[Macrophage activation syndrome in primary human herpes virus-6 infection: a rare condition after liver transplantation in infants]</t>
  </si>
  <si>
    <t>Lecointe D, Fabre M, Habes D, Mielot F, Bernard O, Nordmann P.</t>
  </si>
  <si>
    <t>Gastroenterol Clin Biol. 2000 Dec;24(12):1227-8.</t>
  </si>
  <si>
    <t>Gastroenterol Clin Biol</t>
  </si>
  <si>
    <t>Human herpes virus-6 encephalitis after bone marrow transplantation: successful treatment with ganciclovir</t>
  </si>
  <si>
    <t>Mookerjee BP, Vogelsang G.</t>
  </si>
  <si>
    <t>Bone Marrow Transplant. 1997 Nov;20(10):905-6. doi: 10.1038/sj.bmt.1700988.</t>
  </si>
  <si>
    <t>Post-transplant HHV-6 Diseases</t>
  </si>
  <si>
    <t>Gentile G.</t>
  </si>
  <si>
    <t>Herpes. 2000 Feb;7(1):24-27.</t>
  </si>
  <si>
    <t>Identification of RANTES, MIP-1 alpha, and MIP-1 beta as the major HIV-suppressive factors produced by CD8+ T cells</t>
  </si>
  <si>
    <t>Cocchi F, DeVico AL, Garzino-Demo A, Arya SK, Gallo RC, Lusso P.</t>
  </si>
  <si>
    <t>Science. 1995 Dec 15;270(5243):1811-5. doi: 10.1126/science.270.5243.1811.</t>
  </si>
  <si>
    <t>Science</t>
  </si>
  <si>
    <t>HHV-6A, 6B, and 7: molecular basis of latency and reactivation</t>
  </si>
  <si>
    <t>Kondo K, Yamanishi K.</t>
  </si>
  <si>
    <t>In: Arvin A, Campadelli-Fiume G, Mocarski E, Moore PS, Roizman B, Whitley R, Yamanishi K, editors. Human Herpesviruses: Biology, Therapy, and Immunoprophylaxis. Cambridge: Cambridge University Press; 2007. Chapter 47.</t>
  </si>
  <si>
    <t>Late graft failure due to dual bone marrow infection with variants A and B of human herpesvirus-6</t>
  </si>
  <si>
    <t>Rosenfeld CS, Rybka WB, Weinbaum D, Carrigan DR, Knox KK, Andrews DF, Shadduck RK.</t>
  </si>
  <si>
    <t>Exp Hematol. 1995 Jul;23(7):626-9.</t>
  </si>
  <si>
    <t>Immunologic diagnostic and therapeutic aspects of cytomegalovirus, human herpes virus-6, and Epstein-Barr virus disease posttransplantation</t>
  </si>
  <si>
    <t>Jacobs U, Eis-Hübinger A, Dietrich Miersch W, Klehr HU.</t>
  </si>
  <si>
    <t>Transplant Proc. 1996 Dec;28(6):3238.</t>
  </si>
  <si>
    <t>Polymorphisms at exon 4 of p53 and the susceptibility to herpesvirus types 6 and 1 infection in renal transplant recipients</t>
  </si>
  <si>
    <t>Leite JL, Manfrinatto JA, Mazzali M, Ward LS.</t>
  </si>
  <si>
    <t>Transpl Int. 2006 Sep;19(9):732-7. doi: 10.1111/j.1432-2277.2006.00346.x.</t>
  </si>
  <si>
    <t>Prevalence of HHV-6 in endometrium from women with recurrent implantation failure</t>
  </si>
  <si>
    <t>Coulam CB, Bilal M, Salazar Garcia MD, Katukurundage D, Elazzamy H, Fernandez EF, Kwak-Kim J, Beaman K, Dambaeva SV.</t>
  </si>
  <si>
    <t>Am J Reprod Immunol. 2018 Jul;80(1):e12862. doi: 10.1111/aji.12862. Epub 2018 Apr 17.</t>
  </si>
  <si>
    <t>Human Herpesvirus 6 (HHV-6) Encephalitis in a Non-Transplant Patient With Polymyositis</t>
  </si>
  <si>
    <t>Baleguli V, Cho YM, Horn J, Parris A.</t>
  </si>
  <si>
    <t>Cureus. 2021 Nov 6;13(11):e19314. doi: 10.7759/cureus.19314. eCollection 2021 Nov.</t>
  </si>
  <si>
    <t>Cureus</t>
  </si>
  <si>
    <t>PMC8648291</t>
  </si>
  <si>
    <t>Risk of viral transmission via bone marrow progenitor cells versus umbilical cord blood hematopoietic stem cells in bone marrow transplantation</t>
  </si>
  <si>
    <t>Behzad-Behbahani A, Pouransari R, Tabei SZ, Rahiminejad MS, Robati M, Yaghobi R, Nourani H, Ramzi MM, Farhadi-Andarabi A, Mojiri A, Rahsaz M, Banihashemi M, Zare N.</t>
  </si>
  <si>
    <t>Transplant Proc. 2005 Sep;37(7):3211-2. doi: 10.1016/j.transproceed.2005.07.007.</t>
  </si>
  <si>
    <t>Primary effusion lymphoma of T-cell origin with t(7;8)(q32;q13) in an HIV-negative patient with HCV-related liver cirrhosis and hepatocellular carcinoma positive for HHV6 and HHV8</t>
  </si>
  <si>
    <t>Nakayama-Ichiyama S, Yokote T, Kobayashi K, Hirata Y, Hiraoka N, Iwaki K, Takayama A, Akioka T, Oka S, Miyoshi T, Fukui H, Tsuda Y, Takubo T, Tsuji M, Higuchi K, Hanafusa T.</t>
  </si>
  <si>
    <t>Ann Hematol. 2011 Oct;90(10):1229-31. doi: 10.1007/s00277-011-1165-8. Epub 2011 Feb 8.</t>
  </si>
  <si>
    <t>Bronchiolitis obliterans with organizing pneumonia: possible association with human herpesvirus-7 infection after lung transplantation</t>
  </si>
  <si>
    <t>Ross DJ, Chan RC, Kubak B, Laks H, Nichols WS.</t>
  </si>
  <si>
    <t>Transplant Proc. 2001 Jun;33(4):2603-6. doi: 10.1016/s0041-1345(01)02109-1.</t>
  </si>
  <si>
    <t>Prevention and treatment of viral infections in stem cell transplant recipients</t>
  </si>
  <si>
    <t>Br J Haematol. 2002 Jul;118(1):44-57. doi: 10.1046/j.1365-2141.2002.03515.x.</t>
  </si>
  <si>
    <t>A case of sulphasalazine-induced DRESS syndrome with delayed acute interstitial nephritis</t>
  </si>
  <si>
    <t>Augusto JF, Sayegh J, Simon A, Croue A, Chennebault JM, Cousin M, Subra JF.</t>
  </si>
  <si>
    <t>Nephrol Dial Transplant. 2009 Sep;24(9):2940-2. doi: 10.1093/ndt/gfp277. Epub 2009 Jun 9.</t>
  </si>
  <si>
    <t>Antiviral screening assays for human herpesviruses 6 and 7</t>
  </si>
  <si>
    <t>Black JB, Pellett PE.</t>
  </si>
  <si>
    <t>Methods Mol Med. 2000;24:129-38. doi: 10.1385/1-59259-245-7:129.</t>
  </si>
  <si>
    <t>Methods Mol Med</t>
  </si>
  <si>
    <t>[Cord blood transplantation in Japan]</t>
  </si>
  <si>
    <t>Uchida N.</t>
  </si>
  <si>
    <t>Rinsho Ketsueki. 2016 May;57(5):531-6. doi: 10.11406/rinketsu.57.531.</t>
  </si>
  <si>
    <t>Hematopoietic stem cells and betaherpesvirus latency</t>
  </si>
  <si>
    <t>Crawford LB.</t>
  </si>
  <si>
    <t>Front Cell Infect Microbiol. 2023 Jun 6;13:1189805. doi: 10.3389/fcimb.2023.1189805. eCollection 2023.</t>
  </si>
  <si>
    <t>Front Cell Infect Microbiol</t>
  </si>
  <si>
    <t>PMC10279960</t>
  </si>
  <si>
    <t>Advances in the Characterization of the T-Cell Response to Human Herpesvirus-6</t>
  </si>
  <si>
    <t>Hanson DJ, Hill JA, Koelle DM.</t>
  </si>
  <si>
    <t>Front Immunol. 2018 Jun 25;9:1454. doi: 10.3389/fimmu.2018.01454. eCollection 2018.</t>
  </si>
  <si>
    <t>PMC6026635</t>
  </si>
  <si>
    <t>Neutralizing antibody assay for human herpesvirus-6</t>
  </si>
  <si>
    <t>Suga S, Yoshikawa T, Asano Y, Yazaki T, Ozaki T.</t>
  </si>
  <si>
    <t>J Med Virol. 1990 Jan;30(1):14-9. doi: 10.1002/jmv.1890300104.</t>
  </si>
  <si>
    <t>Basiliximab versus ATG/ALG induction in pediatric renal transplants: comparison of herpes virus profile and rejection rates</t>
  </si>
  <si>
    <t>Acott PD, Lawen J, Lee S, Crocker JF.</t>
  </si>
  <si>
    <t>Transplant Proc. 2001 Nov-Dec;33(7-8):3180-3. doi: 10.1016/s0041-1345(01)02354-5.</t>
  </si>
  <si>
    <t>Comparative Analysis of Roseoloviruses in Humans, Pigs, Mice, and Other Species</t>
  </si>
  <si>
    <t>Denner J, Bigley TM, Phan TL, Zimmermann C, Zhou X, Kaufer BB.</t>
  </si>
  <si>
    <t>Viruses. 2019 Nov 30;11(12):1108. doi: 10.3390/v11121108.</t>
  </si>
  <si>
    <t>PMC6949924</t>
  </si>
  <si>
    <t>Mouse thymic virus (MTLV). A mammalian herpesvirus cytolytic for CD4+ (L3T4+) T lymphocytes</t>
  </si>
  <si>
    <t>Morse SS, Valinsky JE.</t>
  </si>
  <si>
    <t>J Exp Med. 1989 Feb 1;169(2):591-6. doi: 10.1084/jem.169.2.591.</t>
  </si>
  <si>
    <t>PMC2189207</t>
  </si>
  <si>
    <t>Utilization of human hematopoietic cell lines for the propagation and characterization of HBLV (human herpesvirus 6)</t>
  </si>
  <si>
    <t>Ablashi DV, Lusso P, Hung CL, Salahuddin SZ, Josephs SF, Llana T, Kramarsky B, Biberfeld P, Markham PD, Gallo RC.</t>
  </si>
  <si>
    <t>Dev Biol Stand. 1989;70:139-46.</t>
  </si>
  <si>
    <t>Characteristics of human herpesvirus-6</t>
  </si>
  <si>
    <t>Lopez C, Pellett P, Stewart J, Goldsmith C, Sanderlin K, Black J, Warfield D, Feorino P.</t>
  </si>
  <si>
    <t>J Infect Dis. 1988 Jun;157(6):1271-3. doi: 10.1093/infdis/157.6.1271.</t>
  </si>
  <si>
    <t>Outcome of Second Allogeneic HSCT for Patients with Inborn Errors of Immunity: Retrospective Study of 20 Years' Experience</t>
  </si>
  <si>
    <t>Mehta P, Tsilifis C, Lum SH, Slatter MA, Hambleton S, Owens S, Williams E, Flood T, Gennery AR, Nademi Z.</t>
  </si>
  <si>
    <t>J Clin Immunol. 2023 Nov;43(8):1812-1826. doi: 10.1007/s10875-023-01549-w. Epub 2023 Jul 14.</t>
  </si>
  <si>
    <t>Transplantation of highly purified CD34+ progenitor cells from unrelated donors in pediatric leukemia</t>
  </si>
  <si>
    <t>Lang P, Handgretinger R, Niethammer D, Schlegel PG, Schumm M, Greil J, Bader P, Engel C, Scheel-Walter H, Eyrich M, Klingebiel T.</t>
  </si>
  <si>
    <t>Blood. 2003 Feb 15;101(4):1630-6. doi: 10.1182/blood-2002-04-1203. Epub 2002 Oct 10.</t>
  </si>
  <si>
    <t>Human Herpesvirus-6 Pneumonitis around the Engraftment of Cord Blood Transplantation following Foscarnet Prophylaxis in a Patient with Acute Leukemia</t>
  </si>
  <si>
    <t>Ishio T, Endo T, Okada K, Shigematsu A, Hashino S, Teshima T.</t>
  </si>
  <si>
    <t>Case Rep Hematol. 2015;2015:949265. doi: 10.1155/2015/949265. Epub 2015 Jan 11.</t>
  </si>
  <si>
    <t>Case Rep Hematol</t>
  </si>
  <si>
    <t>PMC4306254</t>
  </si>
  <si>
    <t>HHV-6A Infection and Systemic Sclerosis: Clues of a Possible Association</t>
  </si>
  <si>
    <t>Caselli E, Soffritti I, D'Accolti M, Bortolotti D, Rizzo R, Sighinolfi G, Giuggioli D, Ferri C.</t>
  </si>
  <si>
    <t>Microorganisms. 2019 Dec 24;8(1):39. doi: 10.3390/microorganisms8010039.</t>
  </si>
  <si>
    <t>Microorganisms</t>
  </si>
  <si>
    <t>PMC7022325</t>
  </si>
  <si>
    <t>Salivary shedding of herpesviruses in renal transplant recipients</t>
  </si>
  <si>
    <t>Sarmento DJS, Caliento R, Souza AO, Tozetto-Mendoza TR, Palmieri M, Martins VAO, Braz-Silva PH, Gallottini M.</t>
  </si>
  <si>
    <t>J Investig Clin Dent. 2018 Nov;9(4):e12356. doi: 10.1111/jicd.12356. Epub 2018 Jul 30.</t>
  </si>
  <si>
    <t>J Investig Clin Dent</t>
  </si>
  <si>
    <t>Quantitative analysis of human herpesvirus-6 genome in blood and bone marrow samples from Tunisian patients with acute leukemia: a follow-up study</t>
  </si>
  <si>
    <t>Faten N, Agnès GD, Nadia BF, Nabil AB, Monia Z, Abderrahim K, Henri A, Salma F, Mahjoub A.</t>
  </si>
  <si>
    <t>Infect Agent Cancer. 2012 Nov 12;7(1):31. doi: 10.1186/1750-9378-7-31.</t>
  </si>
  <si>
    <t>Infect Agent Cancer</t>
  </si>
  <si>
    <t>PMC3527176</t>
  </si>
  <si>
    <t>Int J Cancer. 1988 Nov 15;42(5):787-91. doi: 10.1002/ijc.2910420526.</t>
  </si>
  <si>
    <t>Long-term Outcomes of Patients With Human Herpesvirus 6 Encephalitis</t>
  </si>
  <si>
    <t>Fida M, Hamdi AM, Bryson A, Razonable RR, Abu Saleh O.</t>
  </si>
  <si>
    <t>Open Forum Infect Dis. 2019 Jun 5;6(7):ofz269. doi: 10.1093/ofid/ofz269. eCollection 2019 Jul.</t>
  </si>
  <si>
    <t>Open Forum Infect Dis</t>
  </si>
  <si>
    <t>PMC6634437</t>
  </si>
  <si>
    <t>Activity of broad-spectrum T cells as treatment for AdV, EBV, CMV, BKV, and HHV6 infections after HSCT</t>
  </si>
  <si>
    <t>Papadopoulou A, Gerdemann U, Katari UL, Tzannou I, Liu H, Martinez C, Leung K, Carrum G, Gee AP, Vera JF, Krance RA, Brenner MK, Rooney CM, Heslop HE, Leen AM.</t>
  </si>
  <si>
    <t>Sci Transl Med. 2014 Jun 25;6(242):242ra83. doi: 10.1126/scitranslmed.3008825.</t>
  </si>
  <si>
    <t>PMC4181611</t>
  </si>
  <si>
    <t>NIHMS629005</t>
  </si>
  <si>
    <t>Minimum-Dose, Short-Term Methotrexate With Tacrolimus for Graft-vs-Host Disease Prophylaxis Following Unrelated Cord Blood Transplantation in Adults: A Retrospective Analysis at a Single Institution</t>
  </si>
  <si>
    <t>Iino M, Sato T, Sakamoto Y.</t>
  </si>
  <si>
    <t>Transplant Proc. 2021 Jan-Feb;53(1):396-404. doi: 10.1016/j.transproceed.2020.10.018. Epub 2020 Dec 8.</t>
  </si>
  <si>
    <t>Viral prevalence by gestational age and season in a large neonatal cord blood cohort</t>
  </si>
  <si>
    <t>Sloan PE, Rodriguez C, Holtz LR.</t>
  </si>
  <si>
    <t>J Matern Fetal Neonatal Med. 2022 Dec;35(25):8482-8487. doi: 10.1080/14767058.2021.1983537. Epub 2021 Sep 29.</t>
  </si>
  <si>
    <t>J Matern Fetal Neonatal Med</t>
  </si>
  <si>
    <t>PMC8960461</t>
  </si>
  <si>
    <t>NIHMS1782768</t>
  </si>
  <si>
    <t>Human Herpesvirus-6 Reactivation and Disease Are Infrequent in Chimeric Antigen Receptor T-cell Therapy Recipients</t>
  </si>
  <si>
    <t>Kampouri E, Krantz EM, Xie H, Ibrahimi SS, Kiem ES, Sekhon MK, Liang EC, Cowan AJ, Portuguese AJ, Green DJ, Albittar A, Huang JJ, Gauthier J, Pérez-Osorio AC, Jerome KR, Zerr D, Boeckh MJ, Hill JA.</t>
  </si>
  <si>
    <t>Blood. 2024 Apr 18:blood.2024024145. doi: 10.1182/blood.2024024145. Online ahead of print.</t>
  </si>
  <si>
    <t>Distribution of antibodies to a causative agent of exanthem subitum (human herpesvirus-6) in healthy individuals</t>
  </si>
  <si>
    <t>Yoshikawa T, Suga S, Asano Y, Yazaki T, Kodama H, Ozaki T.</t>
  </si>
  <si>
    <t>Pediatrics. 1989 Oct;84(4):675-7.</t>
  </si>
  <si>
    <t>HLA Haploidentical Stem Cell Transplant with Pretransplant Immunosuppression for Patients with Sickle Cell Disease</t>
  </si>
  <si>
    <t>Pawlowska AB, Cheng JC, Karras NA, Sun W, Wang LD, Bell AD, Gutierrez L, Rosenthal J.</t>
  </si>
  <si>
    <t>Biol Blood Marrow Transplant. 2018 Jan;24(1):185-189. doi: 10.1016/j.bbmt.2017.08.039. Epub 2017 Sep 20.</t>
  </si>
  <si>
    <t>Predominant CD4 T-lymphocyte tropism of human herpesvirus 6-related virus</t>
  </si>
  <si>
    <t>Takahashi K, Sonoda S, Higashi K, Kondo T, Takahashi H, Takahashi M, Yamanishi K.</t>
  </si>
  <si>
    <t>J Virol. 1989 Jul;63(7):3161-3. doi: 10.1128/JVI.63.7.3161-3163.1989.</t>
  </si>
  <si>
    <t>PMC250875</t>
  </si>
  <si>
    <t>Identification, cloning, and expression of the major capsid protein gene of human herpesvirus 6</t>
  </si>
  <si>
    <t>Littler E, Lawrence G, Liu MY, Barrell BG, Arrand JR.</t>
  </si>
  <si>
    <t>J Virol. 1990 Feb;64(2):714-22. doi: 10.1128/JVI.64.2.714-722.1990.</t>
  </si>
  <si>
    <t>PMC249165</t>
  </si>
  <si>
    <t>A complex evolutionary relationship between HHV-6A and HHV-6B</t>
  </si>
  <si>
    <t>Forni D, Cagliani R, Clerici M, Pozzoli U, Sironi M.</t>
  </si>
  <si>
    <t>Virus Evol. 2019 Oct 20;5(2):vez043. doi: 10.1093/ve/vez043. eCollection 2019 Jul.</t>
  </si>
  <si>
    <t>Virus Evol</t>
  </si>
  <si>
    <t>PMC6800887</t>
  </si>
  <si>
    <t>Growth properties of human herpesvirus-6 strain Z29</t>
  </si>
  <si>
    <t>Black JB, Sanderlin KC, Goldsmith CS, Gary HE, Lopez C, Pellett PE.</t>
  </si>
  <si>
    <t>J Virol Methods. 1989 Nov;26(2):133-45. doi: 10.1016/0166-0934(89)90143-2.</t>
  </si>
  <si>
    <t>In vitro cellular tropism of human B-lymphotropic virus (human herpesvirus-6)</t>
  </si>
  <si>
    <t>Lusso P, Markham PD, Tschachler E, di Marzo Veronese F, Salahuddin SZ, Ablashi DV, Pahwa S, Krohn K, Gallo RC.</t>
  </si>
  <si>
    <t>J Exp Med. 1988 May 1;167(5):1659-70. doi: 10.1084/jem.167.5.1659.</t>
  </si>
  <si>
    <t>PMC2188940</t>
  </si>
  <si>
    <t>Usefulness of the FilmArray Meningitis/Encephalitis Panel in diagnosis of central nervous system infection after allogeneic hematopoietic stem cell transplantation</t>
  </si>
  <si>
    <t>Mori T, Koda Y, Kato J, Sakurai M, Uwamino Y, Hasegawa N.</t>
  </si>
  <si>
    <t>Support Care Cancer. 2022 Jan;30(1):5-8. doi: 10.1007/s00520-021-06474-5. Epub 2021 Aug 4.</t>
  </si>
  <si>
    <t>Support Care Cancer</t>
  </si>
  <si>
    <t>Antiviral prophylaxis may prevent human herpesvirus-6 reactivation in bone marrow transplant recipients</t>
  </si>
  <si>
    <t>Rapaport D, Engelhard D, Tagger G, Or R, Frenkel N.</t>
  </si>
  <si>
    <t>Transpl Infect Dis. 2002 Mar;4(1):10-6. doi: 10.1034/j.1399-3062.2002.040101.x.</t>
  </si>
  <si>
    <t>Establishment of titration system for human herpesvirus 6 and evaluation of neutralizing antibody response to the virus</t>
  </si>
  <si>
    <t>Asada H, Yalcin S, Balachandra K, Higashi K, Yamanishi K.</t>
  </si>
  <si>
    <t>J Clin Microbiol. 1989 Oct;27(10):2204-7. doi: 10.1128/jcm.27.10.2204-2207.1989.</t>
  </si>
  <si>
    <t>PMC266994</t>
  </si>
  <si>
    <t>Serological evidence for congenital transmission of human herpesvirus 6</t>
  </si>
  <si>
    <t>Dunne WM Jr, Demmler GJ.</t>
  </si>
  <si>
    <t>Lancet. 1992 Jul 11;340(8811):121-2.</t>
  </si>
  <si>
    <t>The tetraspanin protein CD9 modulates infection with human herpesvirus 6A and 6B in a CD46-dependent manner</t>
  </si>
  <si>
    <t>Schack VR, Rossen LS, Ekebjærg CC, Thuesen KKH, Bundgaard B, Höllsberg P.</t>
  </si>
  <si>
    <t>J Virol. 2021 Mar 25;95(8):e02259-20. doi: 10.1128/JVI.02259-20. Epub 2021 Jan 27.</t>
  </si>
  <si>
    <t>PMC8103686</t>
  </si>
  <si>
    <t>DNA Sensors' Signaling in NK Cells During HHV-6A, HHV-6B and HHV-7 Infection</t>
  </si>
  <si>
    <t>Bortolotti D, Gentili V, Caselli E, Sicolo M, Soffritti I, D'Accolti M, Barao I, Rotola A, Di Luca D, Rizzo R.</t>
  </si>
  <si>
    <t>Front Microbiol. 2020 Feb 19;11:226. doi: 10.3389/fmicb.2020.00226. eCollection 2020.</t>
  </si>
  <si>
    <t>PMC7042408</t>
  </si>
  <si>
    <t>A case of recurrent progressive multifocal leukoencephalopathy after human stem cell transplant, with detection of John Cunningham virus and human herpesvirus 6 on cerebrospinal fluid, treated with Mirtazapine, Olanzapine and Foscarnet</t>
  </si>
  <si>
    <t>Pasca M, Picchioni A, Mazzeo S, Terenzi F, Prestipino E, Fratangelo R, Repice AM, Carlucci G, Massacesi L, Barilaro A.</t>
  </si>
  <si>
    <t>Intractable Rare Dis Res. 2019 Nov;8(4):275-278. doi: 10.5582/irdr.2019.01107.</t>
  </si>
  <si>
    <t>Intractable Rare Dis Res</t>
  </si>
  <si>
    <t>PMC6929596</t>
  </si>
  <si>
    <t>Current Role of Prospective Monitoring and Preemptive and Prophylactic Therapy for Human Herpesvirus 6 After Allogeneic Stem Cell Transplantation</t>
  </si>
  <si>
    <t>Handley G.</t>
  </si>
  <si>
    <t>Open Forum Infect Dis. 2022 Aug 3;9(8):ofac398. doi: 10.1093/ofid/ofac398. eCollection 2022 Aug.</t>
  </si>
  <si>
    <t>PMC9394762</t>
  </si>
  <si>
    <t>HHV-6 Encephalitis After Chimeric Antigen Receptor T-cell Therapy (CAR-T): 2 Case Reports and a Brief Review of the Literature</t>
  </si>
  <si>
    <t>Rebechi MT, Bork JT, Riedel DJ.</t>
  </si>
  <si>
    <t>Open Forum Infect Dis. 2021 Sep 24;8(11):ofab470. doi: 10.1093/ofid/ofab470. eCollection 2021 Nov.</t>
  </si>
  <si>
    <t>PMC8562470</t>
  </si>
  <si>
    <t>Immunomodulation and immunosuppression by human herpesvirus 6A and 6B</t>
  </si>
  <si>
    <t>Dagna L, Pritchett JC, Lusso P.</t>
  </si>
  <si>
    <t>Future Virol. 2013 Mar;8(3):273-287. doi: 10.2217/fvl.13.7.</t>
  </si>
  <si>
    <t>Future Virol</t>
  </si>
  <si>
    <t>PMC3806647</t>
  </si>
  <si>
    <t>NIHMS513164</t>
  </si>
  <si>
    <t>Pathogen-Specific T Cells Beyond CMV, EBV and Adenovirus</t>
  </si>
  <si>
    <t>Jiang W, Withers B, Sutrave G, Clancy LE, Yong MI, Blyth E.</t>
  </si>
  <si>
    <t>Curr Hematol Malig Rep. 2019 Aug;14(4):247-260. doi: 10.1007/s11899-019-00521-z.</t>
  </si>
  <si>
    <t>Curr Hematol Malig Rep</t>
  </si>
  <si>
    <t>Human herpesvirus-6-associated malignant lymphoma in a bone marrow transplant recipient</t>
  </si>
  <si>
    <t>Razzaque A, Knox KK, Carrigan DR, Varricchio F.</t>
  </si>
  <si>
    <t>Clin Diagn Virol. 1994 Aug;2(4-5):305-11. doi: 10.1016/0928-0197(94)90055-8.</t>
  </si>
  <si>
    <t>Clin Diagn Virol</t>
  </si>
  <si>
    <t>Virion and nonstructural polypeptides of human herpesvirus-6</t>
  </si>
  <si>
    <t>Shiraki K, Okuno T, Yamanishi K, Takahashi M.</t>
  </si>
  <si>
    <t>Virus Res. 1989 Jun;13(2):173-8. doi: 10.1016/0168-1702(89)90014-2.</t>
  </si>
  <si>
    <t>Human Herpesvirus-6 Encephalitis</t>
  </si>
  <si>
    <t>Marcelis S, Vanden Bossche S, Dekeyzer S.</t>
  </si>
  <si>
    <t>J Belg Soc Radiol. 2022 Oct 10;106(1):93. doi: 10.5334/jbsr.2885. eCollection 2022.</t>
  </si>
  <si>
    <t>J Belg Soc Radiol</t>
  </si>
  <si>
    <t>PMC9562771</t>
  </si>
  <si>
    <t>Allogeneic stem cell transplantation with reduced intensity conditioning for patients with adrenoleukodystrophy</t>
  </si>
  <si>
    <t>Kato K, Maemura R, Wakamatsu M, Yamamori A, Hamada M, Kataoka S, Narita A, Miwata S, Sekiya Y, Kawashima N, Suzuki K, Narita K, Doisaki S, Muramatsu H, Sakaguchi H, Matsumoto K, Koike Y, Onodera O, Kaga M, Shimozawa N, Yoshida N.</t>
  </si>
  <si>
    <t>Mol Genet Metab Rep. 2018 Nov 20;18:1-6. doi: 10.1016/j.ymgmr.2018.11.001. eCollection 2019 Mar.</t>
  </si>
  <si>
    <t>Mol Genet Metab Rep</t>
  </si>
  <si>
    <t>PMC6260425</t>
  </si>
  <si>
    <t>Human herpesvirus-6 pneumonitis in a patient with follicular lymphoma following immunochemotherapy with rituximab</t>
  </si>
  <si>
    <t>Kuwahara-Ota S, Chinen Y, Mizuno Y, Takimoto-Shimomura T, Matsumura-Kimoto Y, Tanba K, Tsukamoto T, Mizutani S, Shimura Y, Kobayashi T, Horiike S, Kuroda J.</t>
  </si>
  <si>
    <t>Infect Drug Resist. 2018 May 14;11:701-705. doi: 10.2147/IDR.S163686. eCollection 2018.</t>
  </si>
  <si>
    <t>Infect Drug Resist</t>
  </si>
  <si>
    <t>PMC5957066</t>
  </si>
  <si>
    <t>Susceptibility of human placenta derived mesenchymal stromal/stem cells to human herpesviruses infection</t>
  </si>
  <si>
    <t>Avanzi S, Leoni V, Rotola A, Alviano F, Solimando L, Lanzoni G, Bonsi L, Di Luca D, Marchionni C, Alvisi G, Ripalti A.</t>
  </si>
  <si>
    <t>PLoS One. 2013 Aug 5;8(8):e71412. doi: 10.1371/journal.pone.0071412. Print 2013.</t>
  </si>
  <si>
    <t>PMC3734067</t>
  </si>
  <si>
    <t>The pipeline of antiviral T-cell therapy: what's in the clinic and undergoing development</t>
  </si>
  <si>
    <t>Fatic A, Zhang N, Keller MD, Hanley PJ.</t>
  </si>
  <si>
    <t>Transfusion. 2020 Jan;60(1):7-10. doi: 10.1111/trf.15501. Epub 2019 Aug 30.</t>
  </si>
  <si>
    <t>PMC9359816</t>
  </si>
  <si>
    <t>NIHMS1747507</t>
  </si>
  <si>
    <t>Adoptive immunotherapy with virus-specific T cells</t>
  </si>
  <si>
    <t>Fuji S, Kapp M, Grigoleit GU, Einsele H.</t>
  </si>
  <si>
    <t>Best Pract Res Clin Haematol. 2011 Sep;24(3):413-9. doi: 10.1016/j.beha.2011.06.003.</t>
  </si>
  <si>
    <t>Best Pract Res Clin Haematol</t>
  </si>
  <si>
    <t>A Rare Case of HHV-6 Encephalitis in an Immunocompetent Host: Case Report and Literature Review</t>
  </si>
  <si>
    <t>Mekheal E, Tagliaferri AR, Vasquez KS, Pjetergjoka R, Lobue G, Townsend D, Leou K, Singhal M.</t>
  </si>
  <si>
    <t>Cureus. 2022 Mar 9;14(3):e23007. doi: 10.7759/cureus.23007. eCollection 2022 Mar.</t>
  </si>
  <si>
    <t>PMC8993705</t>
  </si>
  <si>
    <t>Identification of human herpesvirus-6 as a causal agent for exanthem subitum</t>
  </si>
  <si>
    <t>Yamanishi K, Okuno T, Shiraki K, Takahashi M, Kondo T, Asano Y, Kurata T.</t>
  </si>
  <si>
    <t>Lancet. 1988 May 14;1(8594):1065-7. doi: 10.1016/s0140-6736(88)91893-4.</t>
  </si>
  <si>
    <t>T-cell activation is required for efficient replication of human herpesvirus 6</t>
  </si>
  <si>
    <t>Frenkel N, Schirmer EC, Katsafanas G, June CH.</t>
  </si>
  <si>
    <t>J Virol. 1990 Sep;64(9):4598-602. doi: 10.1128/JVI.64.9.4598-4602.1990.</t>
  </si>
  <si>
    <t>PMC247937</t>
  </si>
  <si>
    <t>Human herpesvirus 6 is associated with status epilepticus and hyponatremia after umbilical cord blood transplantation</t>
  </si>
  <si>
    <t>de Souza Franceschi FL, Green J, Cayci Z, Mariash E, Ezzeddine M, Bachanova V, Ustun C.</t>
  </si>
  <si>
    <t>Can J Infect Dis Med Microbiol. 2014 May;25(3):170-2. doi: 10.1155/2014/392720.</t>
  </si>
  <si>
    <t>Can J Infect Dis Med Microbiol</t>
  </si>
  <si>
    <t>PMC4173981</t>
  </si>
  <si>
    <t>Evolutionary analysis of exogenous and integrated HHV-6A/HHV-6B populations</t>
  </si>
  <si>
    <t>Virus Evol. 2020 Apr 30;6(1):veaa035. doi: 10.1093/ve/veaa035. eCollection 2020 Jan.</t>
  </si>
  <si>
    <t>PMC7293831</t>
  </si>
  <si>
    <t>Allogeneic peripheral stem cell transplantation using positively selected CD34+ cells from HLA-mismatched donors</t>
  </si>
  <si>
    <t>Matsuda Y, Hara J, Osugi Y, Fujisaki H, Takai K, Ohta H, Nakanishi K, Tokimasa S, Miyoshi H, Tanaka-Taya K, Yamanishi K, Okada S.</t>
  </si>
  <si>
    <t>Bone Marrow Transplant. 1998 Feb;21(4):355-60. doi: 10.1038/sj.bmt.1701095.</t>
  </si>
  <si>
    <t>Simultaneous human herpesvirus 6-associated encephalitis and Guillain-Barré syndrome in a patient after matched unrelated donor haematopoietic stem cell transplantation</t>
  </si>
  <si>
    <t>Tomaszewska A, Nasilowska-Adamska B, Dzieciatkowski T, Marianska B.</t>
  </si>
  <si>
    <t>Arch Med Sci. 2010 Apr 30;6(2):288-90. doi: 10.5114/aoms.2010.13912.</t>
  </si>
  <si>
    <t>Arch Med Sci</t>
  </si>
  <si>
    <t>PMC3281355</t>
  </si>
  <si>
    <t>Hemophagocytic Lymphohistiocytosis Associated With Human Herpesvirus-6 (HHV-6) Infection in an Immunocompetent Adult: A Case Report</t>
  </si>
  <si>
    <t>Rahman AU, Baig F, Javid Chaudhary UI, Ashraf MB, Jawaid MD, Chaudary A, Tariq M.</t>
  </si>
  <si>
    <t>Cureus. 2024 Feb 16;16(2):e54299. doi: 10.7759/cureus.54299. eCollection 2024 Feb.</t>
  </si>
  <si>
    <t>PMC10944635</t>
  </si>
  <si>
    <t>Expression of CD4 on human peripheral blood neutrophils</t>
  </si>
  <si>
    <t>Biswas P, Mantelli B, Sica A, Malnati M, Panzeri C, Saccani A, Hasson H, Vecchi A, Saniabadi A, Lusso P, Lazzarin A, Beretta A.</t>
  </si>
  <si>
    <t>Blood. 2003 Jun 1;101(11):4452-6. doi: 10.1182/blood-2002-10-3056. Epub 2003 Jan 16.</t>
  </si>
  <si>
    <t>Genomic Integration of HHV-6 Mimicking Viral Reactivation after Autologous Stem Cell Transplantation</t>
  </si>
  <si>
    <t>Mineri R, Mariotti J, Sarina B, Morabito L, Crocchiolo R, Bramanti S, Sarno T, Tordato F, Carlo-Stella C, Santoro A, Castagna L.</t>
  </si>
  <si>
    <t>Mediterr J Hematol Infect Dis. 2018 Feb 15;10(1):e2018013. doi: 10.4084/MJHID.2018.013. eCollection 2018.</t>
  </si>
  <si>
    <t>Mediterr J Hematol Infect Dis</t>
  </si>
  <si>
    <t>PMC5841938</t>
  </si>
  <si>
    <t>The epidemiology and pathogenesis of infections caused by the high numbered human herpesviruses in children: HHV-6, HHV-7 and HHV-8</t>
  </si>
  <si>
    <t>Miyagawa H, Yamanishi K.</t>
  </si>
  <si>
    <t>Curr Opin Infect Dis. 1999 Jun;12(3):251-5. doi: 10.1097/00001432-199906000-00016.</t>
  </si>
  <si>
    <t>Isolation of a new herpesvirus from human CD4+ T cells</t>
  </si>
  <si>
    <t>Frenkel N, Schirmer EC, Wyatt LS, Katsafanas G, Roffman E, Danovich RM, June CH.</t>
  </si>
  <si>
    <t>Proc Natl Acad Sci U S A. 1990 Jan;87(2):748-52. doi: 10.1073/pnas.87.2.748.</t>
  </si>
  <si>
    <t>PMC53343</t>
  </si>
  <si>
    <t>Graft Failure Incidence, Risk Factors, and Outcomes in Patients Undergoing Non-Myeloablative Allogeneic Hematopoietic Cell Transplantation Using Post-Transplant Cyclophosphamide</t>
  </si>
  <si>
    <t>Mata JR, Zahurak M, Rosen N, DeZern AE, Jones RJ, Ambinder AJ.</t>
  </si>
  <si>
    <t>Transplant Cell Ther. 2024 Jun;30(6):588-596. doi: 10.1016/j.jtct.2024.03.018. Epub 2024 Mar 22.</t>
  </si>
  <si>
    <t>Productive dual infection of human CD4+ T lymphocytes by HIV-1 and HHV-6</t>
  </si>
  <si>
    <t>Lusso P, Ensoli B, Markham PD, Ablashi DV, Salahuddin SZ, Tschachler E, Wong-Staal F, Gallo RC.</t>
  </si>
  <si>
    <t>Nature. 1989 Jan 26;337(6205):370-3. doi: 10.1038/337370a0.</t>
  </si>
  <si>
    <t>Impact of stem cell graft on early viral infections and immune reconstitution after allogeneic transplantation in adults</t>
  </si>
  <si>
    <t>Illiaquer M, Imbert-Marcille BM, Guillaume T, Planche L, Rimbert M, Bressollette-Bodin C, Le Bourgeois A, Peterlin P, Garnier A, Le Houerou C, Moreau P, Mohty M, Chevallier P.</t>
  </si>
  <si>
    <t>J Clin Virol. 2017 Aug;93:30-36. doi: 10.1016/j.jcv.2017.05.019. Epub 2017 May 31.</t>
  </si>
  <si>
    <t>Human Herpes Virus-6 Encephalitis Following Autologous Blood and Marrow Transplant</t>
  </si>
  <si>
    <t>Azzi JM, Park D, Abdul-Hay M, Cole K, Cirrone F, Kreditor M, Al-Homsi AS.</t>
  </si>
  <si>
    <t>Clin Hematol Int. 2019 Nov 28;2(1):32-34. doi: 10.2991/chi.d.191123.001. eCollection 2020 Mar.</t>
  </si>
  <si>
    <t>Clin Hematol Int</t>
  </si>
  <si>
    <t>PMC8432341</t>
  </si>
  <si>
    <t>Post-allogeneic hematopoietic stem cell transplantation viral reactivations and viremias: a focused review on human herpesvirus-6, BK virus and adenovirus</t>
  </si>
  <si>
    <t>Wang X, Patel SA, Haddadin M, Cerny J.</t>
  </si>
  <si>
    <t>Ther Adv Infect Dis. 2021 May 24;8:20499361211018027. doi: 10.1177/20499361211018027. eCollection 2021 Jan-Dec.</t>
  </si>
  <si>
    <t>Ther Adv Infect Dis</t>
  </si>
  <si>
    <t>PMC8155777</t>
  </si>
  <si>
    <t>HHV-6 Infection in a 19-Year-Old Liver Transplant Recipient - Much More Than Roseola!</t>
  </si>
  <si>
    <t>Dougherty A, DeRon N Jr, Hunter L.</t>
  </si>
  <si>
    <t>IDCases. 2023 Jul 26;33:e01863. doi: 10.1016/j.idcr.2023.e01863. eCollection 2023.</t>
  </si>
  <si>
    <t>IDCases</t>
  </si>
  <si>
    <t>PMC10407201</t>
  </si>
  <si>
    <t>Generation of multivirus-specific T cells by a single stimulation of peripheral blood mononuclear cells with a peptide mixture using serum-free medium</t>
  </si>
  <si>
    <t>Nishiyama-Fujita Y, Kawana-Tachikawa AI, Ono T, Tanaka Y, Kato T, Heslop HE, Morio T, Takahashi S.</t>
  </si>
  <si>
    <t>Cytotherapy. 2018 Sep;20(9):1182-1190. doi: 10.1016/j.jcyt.2018.05.009. Epub 2018 Aug 17.</t>
  </si>
  <si>
    <t>New rising infection: human herpesvirus 6 is frequent in myeloma patients undergoing autologous stem cell transplantation after induction therapy with bortezomib</t>
  </si>
  <si>
    <t>Horowitz N, Oren I, Lavi N, Zuckerman T, Benyamini N, Kra-Oz Z, Held V, Avivi I.</t>
  </si>
  <si>
    <t>Bone Marrow Res. 2012;2012:409765. doi: 10.1155/2012/409765. Epub 2012 Nov 29.</t>
  </si>
  <si>
    <t>Bone Marrow Res</t>
  </si>
  <si>
    <t>PMC3517825</t>
  </si>
  <si>
    <t>Observational prospective study of viral infections in children undergoing allogeneic hematopoietic cell transplantation: a 3-year GETMON experience</t>
  </si>
  <si>
    <t>Verdeguer A, de Heredia CD, González M, Martínez AM, Fernández-Navarro JM, Pérez-Hurtado JM, Badell I, Gómez P, González ME, Muñoz A, Díaz MA; GETMON: Spanish Working Party for Blood and Marrow Transplantation in Children.</t>
  </si>
  <si>
    <t>Bone Marrow Transplant. 2011 Jan;46(1):119-24. doi: 10.1038/bmt.2010.52. Epub 2010 Mar 15.</t>
  </si>
  <si>
    <t>Association between human herpesvirus-6 encephalitis and antiviral prophylaxis after allogeneic hematopoietic stem cell transplantation in the letermovir era</t>
  </si>
  <si>
    <t>Terao T, Matsuoka KI, Fuji S, Kawamura S, Toya T, Doki N, Uchida N, Tanaka M, Fukuda T, Sawa M, Ishikawa J, Nishida T, Ohigashi H, Maruyama Y, Fujiwara SI, Kanda Y, Ota S, Ishimaru F, Atsuta Y, Kanda J, Ogata M, Yakushijin K, Nakasone H.</t>
  </si>
  <si>
    <t>Bone Marrow Transplant. 2024 May 25. doi: 10.1038/s41409-024-02313-3. Online ahead of print.</t>
  </si>
  <si>
    <t>Antiviral T-Cell Frequencies in a Healthy Population: Reference Values for Evaluating Antiviral Immune Cell Profiles in Immunocompromised Patients</t>
  </si>
  <si>
    <t>Schulze Lammers FC, Bonifacius A, Tischer-Zimmermann S, Goudeva L, Martens J, Lepenies B, von Karpowitz M, Einecke G, Beutel G, Skripuletz T, Blasczyk R, Beier R, Maecker-Kolhoff B, Eiz-Vesper B.</t>
  </si>
  <si>
    <t>J Clin Immunol. 2022 Apr;42(3):546-558. doi: 10.1007/s10875-021-01205-1. Epub 2022 Jan 6.</t>
  </si>
  <si>
    <t>PMC9015970</t>
  </si>
  <si>
    <t>Tissue specific signature of HHV-6 infection in ME/CFS</t>
  </si>
  <si>
    <t>Kasimir F, Toomey D, Liu Z, Kaiping AC, Ariza ME, Prusty BK.</t>
  </si>
  <si>
    <t>Front Mol Biosci. 2022 Dec 14;9:1044964. doi: 10.3389/fmolb.2022.1044964. eCollection 2022.</t>
  </si>
  <si>
    <t>Front Mol Biosci</t>
  </si>
  <si>
    <t>PMC9795011</t>
  </si>
  <si>
    <t>Intracerebral opportunistic infections caused by immunosuppressants after orthotopic liver transplantation: Report of two cases and literature review</t>
  </si>
  <si>
    <t>Guo Y, Zhu Z, Cai W, Tao S, Yin D.</t>
  </si>
  <si>
    <t>Front Immunol. 2022 Dec 5;13:1003254. doi: 10.3389/fimmu.2022.1003254. eCollection 2022.</t>
  </si>
  <si>
    <t>PMC9762491</t>
  </si>
  <si>
    <t>Diverse tropism of HBLV (human herpesvirus 6)</t>
  </si>
  <si>
    <t>Lusso P, Salahuddin SZ, Ablashi DV, Gallo RC, Di Marzo Veronese F, Markham PD.</t>
  </si>
  <si>
    <t>Lancet. 1987 Sep 26;2(8561):743. doi: 10.1016/s0140-6736(87)91103-2.</t>
  </si>
  <si>
    <t>HHV-6 Myocarditis Progressing to Ventricular Standstill Requiring Cardiac Transplant</t>
  </si>
  <si>
    <t>Golob S, Nazeer H, Kadosh B, Goldberg R, Narula N, Moazami N, Rao S, Reyentovich A.</t>
  </si>
  <si>
    <t>JACC Case Rep. 2023 May 29;17:101896. doi: 10.1016/j.jaccas.2023.101896. eCollection 2023 Jul 5.</t>
  </si>
  <si>
    <t>JACC Case Rep</t>
  </si>
  <si>
    <t>PMC10366501</t>
  </si>
  <si>
    <t>Prospective, comprehensive, and effective viral monitoring in children undergoing allogeneic hematopoietic stem cell transplantation</t>
  </si>
  <si>
    <t>Schönberger S, Meisel R, Adams O, Pufal Y, Laws HJ, Enczmann J, Dilloo D.</t>
  </si>
  <si>
    <t>Biol Blood Marrow Transplant. 2010 Oct;16(10):1428-35. doi: 10.1016/j.bbmt.2010.04.008. Epub 2010 Apr 24.</t>
  </si>
  <si>
    <t>HHV6-Associated Hydrocephalus in a Pediatric Hematopoietic Stem Cell Transplant Recipient: An Unusual Presentation</t>
  </si>
  <si>
    <t>Al Nuaimi M, Al Khaaldi A, Trad O, Almulla A, Al Rufaye H, Ghatasheh G, Al Dhaheri F.</t>
  </si>
  <si>
    <t>J Pediatr Hematol Oncol. 2024 Jun 3. doi: 10.1097/MPH.0000000000002892. Online ahead of print.</t>
  </si>
  <si>
    <t>Human Herpesvirus-6 Infection and Calcineurin Inhibitor Pain Syndrome Interaction after Umbilical Cord Blood Transplant</t>
  </si>
  <si>
    <t>Yassa G, Varma A, Baptista J, Myers R, Reimer A, Forrest GN, Nathan S, Ustun C.</t>
  </si>
  <si>
    <t>Transplant Cell Ther. 2021 May;27(5):439-440. doi: 10.1016/j.jtct.2021.02.019. Epub 2021 Feb 25.</t>
  </si>
  <si>
    <t>Lymphotropic herpesviruses in allogeneic bone marrow transplantation</t>
  </si>
  <si>
    <t>Wang FZ, Dahl H, Linde A, Brytting M, Ehrnst A, Ljungman P.</t>
  </si>
  <si>
    <t>Blood. 1996 Nov 1;88(9):3615-20.</t>
  </si>
  <si>
    <t>Outcome of hematopoietic stem cell transplantation in severe combined immune deficiency with central nervous system viral infection</t>
  </si>
  <si>
    <t>Waruiru C, Slatter MA, Taylor C, Ramesh V, Flood TJ, Abinun M, Cant AJ, Gennery AR.</t>
  </si>
  <si>
    <t>Pediatr Infect Dis J. 2007 Feb;26(2):129-33. doi: 10.1097/01.inf.0000250621.46742.b5.</t>
  </si>
  <si>
    <t>A persistently febrile patient post-bone marrow transplant</t>
  </si>
  <si>
    <t>Rackow AR, Knezevic CE.</t>
  </si>
  <si>
    <t>J Mass Spectrom Adv Clin Lab. 2023 Jan 28;28:9-12. doi: 10.1016/j.jmsacl.2023.01.005. eCollection 2023 Apr.</t>
  </si>
  <si>
    <t>J Mass Spectrom Adv Clin Lab</t>
  </si>
  <si>
    <t>PMC9925957</t>
  </si>
  <si>
    <t>Risk factors and long-term outcomes for human herpesvirus 6 encephalitis in the early period after allogeneic stem cell transplantation</t>
  </si>
  <si>
    <t>Yu Y, Chen W, Fu H, Shi J, Luo Y, Yu J, Lai X, Liu L, Ye Y, Zhang C, Huang H, Zhao Y.</t>
  </si>
  <si>
    <t>Bone Marrow Transplant. 2024 Jun 27. doi: 10.1038/s41409-024-02332-0. Online ahead of print.</t>
  </si>
  <si>
    <t>Infectious Complications After Umbilical Cord Blood Transplantation for Hematological Malignancy</t>
  </si>
  <si>
    <t>Linder KA, McDonald PJ, Kauffman CA, Revankar SG, Chandrasekar PH, Miceli MH.</t>
  </si>
  <si>
    <t>Open Forum Infect Dis. 2019 Feb 22;6(2):ofz037. doi: 10.1093/ofid/ofz037. eCollection 2019 Feb.</t>
  </si>
  <si>
    <t>PMC6386816</t>
  </si>
  <si>
    <t>Herpesvirus infections in solid organ transplant patients at high risk of primary cytomegalovirus disease</t>
  </si>
  <si>
    <t>Razonable RR, Brown RA, Humar A, Covington E, Alecock E, Paya CV; PV16000 Study Group.</t>
  </si>
  <si>
    <t>J Infect Dis. 2005 Oct 15;192(8):1331-9. doi: 10.1086/466529. Epub 2005 Sep 14.</t>
  </si>
  <si>
    <t>Beta-herpesviruses in febrile children with cancer</t>
  </si>
  <si>
    <t>Yee-Guardino S, Gowans K, Yen-Lieberman B, Berk P, Kohn D, Wang FZ, Danziger-Isakov L, Sabella C, Worley S, Pellett PE, Goldfarb J.</t>
  </si>
  <si>
    <t>Emerg Infect Dis. 2008 Apr;14(4):579-85. doi: 10.3201/eid1404.070651.</t>
  </si>
  <si>
    <t>PMC2570945</t>
  </si>
  <si>
    <t>Antibody prevalence to HBLV (human herpesvirus-6, HHV-6) and suggestive pathogenicity in the general population and in patients with immune deficiency syndromes</t>
  </si>
  <si>
    <t>Krueger GR, Koch B, Ramon A, Ablashi DV, Salahuddin SZ, Josephs SF, Streicher HZ, Gallo RC, Habermann U.</t>
  </si>
  <si>
    <t>J Virol Methods. 1988 Sep;21(1-4):125-31. doi: 10.1016/0166-0934(88)90059-6.</t>
  </si>
  <si>
    <t>Human herpesvirus 6 encephalitis</t>
  </si>
  <si>
    <t>Gewurz BE, Marty FM, Baden LR, Katz JT.</t>
  </si>
  <si>
    <t>Curr Infect Dis Rep. 2008 Jul;10(4):292-9. doi: 10.1007/s11908-008-0048-1.</t>
  </si>
  <si>
    <t>Curr Infect Dis Rep</t>
  </si>
  <si>
    <t>Successful treatment of severe cytomegalovirus retinitis with foscarnet and intraocular injection of ganciclovir in a myelosuppressed unrelated bone marrow transplant patient</t>
  </si>
  <si>
    <t>Okamoto T, Okada M, Mori A, Saheki K, Takatsuka H, Wada H, Tamura A, Fujimori Y, Takemoto Y, Kanamaru A, Kakishita E.</t>
  </si>
  <si>
    <t>Bone Marrow Transplant. 1997 Nov;20(9):801-3. doi: 10.1038/sj.bmt.1700967.</t>
  </si>
  <si>
    <t>Large B cell lymphoma presenting initially in bone marrow, liver and spleen: an aggressive entity associated frequently with haemophagocytic syndrome</t>
  </si>
  <si>
    <t>Yeh YM, Chang KC, Chen YP, Kao LY, Tsai HP, Ho CL, Wang JR, Jones D, Chen TY.</t>
  </si>
  <si>
    <t>Histopathology. 2010 Dec;57(6):785-95. doi: 10.1111/j.1365-2559.2010.03709.x.</t>
  </si>
  <si>
    <t>Identification of human herpesvirus 6-specific DNA sequences in two patients with non-Hodgkin's lymphoma</t>
  </si>
  <si>
    <t>Jarrett RF, Gledhill S, Qureshi F, Crae SH, Madhok R, Brown I, Evans I, Krajewski A, O'Brien CJ, Cartwright RA, et al.</t>
  </si>
  <si>
    <t>Leukemia. 1988 Aug;2(8):496-502.</t>
  </si>
  <si>
    <t>Herpesvirus Infection in Patients Following Bone Marrow Transplantation: Influence of Viral Reactivation on Prognosis</t>
  </si>
  <si>
    <t>Takatsuka H, Takemoto Y, Yamada S, Mori A, Okada M, Wada H, Fujimori Y, Okamoto T, Kanamaru A, Kakishita E.</t>
  </si>
  <si>
    <t>Hematology. 2001;5(6):441-5. doi: 10.1080/10245332.2001.11746541.</t>
  </si>
  <si>
    <t>Hematology</t>
  </si>
  <si>
    <t>Neutrophils and lymphoid chimerism after adult living-related liver transplantation from a homozygous donor</t>
  </si>
  <si>
    <t>Hajeer AH, Issa S, Alaskar A, Abdullah K, Awad M, Tbakhi A, Alabdulkareem A.</t>
  </si>
  <si>
    <t>Transplant Proc. 2005 Dec;37(10):4386-8. doi: 10.1016/j.transproceed.2005.11.006.</t>
  </si>
  <si>
    <t>Identification of proteins specific for human herpesvirus 6-infected human T cells</t>
  </si>
  <si>
    <t>Balachandran N, Amelse RE, Zhou WW, Chang CK.</t>
  </si>
  <si>
    <t>J Virol. 1989 Jun;63(6):2835-40. doi: 10.1128/JVI.63.6.2835-2840.1989.</t>
  </si>
  <si>
    <t>PMC250791</t>
  </si>
  <si>
    <t>Human herpesvirus 6 encephalitis in a patient treated with everolimus for renal cell carcinoma</t>
  </si>
  <si>
    <t>Kokkali S, Oddou I, Gantzer J, Fitsiori A.</t>
  </si>
  <si>
    <t>J Oncol Pharm Pract. 2020 Dec;26(8):2052-2057. doi: 10.1177/1078155220918022. Epub 2020 Apr 16.</t>
  </si>
  <si>
    <t>[Early phase of HHV6 infection: role of IE1 and IE2 proteins]</t>
  </si>
  <si>
    <t>Gravel A, Tomoiu A, Flamand L.</t>
  </si>
  <si>
    <t>Virologie (Montrouge). 2007 Jun 1;11(3):181-193. doi: 10.1684/vir.2011.7729.</t>
  </si>
  <si>
    <t>Virologie (Montrouge)</t>
  </si>
  <si>
    <t>Human Herpes Virus-6 (HHV-6) infectious encephalitis in an immunocompetent adult</t>
  </si>
  <si>
    <t>Blackbourn L, Ahmad S, Yuan K, Uppu M, Kherallah B.</t>
  </si>
  <si>
    <t>IDCases. 2024 May 26;36:e01992. doi: 10.1016/j.idcr.2024.e01992. eCollection 2024.</t>
  </si>
  <si>
    <t>PMC11154619</t>
  </si>
  <si>
    <t>Increased Infections and Delayed CD4(+) T Cell but Faster B Cell Immune Reconstitution after Post-Transplantation Cyclophosphamide Compared to Conventional GVHD Prophylaxis in Allogeneic Transplantation</t>
  </si>
  <si>
    <t>Khimani F, Ranspach P, Elmariah H, Kim J, Whiting J, Nishihori T, Locke FL, Perez Perez A, Dean E, Mishra A, Perez L, Lazaryan A, Jain MD, Nieder M, Liu H, Faramand R, Hansen D, Alsina M, Ochoa L, Davila M, Anasetti C, Pidala J, Bejanyan N.</t>
  </si>
  <si>
    <t>Transplant Cell Ther. 2021 Nov;27(11):940-948. doi: 10.1016/j.jtct.2021.07.023. Epub 2021 Jul 28.</t>
  </si>
  <si>
    <t>Brief report: primary human herpesvirus 6 infection in a patient following liver transplantation from a seropositive donor</t>
  </si>
  <si>
    <t>Ward KN, Gray JJ, Efstathiou S.</t>
  </si>
  <si>
    <t>J Med Virol. 1989 Jun;28(2):69-72. doi: 10.1002/jmv.1890280203.</t>
  </si>
  <si>
    <t>Clinical and Histopathologic Characteristics of Acute Severe Hepatitis Associated With Human Herpesvirus 6 Infection</t>
  </si>
  <si>
    <t>Wang H, Vannilam A, Hafberg ET, Gillis LA, Kassardjian A, Naini BV, Prasad V, Kelly DR, Mroczek-Musulman EC, Knox K, Correa H, Liang J.</t>
  </si>
  <si>
    <t>Am J Surg Pathol. 2024 Jun 21. doi: 10.1097/PAS.0000000000002266. Online ahead of print.</t>
  </si>
  <si>
    <t>Betaherpesvirus Complications and Management During Hematopoietic Stem Cell Transplantation</t>
  </si>
  <si>
    <t>Adv Exp Med Biol. 2018;1045:251-270. doi: 10.1007/978-981-10-7230-7_12.</t>
  </si>
  <si>
    <t>Human herpesvirus 6 infection in a bone marrow biopsy specimen after allogeneic stem cell transplantation</t>
  </si>
  <si>
    <t>Yigit N, Mayer S, Geyer JT.</t>
  </si>
  <si>
    <t>Br J Haematol. 2015 Oct;171(2):154. doi: 10.1111/bjh.13573. Epub 2015 Jun 24.</t>
  </si>
  <si>
    <t>Erratum to: Human Herpesvirus 6 Reactivation Evaluated by Digital Polymerase Chain Reaction and Its Association With Dynamics of CD134-Positive T Cells After Allogeneic Hematopoietic Stem Cell Transplantation</t>
  </si>
  <si>
    <t>J Infect Dis. 2020 May 11;221(11):1917. doi: 10.1093/infdis/jiz625.</t>
  </si>
  <si>
    <t>EBV and HHV-6 Circulating Subtypes in People Living with HIV in Burkina Faso, Impact on CD4 T cell count and HIV Viral Load</t>
  </si>
  <si>
    <t>Traore L, Nikiema O, Ouattara AK, Compaore TR, Soubeiga ST, Diarra B, Obiri-Yeboah D, Sorgho PA, Djigma FW, Bisseye C, Yonli AT, Simpore J.</t>
  </si>
  <si>
    <t>Mediterr J Hematol Infect Dis. 2017 Sep 1;9(1):e2017049. doi: 10.4084/MJHID.2017.049. eCollection 2017.</t>
  </si>
  <si>
    <t>PMC5584768</t>
  </si>
  <si>
    <t>Characterizing the Cellular Immune Response to Parainfluenza Virus 3</t>
  </si>
  <si>
    <t>Aguayo-Hiraldo PI, Arasaratnam RJ, Tzannou I, Kuvalekar M, Lulla P, Naik S, Martinez CA, Piedra PA, Vera JF, Leen AM.</t>
  </si>
  <si>
    <t>J Infect Dis. 2017 Jul 15;216(2):153-161. doi: 10.1093/infdis/jix203.</t>
  </si>
  <si>
    <t>PMC5853958</t>
  </si>
  <si>
    <t>The development of new therapies for human herpesvirus 6</t>
  </si>
  <si>
    <t>Prichard MN, Whitley RJ.</t>
  </si>
  <si>
    <t>Curr Opin Virol. 2014 Dec;9:148-53. doi: 10.1016/j.coviro.2014.09.019. Epub 2014 Oct 22.</t>
  </si>
  <si>
    <t>PMC4267975</t>
  </si>
  <si>
    <t>NIHMS634253</t>
  </si>
  <si>
    <t>Rises in antibody to human herpesvirus 6 detected by enzyme immunoassay in transplant recipients with primary cytomegalovirus infection</t>
  </si>
  <si>
    <t>Chou SW, Scott KM.</t>
  </si>
  <si>
    <t>J Clin Microbiol. 1990 May;28(5):851-4. doi: 10.1128/jcm.28.5.851-854.1990.</t>
  </si>
  <si>
    <t>PMC267822</t>
  </si>
  <si>
    <t>Similarity Between Multiple Sclerosis and Idiopathic Central Nervous System Dysfunction After Bone Marrow Transplantation</t>
  </si>
  <si>
    <t>Yamada S, Takatsuka H, Takemoto Y, Mori A, Wada H, Fujimori Y, Okamoto T, Kanamaru A, Kakishita E.</t>
  </si>
  <si>
    <t>Hematology. 2001;6(2):125-9. doi: 10.1080/10245332.2001.11746562.</t>
  </si>
  <si>
    <t>A new way of identifying viral pathogens reactivating in cellular therapy products</t>
  </si>
  <si>
    <t>Cunningham AL, Micklethwaite K.</t>
  </si>
  <si>
    <t>Immunol Cell Biol. 2024 Mar;102(3):153-155. doi: 10.1111/imcb.12724. Epub 2024 Jan 18.</t>
  </si>
  <si>
    <t>Immunol Cell Biol</t>
  </si>
  <si>
    <t>Human Herpesvirus-6 Encephalitis After Hematopoietic Stem Cell Transplantation</t>
  </si>
  <si>
    <t>Kasberg-Koniarczyk HL.</t>
  </si>
  <si>
    <t>J Adv Pract Oncol. 2014 Sep-Oct;5(5):373-8. doi: 10.6004/jadpro.2014.5.5.8.</t>
  </si>
  <si>
    <t>J Adv Pract Oncol</t>
  </si>
  <si>
    <t>PMC4457176</t>
  </si>
  <si>
    <t>Transactivation of human immunodeficiency virus promoter by human herpesvirus 6</t>
  </si>
  <si>
    <t>Horvat RT, Wood C, Balachandran N.</t>
  </si>
  <si>
    <t>J Virol. 1989 Feb;63(2):970-3. doi: 10.1128/JVI.63.2.970-973.1989.</t>
  </si>
  <si>
    <t>PMC247777</t>
  </si>
  <si>
    <t>Evaluation of the AltoStar AM16 system for the quantitation of AdV, CMV and HHV-6 DNA from clinical specimens</t>
  </si>
  <si>
    <t>Fenaux H, Rafek R, Thouard 1st, Decombe G, Vieux-Combe C, Hottelet C, Sulla P 5th, Mouna L.</t>
  </si>
  <si>
    <t>J Virol Methods. 2024 Jul 4:114982. doi: 10.1016/j.jviromet.2024.114982. Online ahead of print.</t>
  </si>
  <si>
    <t>Corrigendum: Structural Models for Roseolovirus U20 And U21: Non-Classical MHC-I Like Proteins From HHV-6A, HHV-6B, and HHV-7</t>
  </si>
  <si>
    <t>Front Immunol. 2022 May 23;13:936968. doi: 10.3389/fimmu.2022.936968. eCollection 2022.</t>
  </si>
  <si>
    <t>PMC9169504</t>
  </si>
  <si>
    <t>Biologic properties of human herpesvirus 7 strain SB</t>
  </si>
  <si>
    <t>Black JB, Burns DA, Goldsmith CS, Feorino PM, Kite-Powell K, Schinazi RF, Krug PW, Pellett PE.</t>
  </si>
  <si>
    <t>Virus Res. 1997 Nov;52(1):25-41. doi: 10.1016/s0168-1702(97)00102-0.</t>
  </si>
  <si>
    <t>Case report: Acute liver failure in children and the human herpes virus 6-? A factor in the recent epidemic</t>
  </si>
  <si>
    <t>Warner S, Brown RM, Reynolds GM, Stamataki Z, Kelly DA.</t>
  </si>
  <si>
    <t>Front Pediatr. 2023 Apr 26;11:1143051. doi: 10.3389/fped.2023.1143051. eCollection 2023.</t>
  </si>
  <si>
    <t>Front Pediatr</t>
  </si>
  <si>
    <t>PMC10169701</t>
  </si>
  <si>
    <t>Ultrastructural study of human herpesvirus-7 replication in tissue culture</t>
  </si>
  <si>
    <t>Klussmann JP, Krueger E, Sloots T, Berneman Z, Arnold G, Krueger GR.</t>
  </si>
  <si>
    <t>Virchows Arch. 1997 May;430(5):417-26. doi: 10.1007/s004280050051.</t>
  </si>
  <si>
    <t>Virchows Arch</t>
  </si>
  <si>
    <t>Distinctive Infectious Complications in Patients with Central Nervous System Lymphoma Undergoing Thiotepa, Busulfan, and Cyclophosphamide-conditioned Autologous Stem Cell Transplantation</t>
  </si>
  <si>
    <t>Scordo M, Morjaria SM, Littmann ER, Bhatia A, Chung HH, Maloy M, DeAngelis LM, Giralt SA, Taur Y, Sauter CS.</t>
  </si>
  <si>
    <t>Biol Blood Marrow Transplant. 2018 Sep;24(9):1914-1919. doi: 10.1016/j.bbmt.2018.04.013. Epub 2018 Apr 18.</t>
  </si>
  <si>
    <t>PMC6163063</t>
  </si>
  <si>
    <t>NIHMS961753</t>
  </si>
  <si>
    <t>Viral Encephalitis after Hematopoietic Cell Transplantation: A Systematic Review</t>
  </si>
  <si>
    <t>Toomey D, Phan TL, Phan T, Hill JA, Zerr DM.</t>
  </si>
  <si>
    <t>Transplant Cell Ther. 2023 Oct;29(10):636.e1-636.e9. doi: 10.1016/j.jtct.2023.06.022. Epub 2023 Jul 6.</t>
  </si>
  <si>
    <t>Risk Factor and Long-Term Outcome Analyses for Acute Limbic Encephalitis and Calcineurin Inhibitor-Induced Encephalopathy in Adults following Allogeneic Hematopoietic Cell Transplantation</t>
  </si>
  <si>
    <t>Tanizawa N, Koh H, Okamura H, Yamamoto K, Makuuchi Y, Kuno M, Takakuwa T, Koh S, Nanno S, Nishimoto M, Hirose A, Nakamae M, Nakashima Y, Nakane T, Hino M, Nakamae H.</t>
  </si>
  <si>
    <t>Transplant Cell Ther. 2021 May;27(5):437.e1-437.e9. doi: 10.1016/j.jtct.2021.01.021. Epub 2021 Jan 28.</t>
  </si>
  <si>
    <t>Evaluation of an automated system for the quantitation of human Herpesvirus-6 DNA from clinical specimens</t>
  </si>
  <si>
    <t>Mah J, Huang C, Sahoo MK, Pinsky BA.</t>
  </si>
  <si>
    <t>Pract Lab Med. 2023 Aug 5;36:e00329. doi: 10.1016/j.plabm.2023.e00329. eCollection 2023 Aug.</t>
  </si>
  <si>
    <t>Pract Lab Med</t>
  </si>
  <si>
    <t>PMC10462668</t>
  </si>
  <si>
    <t>Hemophagocytic syndrome in renal transplant recipients: report of 17 cases and review of literature</t>
  </si>
  <si>
    <t>Karras A, Thervet E, Legendre C; Groupe Coopératif de transplantation d'Ile de France.</t>
  </si>
  <si>
    <t>Transplantation. 2004 Jan 27;77(2):238-43. doi: 10.1097/01.TP.0000107285.86939.37.</t>
  </si>
  <si>
    <t>Serum Soluble OX40 as a Diagnostic and Prognostic Biomarker for Drug-Induced Hypersensitivity Syndrome/Drug Reaction with Eosinophilia and Systemic Symptoms</t>
  </si>
  <si>
    <t>Mitsui Y, Shinkuma S, Nakamura-Nishimura Y, Ommori R, Ogawa K, Miyagawa F, Mori Y, Tohyama M, Asada H.</t>
  </si>
  <si>
    <t>J Allergy Clin Immunol Pract. 2022 Feb;10(2):558-565.e4. doi: 10.1016/j.jaip.2021.10.042. Epub 2021 Oct 28.</t>
  </si>
  <si>
    <t>A Prospective Viral Monitoring Study After Pediatric Allogeneic Hematopoietic Stem Cell Transplantation for Malignant and Nonmalignant Diseases</t>
  </si>
  <si>
    <t>Yamada M, Sakamoto K, Tomizawa D, Ishikawa Y, Matsui T, Gocho Y, Sakaguchi H, Kato M, Osumi T, Imadome KI.</t>
  </si>
  <si>
    <t>Transplant Cell Ther. 2021 Oct;27(10):872.e1-872.e8. doi: 10.1016/j.jtct.2021.07.014. Epub 2021 Jul 21.</t>
  </si>
  <si>
    <t>Retraction to: A complex evolutionary relationship between HHV-6A and HHV-6B</t>
  </si>
  <si>
    <t>Virus Evol. 2019 Nov 23;5(2):vez054. doi: 10.1093/ve/vez054. eCollection 2019 Jul.</t>
  </si>
  <si>
    <t>PMC6874833</t>
  </si>
  <si>
    <t>Virus reactivations after autologous hematopoietic stem cell transplantation detected by multiplex PCR assay</t>
  </si>
  <si>
    <t>Inazawa N, Hori T, Nojima M, Saito M, Igarashi K, Yamamoto M, Shimizu N, Yoto Y, Tsutsumi H.</t>
  </si>
  <si>
    <t>J Med Virol. 2017 Feb;89(2):358-362. doi: 10.1002/jmv.24621. Epub 2016 Jul 27.</t>
  </si>
  <si>
    <t>Isolation and identification of human herpesvirus 7 from an infant with exanthem subitum</t>
  </si>
  <si>
    <t>Chua KB, Lam SK, AbuBakar S.</t>
  </si>
  <si>
    <t>Med J Malaysia. 1998 Sep;53(3):296-301.</t>
  </si>
  <si>
    <t>Betaherpes viral genes and their functions</t>
  </si>
  <si>
    <t>Mocarski Jr. E S.</t>
  </si>
  <si>
    <t>In: Arvin A, Campadelli-Fiume G, Mocarski E, Moore PS, Roizman B, Whitley R, Yamanishi K, editors. Human Herpesviruses: Biology, Therapy, and Immunoprophylaxis. Cambridge: Cambridge University Press; 2007. Chapter 15.</t>
  </si>
  <si>
    <t>Mocarski Jr. E S</t>
  </si>
  <si>
    <t>Letter to the Editor Regarding "Once-Daily Foscarnet Is Effective for Human Herpesvirus 6 Reactivation after Hematopoietic Stem Cell Transplantation"</t>
  </si>
  <si>
    <t>Handley G, Pasikhova Y, Hill JA.</t>
  </si>
  <si>
    <t>Transplant Cell Ther. 2023 Oct;29(10):645-646. doi: 10.1016/j.jtct.2023.08.002. Epub 2023 Aug 4.</t>
  </si>
  <si>
    <t>High incidence of cytomegalovirus, human herpesvirus-6, and Epstein-Barr virus reactivation in patients receiving cytotoxic chemotherapy for adult T cell leukemia</t>
  </si>
  <si>
    <t>Ogata M, Satou T, Kawano R, Yoshikawa T, Ikewaki J, Kohno K, Ando T, Miyazaki Y, Ohtsuka E, Saburi Y, Kikuchi H, Saikawa T, Kadota J.</t>
  </si>
  <si>
    <t>J Med Virol. 2011 Apr;83(4):702-9. doi: 10.1002/jmv.22013.</t>
  </si>
  <si>
    <t>Roseoloviruses: unmet needs and research priorities: perspective</t>
  </si>
  <si>
    <t>Caserta MT, Krug LT, Pellett PE.</t>
  </si>
  <si>
    <t>Curr Opin Virol. 2014 Dec;9:167-9. doi: 10.1016/j.coviro.2014.10.005. Epub 2014 Nov 14.</t>
  </si>
  <si>
    <t>MxA expression in patients with viral infection after allogeneic stem cell transplantation</t>
  </si>
  <si>
    <t>Yoshimasu T, Manabe A, Ebihara Y, Tanaka R, Ooi J, Iseki T, Shirafuji N, Maekawa T, Asano S, Yoshikawa N, Tsuji K.</t>
  </si>
  <si>
    <t>Bone Marrow Transplant. 2003 Aug;32(3):313-6. doi: 10.1038/sj.bmt.1704128.</t>
  </si>
  <si>
    <t>Nervous system viral infections in immunocompromised hosts</t>
  </si>
  <si>
    <t>Pruitt AA.</t>
  </si>
  <si>
    <t>Handb Clin Neurol. 2014;123:685-704. doi: 10.1016/B978-0-444-53488-0.00034-1.</t>
  </si>
  <si>
    <t>Handb Clin Neurol</t>
  </si>
  <si>
    <t>Frequent isolation of human herpesvirus 7 from saliva</t>
  </si>
  <si>
    <t>Black JB, Inoue N, Kite-Powell K, Zaki S, Pellett PE.</t>
  </si>
  <si>
    <t>Virus Res. 1993 Jul;29(1):91-8. doi: 10.1016/0168-1702(93)90128-a.</t>
  </si>
  <si>
    <t>A Case of Aplastic Anemia and Colon Cancer With Underlying Spliceosome Mutation: Is It an Incidental Finding or a Novel Association?</t>
  </si>
  <si>
    <t>Thurlapati A, Boudreaux K, Guntupalli S, Mansour RP, Bhayani S.</t>
  </si>
  <si>
    <t>Cureus. 2022 Feb 26;14(2):e22632. doi: 10.7759/cureus.22632. eCollection 2022 Feb.</t>
  </si>
  <si>
    <t>PMC8960534</t>
  </si>
  <si>
    <t>Viral reactivations and associated outcomes in the context of immune reconstitution after pediatric hematopoietic cell transplantation</t>
  </si>
  <si>
    <t>Admiraal R, de Koning CCH, Lindemans CA, Bierings MB, Wensing AMJ, Versluys AB, Wolfs TFW, Nierkens S, Boelens JJ.</t>
  </si>
  <si>
    <t>J Allergy Clin Immunol. 2017 Dec;140(6):1643-1650.e9. doi: 10.1016/j.jaci.2016.12.992. Epub 2017 Apr 7.</t>
  </si>
  <si>
    <t>J Allergy Clin Immunol</t>
  </si>
  <si>
    <t>The iciHHV-6 sense: sensing the source and relevance of human herpesvirus 6 (HHV-6) DNA in the transplant recipient with inherited chromosomally integrated HHV-6</t>
  </si>
  <si>
    <t>Heldman MR, Greninger AL, Hill JA.</t>
  </si>
  <si>
    <t>J Infect Dis. 2024 May 21:jiae269. doi: 10.1093/infdis/jiae269. Online ahead of print.</t>
  </si>
  <si>
    <t>Drug monitoring for mycophenolic acid in graft-vs-host disease prophylaxis in cord blood transplantation</t>
  </si>
  <si>
    <t>Muranushi H, Kanda J, Arai Y, Shindo T, Hishizawa M, Yamamoto T, Kondo T, Yamashita K, Matsubara K, Takaori-Kondo A.</t>
  </si>
  <si>
    <t>Br J Clin Pharmacol. 2020 Dec;86(12):2464-2472. doi: 10.1111/bcp.14354. Epub 2020 May 30.</t>
  </si>
  <si>
    <t>Br J Clin Pharmacol</t>
  </si>
  <si>
    <t>PMC7688537</t>
  </si>
  <si>
    <t>Intra-monocyte pathogens delineate autism subgroups</t>
  </si>
  <si>
    <t>Binstock T.</t>
  </si>
  <si>
    <t>Med Hypotheses. 2001 Apr;56(4):523-31. doi: 10.1054/mehy.2000.1247.</t>
  </si>
  <si>
    <t>Med Hypotheses</t>
  </si>
  <si>
    <t>Cytomegalovirus ventriculoencephalitis in a reduced- intensity conditioning cord blood transplant recipient</t>
  </si>
  <si>
    <t>Ando T, Mitani N, Yamashita K, Takahashi T, Ohama E, Miyata H, Yujiri T, Tanizawa Y.</t>
  </si>
  <si>
    <t>Transpl Infect Dis. 2010 Oct;12(5):441-5. doi: 10.1111/j.1399-3062.2010.00503.x.</t>
  </si>
  <si>
    <t>Molecular diagnosis and management of viral infections in hematopoietic stem cell transplant recipients</t>
  </si>
  <si>
    <t>Breuer S, Rauch M, Matthes-Martin S, Lion T.</t>
  </si>
  <si>
    <t>Mol Diagn Ther. 2012 Apr 1;16(2):63-77. doi: 10.1007/BF03256431.</t>
  </si>
  <si>
    <t>Mol Diagn Ther</t>
  </si>
  <si>
    <t>Disarming Cellular Alarm Systems-Manipulation of Stress-Induced NKG2D Ligands by Human Herpesviruses</t>
  </si>
  <si>
    <t>Schmiedel D, Mandelboim O.</t>
  </si>
  <si>
    <t>Front Immunol. 2017 Apr 11;8:390. doi: 10.3389/fimmu.2017.00390. eCollection 2017.</t>
  </si>
  <si>
    <t>PMC5387052</t>
  </si>
  <si>
    <t>High Prevalence of Infectious Adeno-associated Virus (AAV) in Human Peripheral Blood Mononuclear Cells Indicative of T Lymphocytes as Sites of AAV Persistence</t>
  </si>
  <si>
    <t>Hüser D, Khalid D, Lutter T, Hammer EM, Weger S, Heßler M, Kalus U, Tauchmann Y, Hensel-Wiegel K, Lassner D, Heilbronn R.</t>
  </si>
  <si>
    <t>J Virol. 2017 Jan 31;91(4):e02137-16. doi: 10.1128/JVI.02137-16. Print 2017 Feb 15.</t>
  </si>
  <si>
    <t>PMC5286889</t>
  </si>
  <si>
    <t>Molecular monitoring of viral infections after hematopoietic stem cell transplantation</t>
  </si>
  <si>
    <t>Int J Hematol. 2010 May;91(4):596-601. doi: 10.1007/s12185-010-0570-4. Epub 2010 Apr 23.</t>
  </si>
  <si>
    <t>Comparison of Droplet Digital PCR and Metagenomic Next-Generation Sequencing Methods for the Detection of Human Herpesvirus 6B Infection Using Cell-Free DNA from Patients Receiving CAR-T and Hematopoietic Stem Cell Transplantation</t>
  </si>
  <si>
    <t>Meng J, Ji H, Chen L, Liu A.</t>
  </si>
  <si>
    <t>Infect Drug Resist. 2022 Sep 9;15:5353-5364. doi: 10.2147/IDR.S379439. eCollection 2022.</t>
  </si>
  <si>
    <t>PMC9469937</t>
  </si>
  <si>
    <t>DRESS syndrome</t>
  </si>
  <si>
    <t>Descamps V, Ranger-Rogez S.</t>
  </si>
  <si>
    <t>Joint Bone Spine. 2014 Jan;81(1):15-21. doi: 10.1016/j.jbspin.2013.05.002. Epub 2013 Jun 29.</t>
  </si>
  <si>
    <t>Joint Bone Spine</t>
  </si>
  <si>
    <t>Fulminant type 1 diabetes caused by DIHS could be affected by the reactivation of HHV-6</t>
  </si>
  <si>
    <t>Makino H, Tohyama M, Kawamura R, Takata Y, Osawa H, Onuma H.</t>
  </si>
  <si>
    <t>J Clin Endocrinol Metab. 2024 Jan 31:dgae058. doi: 10.1210/clinem/dgae058. Online ahead of print.</t>
  </si>
  <si>
    <t>J Clin Endocrinol Metab</t>
  </si>
  <si>
    <t>The pathogenesis of hepatitis C virus is influenced by cytomegalovirus</t>
  </si>
  <si>
    <t>Razonable RR, Burak KW, van Cruijsen H, Brown RA, Charlton MR, Smith TF, Espy MJ, Kremers W, Wilson JA, Groettum C, Wiesner R, Paya CV.</t>
  </si>
  <si>
    <t>Clin Infect Dis. 2002 Oct 15;35(8):974-81. doi: 10.1086/342911. Epub 2002 Sep 26.</t>
  </si>
  <si>
    <t>Enhancement of natural killer cell cytotoxicity by the human herpesvirus-7 via IL-15 induction</t>
  </si>
  <si>
    <t>Atedzoe BN, Ahmad A, Menezes J.</t>
  </si>
  <si>
    <t>J Immunol. 1997 Nov 15;159(10):4966-72.</t>
  </si>
  <si>
    <t>Detection of herpesvirus and adenovirus co-infections with diagnostic DNA-microarrays</t>
  </si>
  <si>
    <t>Müller R, Ditzen A, Hille K, Stichling M, Ehricht R, Illmer T, Ehninger G, Rohayem J.</t>
  </si>
  <si>
    <t>J Virol Methods. 2009 Feb;155(2):161-6. doi: 10.1016/j.jviromet.2008.10.014. Epub 2008 Dec 2.</t>
  </si>
  <si>
    <t>Alphatorquevirus is the most prevalent virus identified in blood from a matched maternal-infant preterm cohort</t>
  </si>
  <si>
    <t>Sloan P, Rodriguez C, Bedell BA, Murray J, Dagle J, Ryckman K, Holtz L.</t>
  </si>
  <si>
    <t>J Matern Fetal Neonatal Med. 2022 May;35(9):1636-1642. doi: 10.1080/14767058.2020.1763298. Epub 2020 May 13.</t>
  </si>
  <si>
    <t>PMC8529647</t>
  </si>
  <si>
    <t>NIHMS1745796</t>
  </si>
  <si>
    <t>Adoptive immunotherapy for primary immunodeficiency disorders with virus-specific T lymphocytes</t>
  </si>
  <si>
    <t>Naik S, Nicholas SK, Martinez CA, Leen AM, Hanley PJ, Gottschalk SM, Rooney CM, Hanson IC, Krance RA, Shpall EJ, Cruz CR, Amrolia P, Lucchini G, Bunin N, Heimall J, Klein OR, Gennery AR, Slatter MA, Vickers MA, Orange JS, Heslop HE, Bollard CM, Keller MD.</t>
  </si>
  <si>
    <t>J Allergy Clin Immunol. 2016 May;137(5):1498-1505.e1. doi: 10.1016/j.jaci.2015.12.1311. Epub 2016 Feb 24.</t>
  </si>
  <si>
    <t>PMC4860050</t>
  </si>
  <si>
    <t>NIHMS754303</t>
  </si>
  <si>
    <t>Hippocampal Atrophy in Pediatric Transplant Recipients with Human Herpesvirus 6B</t>
  </si>
  <si>
    <t>Miyake M, Kawamura Y, Ishihara N, Suzuki S, Miura H, Sakaguchi Y, Tanaka M, Takahashi Y, Kojima S, Toyama H, Natsume J, Yoshikawa T.</t>
  </si>
  <si>
    <t>Microorganisms. 2021 Apr 8;9(4):776. doi: 10.3390/microorganisms9040776.</t>
  </si>
  <si>
    <t>PMC8068176</t>
  </si>
  <si>
    <t>Ultrastructural characterization of a new human B lymphotropic DNA virus (human herpesvirus 6) isolated from patients with lymphoproliferative disease</t>
  </si>
  <si>
    <t>Biberfeld P, Kramarsky B, Salahuddin SZ, Gallo RC.</t>
  </si>
  <si>
    <t>J Natl Cancer Inst. 1987 Nov;79(5):933-41.</t>
  </si>
  <si>
    <t>J Natl Cancer Inst</t>
  </si>
  <si>
    <t>Case report: Acute HHV6B encephalitis/myelitis post CAR-T cell therapy in patients with relapsed/refractory aggressive B-cell lymphoma</t>
  </si>
  <si>
    <t>Li N, Zhang R, Wang J, Zhu X, Meng F, Cao Y, Wang G, Yang Y.</t>
  </si>
  <si>
    <t>Front Neurol. 2024 Feb 29;15:1334000. doi: 10.3389/fneur.2024.1334000. eCollection 2024.</t>
  </si>
  <si>
    <t>Front Neurol</t>
  </si>
  <si>
    <t>PMC10937551</t>
  </si>
  <si>
    <t>[Viral infection and its causative role for chronic fatigue syndrome]</t>
  </si>
  <si>
    <t>Okano M.</t>
  </si>
  <si>
    <t>Nihon Rinsho. 1992 Nov;50(11):2617-24.</t>
  </si>
  <si>
    <t>Viral encephalitis after allogeneic stem cell transplantation: a rare complication with distinct characteristics of different causative agents</t>
  </si>
  <si>
    <t>Schmidt-Hieber M, Schwender J, Heinz WJ, Zabelina T, Kühl JS, Mousset S, Schüttrumpf S, Junghanss C, Silling G, Basara N, Neuburger S, Thiel E, Blau IW.</t>
  </si>
  <si>
    <t>Haematologica. 2011 Jan;96(1):142-9. doi: 10.3324/haematol.2010.029876. Epub 2010 Sep 17.</t>
  </si>
  <si>
    <t>PMC3012778</t>
  </si>
  <si>
    <t>[Human herpesvirus 6 (HHV-6): incidence in healthy blood donors and in patients with acute infections caused by other herpes viruses]</t>
  </si>
  <si>
    <t>Larcher C, Huemer HP, Hönlinger M, Margreiter R, Dierich MP.</t>
  </si>
  <si>
    <t>Wien Klin Wochenschr. 1989 Jun 23;101(13):448-50.</t>
  </si>
  <si>
    <t>Wien Klin Wochenschr</t>
  </si>
  <si>
    <t>Herpesviruses in the oral cavity of patients subjected to allogeneic hematopoietic stem cell transplantation and its relationship with oral mucositis</t>
  </si>
  <si>
    <t>Miranda-Silva W, Knebel FH, Tozetto-Mendozo TR, Palmieri M, da Fonseca FP, Camargo AA, Braz-Silva PH, Fregnani ER.</t>
  </si>
  <si>
    <t>Clin Oral Investig. 2020 Oct;24(10):3597-3608. doi: 10.1007/s00784-020-03234-3. Epub 2020 Feb 8.</t>
  </si>
  <si>
    <t>Clin Oral Investig</t>
  </si>
  <si>
    <t>Could other viruses cause pediatric posttransplant lymphoproliferative disorder?</t>
  </si>
  <si>
    <t>Vila L, Moreno L, Andrés MM, Fernández JM, Verdeguer A, Pérez-Valle S, Sangüesa C, Berbel O, Castel V.</t>
  </si>
  <si>
    <t>Clin Transl Oncol. 2008 Jul;10(7):422-5. doi: 10.1007/s12094-008-0225-6.</t>
  </si>
  <si>
    <t>Clin Transl Oncol</t>
  </si>
  <si>
    <t>Agranulocytosis-complicated DRESS with medullar HHV-6 replication</t>
  </si>
  <si>
    <t>Lehericey M, Tétart F, Carvalho P, Bauvin O, Hervouet C, Joly P, Hébert V.</t>
  </si>
  <si>
    <t>Clin Case Rep. 2020 Jun 26;8(10):1928-1931. doi: 10.1002/ccr3.3033. eCollection 2020 Oct.</t>
  </si>
  <si>
    <t>Clin Case Rep</t>
  </si>
  <si>
    <t>PMC7562847</t>
  </si>
  <si>
    <t>Metagenomic Next-Generation Sequencing for Identification and Quantitation of Transplant-Related DNA Viruses</t>
  </si>
  <si>
    <t>Carpenter ML, Tan SK, Watson T, Bacher R, Nagesh V, Watts A, Bentley G, Weber J, Huang C, Sahoo MK, Hinterwirth A, Doan T, Carter T, Dong Q, Gourguechon S, Harness E, Kermes S, Radhakrishnan S, Wang G, Quiroz-Zárate A, Ching J, Pinsky BA.</t>
  </si>
  <si>
    <t>J Clin Microbiol. 2019 Nov 22;57(12):e01113-19. doi: 10.1128/JCM.01113-19. Print 2019 Dec.</t>
  </si>
  <si>
    <t>PMC6879295</t>
  </si>
  <si>
    <t>Oral shedding of herpesviruses and clinical outcomes in hematopoietic stem cell transplant patients</t>
  </si>
  <si>
    <t>Miranda-Silva W, de Molla VC, Knebel FH, Tozetto-Mendoza TR, Arrais-Rodrigues C, Camargo AA, Braz-Silva PH, Fregnani ER.</t>
  </si>
  <si>
    <t>Oral Dis. 2023 Mar;29(2):815-826. doi: 10.1111/odi.14022. Epub 2021 Sep 28.</t>
  </si>
  <si>
    <t>Anti-CMV-IgG positivity of donors is beneficial for alloHSCT recipients with respect to the better short-term immunological recovery and high level of CD4+CD25high lymphocytes</t>
  </si>
  <si>
    <t>Jaskula E, Dlubek D, Tarnowska A, Lange J, Mordak-Domagala M, Suchnicki K, Sedzimirska M, Borowik A, Mizia S, Lange A.</t>
  </si>
  <si>
    <t>Viruses. 2015 Mar 23;7(3):1391-408. doi: 10.3390/v7031391.</t>
  </si>
  <si>
    <t>PMC4379577</t>
  </si>
  <si>
    <t>Low cytomegalovirus seroprevalence in early multiple sclerosis: a case for the 'hygiene hypothesis'?</t>
  </si>
  <si>
    <t>Alari-Pahissa E, Moreira A, Zabalza A, Alvarez-Lafuente R, Munteis E, Vera A, Arroyo R, Alvarez-Cermeño JC, Villar LM, López-Botet M, Martínez-Rodríguez JE.</t>
  </si>
  <si>
    <t>Eur J Neurol. 2018 Jul;25(7):925-933. doi: 10.1111/ene.13622. Epub 2018 Apr 15.</t>
  </si>
  <si>
    <t>Eur J Neurol</t>
  </si>
  <si>
    <t>Kidney transplant after hematopoietic cell transplant in pediatrics: Infectious and immunosuppressive considerations</t>
  </si>
  <si>
    <t>Ebens CL, Smith AR, Verghese PS.</t>
  </si>
  <si>
    <t>Pediatr Transplant. 2017 Aug;21(5). doi: 10.1111/petr.12929. Epub 2017 Apr 27.</t>
  </si>
  <si>
    <t>Simultaneous Quantification of the 8 Human Herpesviruses in Allogeneic Hematopoietic Stem Cell Transplantation</t>
  </si>
  <si>
    <t>Gomes de Oliveira PG, Ueda MY, Real JM, de Sá Moreira E, Rodrigues de Oliveira JS, Gonçalves MV, Ginani VC, de Oliveira Felix OM, Seber A, Novis Y, Rocha V, Granato CF, Arrais-Rodrigues C.</t>
  </si>
  <si>
    <t>Transplantation. 2016 Jun;100(6):1363-70. doi: 10.1097/TP.0000000000000986.</t>
  </si>
  <si>
    <t>Correlation Between Expression of CD134, a Human Herpesvirus 6 Cellular Receptor, on CD4+ T cells and Th2-type Immune Responses in Drug-induced Hypersensitivity Syndrome/Drug Reaction with Eosinophilia and Systemic Symptoms</t>
  </si>
  <si>
    <t>Miyagawa F, Nakamura-Nishimura Y, Kanatani Y, Asada H.</t>
  </si>
  <si>
    <t>Acta Derm Venereol. 2020 Mar 31;100(6):adv00102. doi: 10.2340/00015555-3465.</t>
  </si>
  <si>
    <t>PMC9128879</t>
  </si>
  <si>
    <t>Kinetics of Double-Stranded DNA Viremia After Allogeneic Hematopoietic Cell Transplantation</t>
  </si>
  <si>
    <t>Hill JA, Mayer BT, Xie H, Leisenring WM, Huang ML, Stevens-Ayers T, Milano F, Delaney C, Jerome KR, Zerr DM, Nichols G, Boeckh M, Schiffer JT.</t>
  </si>
  <si>
    <t>Clin Infect Dis. 2018 Jan 18;66(3):368-375. doi: 10.1093/cid/cix804.</t>
  </si>
  <si>
    <t>PMC5850428</t>
  </si>
  <si>
    <t>Cytomegalovirus and Langerhans Cell Histiocytosis: Is There a Link?</t>
  </si>
  <si>
    <t>Khoddami M, Nadji SA, Dehghanian P, Vahdatinia M, Shamshiri AR.</t>
  </si>
  <si>
    <t>Iran J Pediatr. 2016 Feb 27;26(2):e673. doi: 10.5812/ijp.673. eCollection 2016 Apr.</t>
  </si>
  <si>
    <t>Iran J Pediatr</t>
  </si>
  <si>
    <t>PMC4904486</t>
  </si>
  <si>
    <t>Detection of parvovirus B19 and human herpesvirus 6 in pediatric dilated cardiomyopathy: Impact after heart transplantation</t>
  </si>
  <si>
    <t>Das BB, Prusty BK, Niu J, Huang ML, Zhu H, Eliassen E, Kuypers JM, Jerome KR.</t>
  </si>
  <si>
    <t>Ann Pediatr Cardiol. 2020 Oct-Dec;13(4):301-308. doi: 10.4103/apc.APC_124_19. Epub 2020 Sep 1.</t>
  </si>
  <si>
    <t>Ann Pediatr Cardiol</t>
  </si>
  <si>
    <t>PMC7727911</t>
  </si>
  <si>
    <t>Immediate–early viral gene regulation and function</t>
  </si>
  <si>
    <t>Stinski MF, Meier JL.</t>
  </si>
  <si>
    <t>In: Arvin A, Campadelli-Fiume G, Mocarski E, Moore PS, Roizman B, Whitley R, Yamanishi K, editors. Human Herpesviruses: Biology, Therapy, and Immunoprophylaxis. Cambridge: Cambridge University Press; 2007. Chapter 17.</t>
  </si>
  <si>
    <t>First-Onset Herpesviral Infection and Lung Injury in Allogeneic Hematopoietic Cell Transplantation</t>
  </si>
  <si>
    <t>Zhou X, O'Dwyer DN, Xia M, Miller HK, Chan PR, Trulik K, Chadwick MM, Hoffman TC, Bulte C, Sekerak K, Wilke CA, Patel SJ, Yokoyama WM, Murray S, Yanik GA, Moore BB.</t>
  </si>
  <si>
    <t>Am J Respir Crit Care Med. 2019 Jul 1;200(1):63-74. doi: 10.1164/rccm.201809-1635OC.</t>
  </si>
  <si>
    <t>Am J Respir Crit Care Med</t>
  </si>
  <si>
    <t>PMC6603051</t>
  </si>
  <si>
    <t>Infections in solid organ transplant recipients</t>
  </si>
  <si>
    <t>Curr Opin Infect Dis. 2000 Aug;13(4):343-347. doi: 10.1097/00001432-200008000-00003.</t>
  </si>
  <si>
    <t>Human herpesvirus 7 infection increases the expression levels of CD46 and CD59 in target cells</t>
  </si>
  <si>
    <t>Takemoto M, Yamanishi K, Mori Y.</t>
  </si>
  <si>
    <t>J Gen Virol. 2007 May;88(Pt 5):1415-1422. doi: 10.1099/vir.0.82394-0.</t>
  </si>
  <si>
    <t>Co-Infections by Double-Stranded DNA Viruses after Ex Vivo T Cell-Depleted, CD34(+) Selected Hematopoietic Cell Transplantation</t>
  </si>
  <si>
    <t>Huang YT, Kim SJ, Lee YJ, Burack D, Nichols P, Maloy M, Perales MA, Giralt SA, Jakubowski AA, Papanicolaou GA.</t>
  </si>
  <si>
    <t>Biol Blood Marrow Transplant. 2017 Oct;23(10):1759-1766. doi: 10.1016/j.bbmt.2017.06.008. Epub 2017 Jun 28.</t>
  </si>
  <si>
    <t>PMC5633047</t>
  </si>
  <si>
    <t>NIHMS899548</t>
  </si>
  <si>
    <t>Reactivation of human herpesviruses after allogeneic peripheral blood stem cell transplantation and bone marrow transplantation</t>
  </si>
  <si>
    <t>Maeda Y, Teshima T, Yamada M, Harada M.</t>
  </si>
  <si>
    <t>Leuk Lymphoma. 2000 Oct;39(3-4):229-39. doi: 10.3109/10428190009065823.</t>
  </si>
  <si>
    <t>Impact on early outcomes and immune reconstitution of high-dose post-transplant cyclophosphamide vs anti-thymocyte globulin after reduced intensity conditioning peripheral blood stem cell allogeneic transplantation</t>
  </si>
  <si>
    <t>Retière C, Willem C, Guillaume T, Vié H, Gautreau-Rolland L, Scotet E, Saulquin X, Gagne K, Béné MC, Imbert BM, Clemenceau B, Peterlin P, Garnier A, Chevallier P.</t>
  </si>
  <si>
    <t>Oncotarget. 2018 Jan 27;9(14):11451-11464. doi: 10.18632/oncotarget.24328. eCollection 2018 Feb 20.</t>
  </si>
  <si>
    <t>PMC5837739</t>
  </si>
  <si>
    <t>DNA viral infections complicating lung transplantation</t>
  </si>
  <si>
    <t>Clark NM, Lynch JP 3rd, Sayah D, Belperio JA, Fishbein MC, Weigt SS.</t>
  </si>
  <si>
    <t>Semin Respir Crit Care Med. 2013 Jun;34(3):380-404. doi: 10.1055/s-0033-1348473. Epub 2013 Jul 2.</t>
  </si>
  <si>
    <t>Semin Respir Crit Care Med</t>
  </si>
  <si>
    <t>Pericardial Effusion Following Hematopoietic Cell Transplantation in Children and Young Adults Is Associated with Increased Risk of Mortality</t>
  </si>
  <si>
    <t>Cox K, Punn R, Weiskopf E, Pinsky BA, Kharbanda S.</t>
  </si>
  <si>
    <t>Biol Blood Marrow Transplant. 2017 Jul;23(7):1165-1169. doi: 10.1016/j.bbmt.2017.03.028. Epub 2017 Apr 5.</t>
  </si>
  <si>
    <t>Postinfectious chronic fatigue syndrome: case history of thirty-five patients in Germany</t>
  </si>
  <si>
    <t>Hilgers A, Krueger GR, Lembke U, Ramon A.</t>
  </si>
  <si>
    <t>In Vivo. 1991 May-Jun;5(3):201-5.</t>
  </si>
  <si>
    <t>Solved the enigma of pediatric severe acute hepatitis of unknown origin?</t>
  </si>
  <si>
    <t>Rodriguez-Frias F, Rando-Segura A, Quer J.</t>
  </si>
  <si>
    <t>Front Cell Infect Microbiol. 2023 Sep 21;13:1175996. doi: 10.3389/fcimb.2023.1175996. eCollection 2023.</t>
  </si>
  <si>
    <t>PMC10552268</t>
  </si>
  <si>
    <t>CD3(+)TCRαβ/CD19(+)-Depleted Mismatched Family or Unrelated Donor Salvage Stem Cell Transplantation for Graft Dysfunction in Inborn Errors of Immunity</t>
  </si>
  <si>
    <t>Ramanathan S, Lum SH, Nademi Z, Carruthers K, Watson H, Flood T, Owens S, Williams E, Hambleton S, Gennery AR, Slatter M.</t>
  </si>
  <si>
    <t>Transplant Cell Ther. 2023 Aug;29(8):513.e1-513.e9. doi: 10.1016/j.jtct.2023.05.019. Epub 2023 Jun 4.</t>
  </si>
  <si>
    <t>Hepatic necrosis associated with drug-induced hypersensitivity syndrome</t>
  </si>
  <si>
    <t>de Campos FPF, de Lima PP, Maragno L, Watanabe FT.</t>
  </si>
  <si>
    <t>Autops Case Rep. 2012 Dec 31;2(4):5-14. doi: 10.4322/acr.2012.029. eCollection 2012 Oct-Dec.</t>
  </si>
  <si>
    <t>Autops Case Rep</t>
  </si>
  <si>
    <t>PMC6735577</t>
  </si>
  <si>
    <t>Idiopathic pneumonia syndrome after hematopoietic cell transplantation: evidence of occult infectious etiologies</t>
  </si>
  <si>
    <t>Seo S, Renaud C, Kuypers JM, Chiu CY, Huang ML, Samayoa E, Xie H, Yu G, Fisher CE, Gooley TA, Miller S, Hackman RC, Myerson D, Sedlak RH, Kim YJ, Fukuda T, Fredricks DN, Madtes DK, Jerome KR, Boeckh M.</t>
  </si>
  <si>
    <t>Blood. 2015 Jun 11;125(24):3789-97. doi: 10.1182/blood-2014-12-617035. Epub 2015 Apr 27.</t>
  </si>
  <si>
    <t>PMC4463739</t>
  </si>
  <si>
    <t>The impact of alternative donor types on viral infections in pediatric hematopoietic stem cell transplantation</t>
  </si>
  <si>
    <t>Atay D, Akcay A, Erbey F, Ozturk G.</t>
  </si>
  <si>
    <t>Pediatr Transplant. 2018 Mar;22(2):e13109. doi: 10.1111/petr.13109. Epub 2018 Jan 3.</t>
  </si>
  <si>
    <t>PMC7167794</t>
  </si>
  <si>
    <t>Reduced-intensity conditioning hematopoietic cell transplantation is an effective treatment for patients with SLAM-associated protein deficiency/X-linked lymphoproliferative disease type 1</t>
  </si>
  <si>
    <t>Marsh RA, Bleesing JJ, Chandrakasan S, Jordan MB, Davies SM, Filipovich AH.</t>
  </si>
  <si>
    <t>Biol Blood Marrow Transplant. 2014 Oct;20(10):1641-5. doi: 10.1016/j.bbmt.2014.06.003. Epub 2014 Jun 9.</t>
  </si>
  <si>
    <t>Recent progress of elucidating the mechanisms of drug hypersensitivity</t>
  </si>
  <si>
    <t>Hashizume H.</t>
  </si>
  <si>
    <t>Asia Pac Allergy. 2012 Jul;2(3):203-9. doi: 10.5415/apallergy.2012.2.3.203. Epub 2012 Jul 25.</t>
  </si>
  <si>
    <t>Asia Pac Allergy</t>
  </si>
  <si>
    <t>PMC3406300</t>
  </si>
  <si>
    <t>Unique fold and active site in cytomegalovirus protease</t>
  </si>
  <si>
    <t>Qiu X, Culp JS, DiLella AG, Hellmig B, Hoog SS, Janson CA, Smith WW, Abdel-Meguid SS.</t>
  </si>
  <si>
    <t>Nature. 1996 Sep 19;383(6597):275-9. doi: 10.1038/383275a0.</t>
  </si>
  <si>
    <t>[Infection caused by human herpesvirus-6 and organ transplantation]</t>
  </si>
  <si>
    <t>Rev Clin Esp. 2002 Mar;202(3):182. doi: 10.1016/s0014-2565(02)71021-7.</t>
  </si>
  <si>
    <t>Human herpesvirus-7 in Brazilian liver transplant recipients: a follow-up comparison between molecular and immunological assays</t>
  </si>
  <si>
    <t>Peigo MF, Thomasini RL, Puglia AL, Costa SC, Bonon SH, Boin IF, Leonardi M, Mota NG.</t>
  </si>
  <si>
    <t>Transpl Infect Dis. 2009 Dec;11(6):497-502. doi: 10.1111/j.1399-3062.2009.00429.x. Epub 2009 Aug 5.</t>
  </si>
  <si>
    <t>HHV-6A Infection of Endometrial Epithelial Cells Induces Increased Endometrial NK Cell-Mediated Cytotoxicity</t>
  </si>
  <si>
    <t>Caselli E, Bortolotti D, Marci R, Rotola A, Gentili V, Soffritti I, D'Accolti M, Lo Monte G, Sicolo M, Barao I, Di Luca D, Rizzo R.</t>
  </si>
  <si>
    <t>Front Microbiol. 2017 Dec 15;8:2525. doi: 10.3389/fmicb.2017.02525. eCollection 2017.</t>
  </si>
  <si>
    <t>PMC5736868</t>
  </si>
  <si>
    <t>Potential herpesvirus interaction during HIV type 1 primary infection</t>
  </si>
  <si>
    <t>Lennette ET, Busch MP, Hecht FM, Levy JA.</t>
  </si>
  <si>
    <t>AIDS Res Hum Retroviruses. 2005 Oct;21(10):869-75. doi: 10.1089/aid.2005.21.869.</t>
  </si>
  <si>
    <t>Human herpesvirus 6 infection in renal-transplant recipients</t>
  </si>
  <si>
    <t>Morris DJ, Littler E, Arrand JR, Jordan D, Mallick NP, Johnson RW.</t>
  </si>
  <si>
    <t>N Engl J Med. 1989 Jun 8;320(23):1560-1.</t>
  </si>
  <si>
    <t>Pneumorrhachis in children: A report of two cases and review of the literature</t>
  </si>
  <si>
    <t>Yaginuma K, Watanabe M, Saito Y, Takahashi N, Ohara Y, Kobayashi S, Mochizuki K, Suyama K, Sato M, Sano H, Hashimoto K, Kikuta A, Hosoya M.</t>
  </si>
  <si>
    <t>Radiol Case Rep. 2019 Sep 5;14(11):1325-1329. doi: 10.1016/j.radcr.2019.08.010. eCollection 2019 Nov.</t>
  </si>
  <si>
    <t>Radiol Case Rep</t>
  </si>
  <si>
    <t>PMC6732755</t>
  </si>
  <si>
    <t>Final Outcomes from a Phase 2 Trial of Posoleucel in Allogeneic Hematopoietic Cell Transplant Recipients</t>
  </si>
  <si>
    <t>Dadwal SS, Bansal R, Schuster M, Yared JA, Myers GD, Matzko ME, Adnan S, McNeel D, Ma J, Gilmore SA, Vasileiou S, Leen AM, Hill JA, Young JA.</t>
  </si>
  <si>
    <t>Blood Adv. 2024 Apr 9:bloodadvances.2023011562. doi: 10.1182/bloodadvances.2023011562. Online ahead of print.</t>
  </si>
  <si>
    <t>The human vascular endothelial cell line HUV-EC-C harbors the integrated HHV-6B genome which remains stable in long term culture</t>
  </si>
  <si>
    <t>Shioda S, Kasai F, Ozawa M, Hirayama N, Satoh M, Kameoka Y, Watanabe K, Shimizu N, Tang H, Mori Y, Kohara A.</t>
  </si>
  <si>
    <t>Cytotechnology. 2018 Feb;70(1):141-152. doi: 10.1007/s10616-017-0119-y. Epub 2017 Jul 28.</t>
  </si>
  <si>
    <t>Cytotechnology</t>
  </si>
  <si>
    <t>PMC5809643</t>
  </si>
  <si>
    <t>Clinical characteristics of patients with Epstein Barr virus in cerebrospinal fluid</t>
  </si>
  <si>
    <t>Martelius T, Lappalainen M, Palomäki M, Anttila VJ.</t>
  </si>
  <si>
    <t>BMC Infect Dis. 2011 Oct 21;11:281. doi: 10.1186/1471-2334-11-281.</t>
  </si>
  <si>
    <t>BMC Infect Dis</t>
  </si>
  <si>
    <t>PMC3213057</t>
  </si>
  <si>
    <t>Late transplant-associated thrombotic microangiopathy verified in bone marrow biopsy specimens is associated with chronic GVHD and viral infections</t>
  </si>
  <si>
    <t>Hill W, Sotlar K, Hautmann A, Kolb HJ, Ullmann J, Hausmann A, Schmidt M, Tischer J, Pham TT, Rank A, Hoechstetter MA.</t>
  </si>
  <si>
    <t>Eur J Haematol. 2024 May;112(5):819-831. doi: 10.1111/ejh.14174. Epub 2024 Jan 20.</t>
  </si>
  <si>
    <t>Aciclovir. A reappraisal of its antiviral activity, pharmacokinetic properties and therapeutic efficacy</t>
  </si>
  <si>
    <t>Wagstaff AJ, Faulds D, Goa KL.</t>
  </si>
  <si>
    <t>Drugs. 1994 Jan;47(1):153-205. doi: 10.2165/00003495-199447010-00009.</t>
  </si>
  <si>
    <t>Drugs</t>
  </si>
  <si>
    <t>Persistent active herpes virus infection associated with atypical polyclonal lymphoproliferation (APL) and malignant lymphoma</t>
  </si>
  <si>
    <t>Krueger GR, Manak M, Bourgeois N, Ablashi DV, Salahuddin SZ, Josephs SS, Buchbinder A, Gallo RC, Berthold F, Tesch H.</t>
  </si>
  <si>
    <t>Anticancer Res. 1989 Nov-Dec;9(6):1457-76.</t>
  </si>
  <si>
    <t>Valacyclovir treatment of chronic fatigue in adolescents</t>
  </si>
  <si>
    <t>Henderson TA.</t>
  </si>
  <si>
    <t>Adv Mind Body Med. 2014 Winter;28(1):4-14.</t>
  </si>
  <si>
    <t>Adv Mind Body Med</t>
  </si>
  <si>
    <t>The SCHOOL of nature: IV. Learning from viruses</t>
  </si>
  <si>
    <t>Sigalov AB.</t>
  </si>
  <si>
    <t>Self Nonself. 2010 Oct;1(4):282-298. doi: 10.4161/self.1.4.13279.</t>
  </si>
  <si>
    <t>Self Nonself</t>
  </si>
  <si>
    <t>PMC3062383</t>
  </si>
  <si>
    <t>[Evaluation of the LightCycler 480 real-time PCR system for the measurement of CMV, EBV, HHV-6 and BKV viral loads in whole blood]</t>
  </si>
  <si>
    <t>Boutolleau D, Deback C, Géli J, Aït-Arkoub Z, Angleraud F, Gautheret-Dejean A, Agut H.</t>
  </si>
  <si>
    <t>Pathol Biol (Paris). 2010 Apr;58(2):166-9. doi: 10.1016/j.patbio.2009.06.006. Epub 2009 Nov 4.</t>
  </si>
  <si>
    <t>DNA viruses (CMV, EBV, and the herpesviruses)</t>
  </si>
  <si>
    <t>Zamora MR.</t>
  </si>
  <si>
    <t>Semin Respir Crit Care Med. 2011 Aug;32(4):454-70. doi: 10.1055/s-0031-1283285. Epub 2011 Aug 19.</t>
  </si>
  <si>
    <t>Human herpesvirus-7 (HHV-7): current status</t>
  </si>
  <si>
    <t>Ablashi DV, Berneman ZN, Kramarsky B, Whitman J Jr, Asano Y, Pearson GR.</t>
  </si>
  <si>
    <t>Clin Diagn Virol. 1995 Jul;4(1):1-13. doi: 10.1016/0928-0197(95)00005-s.</t>
  </si>
  <si>
    <t>Viral causes of human myocarditis</t>
  </si>
  <si>
    <t>Andréoletti L, Lévêque N, Boulagnon C, Brasselet C, Fornes P.</t>
  </si>
  <si>
    <t>Arch Cardiovasc Dis. 2009 Jun-Jul;102(6-7):559-68. doi: 10.1016/j.acvd.2009.04.010. Epub 2009 Jul 31.</t>
  </si>
  <si>
    <t>Arch Cardiovasc Dis</t>
  </si>
  <si>
    <t>Human herpesvirus 6, 7 and 8 in solid organ transplantation</t>
  </si>
  <si>
    <t>Le J, Gantt S; AST Infectious Diseases Community of Practice.</t>
  </si>
  <si>
    <t>Am J Transplant. 2013 Mar;13 Suppl 4:128-37. doi: 10.1111/ajt.12106.</t>
  </si>
  <si>
    <t>Idiopathic purpura fulminans associated with anti-protein S antibodies in children: a multicenter case series and systematic review</t>
  </si>
  <si>
    <t>Theron A, Dautremay O, Boissier E, Zerroukhi A, Baleine J, Moulis L, Rodière M, Schved JF, Duraes M, Kanouni T, Cau-Diaz I, Jeziorski E, Biron-Andreani C.</t>
  </si>
  <si>
    <t>Blood Adv. 2022 Jan 25;6(2):495-502. doi: 10.1182/bloodadvances.2021005126.</t>
  </si>
  <si>
    <t>PMC8791598</t>
  </si>
  <si>
    <t>Microbes and Mental Illness: Past, Present, and Future</t>
  </si>
  <si>
    <t>Bransfield RC, Mao C, Greenberg R.</t>
  </si>
  <si>
    <t>Healthcare (Basel). 2023 Dec 29;12(1):83. doi: 10.3390/healthcare12010083.</t>
  </si>
  <si>
    <t>Healthcare (Basel)</t>
  </si>
  <si>
    <t>PMC10779437</t>
  </si>
  <si>
    <t>AIDS related viruses, their association with leukemia, and Raf signaling</t>
  </si>
  <si>
    <t>Whitman AG, Bryan BA, Dyson OF, Patel DK, Ramasamy D, Anantharaman S, Reber AJ, Akula SM.</t>
  </si>
  <si>
    <t>Curr HIV Res. 2005 Oct;3(4):319-27. doi: 10.2174/157016205774370384.</t>
  </si>
  <si>
    <t>No indication of increased infection rates using low-dose alemtuzumab instead of anti-thymocyte globulin as graft-versus-host disease prophylaxis before allogeneic stem cell transplantation</t>
  </si>
  <si>
    <t>Neumann T, Schneidewind L, Thiele T, Pink D, Schulze M, Schmidt C, Krüger W.</t>
  </si>
  <si>
    <t>Transpl Infect Dis. 2018 Feb;20(1). doi: 10.1111/tid.12822. Epub 2017 Dec 27.</t>
  </si>
  <si>
    <t>Idiopathic interstitial pneumonia following stem cell transplantation</t>
  </si>
  <si>
    <t>Yamaguchi N, Takatsuka H, Wakae T, Okada M, Fujimori Y, Okamoto T, Kakishita E, Hara H.</t>
  </si>
  <si>
    <t>Clin Transplant. 2003 Aug;17(4):338-46. doi: 10.1034/j.1399-0012.2003.00053.x.</t>
  </si>
  <si>
    <t>Reactivation of a transplant recipient's inherited human herpesvirus 6 and implications to the graft</t>
  </si>
  <si>
    <t>Hannolainen L, Pyöriä L, Pratas D, Lohi J, Skuja S, Rasa-Dzelzkaleja S, Murovska M, Hedman K, Jahnukainen T, Perdomo MF.</t>
  </si>
  <si>
    <t>J Infect Dis. 2024 May 20:jiae268. doi: 10.1093/infdis/jiae268. Online ahead of print.</t>
  </si>
  <si>
    <t>Monitoring of EBV-DNAemia by quantitative real-time PCR after adult liver transplantation</t>
  </si>
  <si>
    <t>Loginov R, Aalto S, Piiparinen H, Halme L, Arola J, Hedman K, Höckerstedt K, Lautenschlager I.</t>
  </si>
  <si>
    <t>J Clin Virol. 2006 Oct;37(2):104-8. doi: 10.1016/j.jcv.2006.06.012. Epub 2006 Aug 22.</t>
  </si>
  <si>
    <t>In vitro effects of echinacea and ginseng on natural killer and antibody-dependent cell cytotoxicity in healthy subjects and chronic fatigue syndrome or acquired immunodeficiency syndrome patients</t>
  </si>
  <si>
    <t>See DM, Broumand N, Sahl L, Tilles JG.</t>
  </si>
  <si>
    <t>Immunopharmacology. 1997 Jan;35(3):229-35. doi: 10.1016/s0162-3109(96)00125-7.</t>
  </si>
  <si>
    <t>Immunopharmacology</t>
  </si>
  <si>
    <t>Post-Transplantation Cyclophosphamide Is Associated with an Increase in Non-Cytomegalovirus Herpesvirus Infections in Patients with Acute Leukemia and Myelodysplastic Syndrome</t>
  </si>
  <si>
    <t>Singh A, Dandoy CE, Chen M, Kim S, Mulroney CM, Kharfan-Dabaja MA, Ganguly S, Maziarz RT, Kanakry CG, Kanakry JA, Patel SS, Hill JA, De Oliveir S, Taplitz R, Hematti P, Lazarus HM, Abid MB, Goldsmith SR, Romee R, Komanduri KV, Badawy SM, Friend BD, Beitinjaneh A, Politikos I, Perales MA, Riches M.</t>
  </si>
  <si>
    <t>Transplant Cell Ther. 2022 Jan;28(1):48.e1-48.e10. doi: 10.1016/j.jtct.2021.09.015. Epub 2021 Sep 26.</t>
  </si>
  <si>
    <t>PMC9717499</t>
  </si>
  <si>
    <t>NIHMS1772409</t>
  </si>
  <si>
    <t>A Histological Study of Fulminant Type 1 Diabetes Mellitus Related to Human Cytomegalovirus Reactivation</t>
  </si>
  <si>
    <t>Yoneda S, Imagawa A, Fukui K, Uno S, Kozawa J, Sakai M, Yumioka T, Iwahashi H, Shimomura I.</t>
  </si>
  <si>
    <t>J Clin Endocrinol Metab. 2017 Jul 1;102(7):2394-2400. doi: 10.1210/jc.2016-4029.</t>
  </si>
  <si>
    <t>How I prevent viral reactivation in high-risk patients</t>
  </si>
  <si>
    <t>Dadwal SS, Papanicolaou GA, Boeckh M.</t>
  </si>
  <si>
    <t>Blood. 2023 Apr 27;141(17):2062-2074. doi: 10.1182/blood.2021014676.</t>
  </si>
  <si>
    <t>PMC10163320</t>
  </si>
  <si>
    <t>Curr Opin Infect Dis. 1998 Aug;11(4):411-7. doi: 10.1097/00001432-199808000-00003.</t>
  </si>
  <si>
    <t>Detection of donor-derived CMV-specific T cells in cerebrospinal fluid in a case of CMV meningoencephalitis after cord blood stem cell transplantation</t>
  </si>
  <si>
    <t>Ikegame K, Kato R, Fujioka T, Okada M, Kaida K, Ishii S, Yoshihara S, Inoue T, Taniguchi K, Tamaki H, Soma T, Ogawa H.</t>
  </si>
  <si>
    <t>Int J Hematol. 2013 Feb;97(2):287-90. doi: 10.1007/s12185-012-1231-6. Epub 2012 Dec 29.</t>
  </si>
  <si>
    <t>Current Perspective Regarding the Immunopathogenesis of Drug-Induced Hypersensitivity Syndrome/Drug Reaction with Eosinophilia and Systemic Symptoms (DIHS/DRESS)</t>
  </si>
  <si>
    <t>Miyagawa F, Asada H.</t>
  </si>
  <si>
    <t>Int J Mol Sci. 2021 Feb 21;22(4):2147. doi: 10.3390/ijms22042147.</t>
  </si>
  <si>
    <t>Int J Mol Sci</t>
  </si>
  <si>
    <t>PMC7927043</t>
  </si>
  <si>
    <t>Gamma/delta T-cell posttransplantation lymphoproliferative disorder primarily in the spleen</t>
  </si>
  <si>
    <t>Ross CW, Schnitzer B, Sheldon S, Braun DK, Hanson CA.</t>
  </si>
  <si>
    <t>Am J Clin Pathol. 1994 Sep;102(3):310-5. doi: 10.1093/ajcp/102.3.310.</t>
  </si>
  <si>
    <t>Prevalence of human herpesviruses in biliary fluid and their association with biliary complications after liver transplantation</t>
  </si>
  <si>
    <t>Rauber C, Bartelheimer K, Zhou T, Rupp C, Schnitzler P, Schemmer P, Sauer P, Weiss KH, Gotthardt DN.</t>
  </si>
  <si>
    <t>BMC Gastroenterol. 2019 Jun 27;19(1):110. doi: 10.1186/s12876-019-1033-x.</t>
  </si>
  <si>
    <t>BMC Gastroenterol</t>
  </si>
  <si>
    <t>PMC6598275</t>
  </si>
  <si>
    <t>Increased risk of infections and infection-related mortality in children undergoing haematopoietic stem cell transplantation compared to conventional anticancer therapy: a multicentre nationwide study</t>
  </si>
  <si>
    <t>Styczynski J, Czyzewski K, Wysocki M, Gryniewicz-Kwiatkowska O, Kolodziejczyk-Gietka A, Salamonowicz M, Hutnik L, Zajac-Spychala O, Zaucha-Prazmo A, Chelmecka-Wiktorczyk L, Siewiera K, Fraczkiewicz J, Malas Z, Tomaszewska R, Irga-Jaworska N, Plonowski M, Ociepa T, Pierlejewski F, Gamrot Z, Urbanek-Dadela A, Gozdzik J, Stolpa W, Dembowska-Baginska B, Perek D, Matysiak M, Wachowiak J, Kowalczyk J, Balwierz W, Kalwak K, Chybicka A, Badowska W, Szczepanski T, Drozynska E, Krawczuk-Rybak M, Urasinski T, Mlynarski W, Woszczyk M, Karolczyk G, Sobol-Milejska G, Gil L; Polish Society of Paediatric Oncology and Haematology.</t>
  </si>
  <si>
    <t>Clin Microbiol Infect. 2016 Feb;22(2):179.e1-179.e10. doi: 10.1016/j.cmi.2015.10.017. Epub 2015 Oct 20.</t>
  </si>
  <si>
    <t>Curr Opin Infect Dis. 1999 Aug;12(4):365-70. doi: 10.1097/00001432-199908000-00010.</t>
  </si>
  <si>
    <t>Viral and fungal infections after liver transplantation--part II</t>
  </si>
  <si>
    <t>Kusne S, Blair JE.</t>
  </si>
  <si>
    <t>Liver Transpl. 2006 Jan;12(1):2-11. doi: 10.1002/lt.20667.</t>
  </si>
  <si>
    <t>Drug-induced hypersensitivity syndrome/drug reaction with eosinophilia and systemic symptoms due to lamotrigine differs from that due to other drugs</t>
  </si>
  <si>
    <t>Tashiro Y, Azukizawa H, Asada H, Niihara H, Morita E, Yamauchi T, Mizukawa Y, Kusakabe Y, Numazawa S, Izumi M, Sueki H, Watanabe H.</t>
  </si>
  <si>
    <t>J Dermatol. 2019 Mar;46(3):226-233. doi: 10.1111/1346-8138.14776. Epub 2019 Jan 21.</t>
  </si>
  <si>
    <t>Viral invasion of the amniotic cavity (VIAC) in the midtrimester of pregnancy</t>
  </si>
  <si>
    <t>Gervasi MT, Romero R, Bracalente G, Chaiworapongsa T, Erez O, Dong Z, Hassan SS, Yeo L, Yoon BH, Mor G, Barzon L, Franchin E, Militello V, Palù G.</t>
  </si>
  <si>
    <t>J Matern Fetal Neonatal Med. 2012 Oct;25(10):2002-13. doi: 10.3109/14767058.2012.683899. Epub 2012 May 30.</t>
  </si>
  <si>
    <t>PMC3498469</t>
  </si>
  <si>
    <t>NIHMS416022</t>
  </si>
  <si>
    <t>Human herpesvirus types 6 and 7 infection in pediatric hematopoietic stem cell transplant recipients</t>
  </si>
  <si>
    <t>Fule Robles JD, Cheuk DK, Ha SY, Chiang AK, Chan GC.</t>
  </si>
  <si>
    <t>Ann Transplant. 2014 Jun 2;19:269-76. doi: 10.12659/AOT.889995.</t>
  </si>
  <si>
    <t>Longitudinal study of herpesviruses in kidney transplant recipients in Cuba</t>
  </si>
  <si>
    <t>Kourí V, Resik S, Enamorado A, Moreno D, García S, Acosta B, Morier L, Gonzalez L.</t>
  </si>
  <si>
    <t>Clin Infect Dis. 2003 Mar 15;36(6):818-21. doi: 10.1086/368089. Epub 2003 Feb 27.</t>
  </si>
  <si>
    <t>EBV DNA increase in COVID-19 patients with impaired lymphocyte subpopulation count</t>
  </si>
  <si>
    <t>Paolucci S, Cassaniti I, Novazzi F, Fiorina L, Piralla A, Comolli G, Bruno R, Maserati R, Gulminetti R, Novati S, Mojoli F, Baldanti F; San Matteo Pavia COVID-19 Task Force.</t>
  </si>
  <si>
    <t>Int J Infect Dis. 2021 Mar;104:315-319. doi: 10.1016/j.ijid.2020.12.051. Epub 2020 Dec 21.</t>
  </si>
  <si>
    <t>PMC7833117</t>
  </si>
  <si>
    <t>Treatment with Foscarnet after Allogeneic Hematopoietic Cell Transplant (Allo-HCT) Is Associated with Long-Term Loss of Renal Function</t>
  </si>
  <si>
    <t>Foster GG, Grant MJ, Thomas SM, Cameron B, Raiff D, Corbet K, Loitsch G, Ferreri C, Horwitz M.</t>
  </si>
  <si>
    <t>Biol Blood Marrow Transplant. 2020 Sep;26(9):1597-1606. doi: 10.1016/j.bbmt.2020.05.007. Epub 2020 May 23.</t>
  </si>
  <si>
    <t>PMC8026759</t>
  </si>
  <si>
    <t>NIHMS1604186</t>
  </si>
  <si>
    <t>Infectious complications after allogeneic stem cell transplantation: incidence in matched-related and matched-unrelated transplant settings</t>
  </si>
  <si>
    <t>Rieger CT, Rieger H, Kolb HJ, Peterson L, Huppmann S, Fiegl M, Ostermann H.</t>
  </si>
  <si>
    <t>Transpl Infect Dis. 2009 Jun;11(3):220-6. doi: 10.1111/j.1399-3062.2009.00379.x. Epub 2009 Mar 9.</t>
  </si>
  <si>
    <t>Emerging viruses in transplantation: there is more to infection after transplant than CMV and EBV</t>
  </si>
  <si>
    <t>Fischer SA.</t>
  </si>
  <si>
    <t>Transplantation. 2008 Nov 27;86(10):1327-39. doi: 10.1097/TP.0b013e31818b6548.</t>
  </si>
  <si>
    <t>Opportunistic infections in 547 organ transplant recipients receiving alemtuzumab, a humanized monoclonal CD-52 antibody</t>
  </si>
  <si>
    <t>Peleg AY, Husain S, Kwak EJ, Silveira FP, Ndirangu M, Tran J, Shutt KA, Shapiro R, Thai N, Abu-Elmagd K, McCurry KR, Marcos A, Paterson DL.</t>
  </si>
  <si>
    <t>Clin Infect Dis. 2007 Jan 15;44(2):204-12. doi: 10.1086/510388. Epub 2006 Dec 13.</t>
  </si>
  <si>
    <t>The Viral Load of Epstein-Barr Virus in Blood of Children after Hematopoietic Stem Cell Transplantation</t>
  </si>
  <si>
    <t>Wang WJ, Feng SQ, He F, Du HJ, Feng M, Wang RF, Mei GY, Liu M, Liu R, Yao HL, Han J.</t>
  </si>
  <si>
    <t>Biomed Environ Sci. 2022 Sep 20;35(9):804-810. doi: 10.3967/bes2022.052.</t>
  </si>
  <si>
    <t>Biomed Environ Sci</t>
  </si>
  <si>
    <t>Adult T-cell leukemia associated with HTLV-I and simultaneous infection by human immunodeficiency virus type 2 and human herpesvirus 6 in an African woman: a clinical, virologic, and familial serologic study</t>
  </si>
  <si>
    <t>Baurmann H, Miclea JM, Ferchal F, Gessain A, Daniel MT, Guetard D, Collandre H, Agut H, Castaigne S, Rain JD, et al.</t>
  </si>
  <si>
    <t>Am J Med. 1988 Dec;85(6):853-7. doi: 10.1016/s0002-9343(88)80035-4.</t>
  </si>
  <si>
    <t>Am J Med</t>
  </si>
  <si>
    <t>[Pulmonary complications after allogeneic hematopoietic stem cell transplantation]</t>
  </si>
  <si>
    <t>Kitabayashi A, Hirokawa M, Horiuchi T, Kawabata Y, Miura AB, Sakuyama M, Nimura T, Niitsu H.</t>
  </si>
  <si>
    <t>Rinsho Ketsueki. 2000 Apr;41(4):310-5.</t>
  </si>
  <si>
    <t>Virus detection in the cerebrospinal fluid of hematopoietic stem cell transplant recipients is associated with poor patient outcomes: a CIBMTR contemporary longitudinal study</t>
  </si>
  <si>
    <t>Abidi MZ, Hari P, Chen M, Kim S, Battiwala M, Dahi PB, Diaz MA, Gale RP, Ganguly S, Gergis U, Green J, Hildebrandt G, Hill JA, Komanduri K, Lazarus H, Marks D, Nishihori T, Olsson R, Seo S, Ustun C, Yared J, Yin D, Wingard J, Wirk BM, Auletta J, Lindemans C, Riches M.</t>
  </si>
  <si>
    <t>Bone Marrow Transplant. 2019 Aug;54(8):1354-1360. doi: 10.1038/s41409-019-0457-9. Epub 2019 Jan 29.</t>
  </si>
  <si>
    <t>PMC7001099</t>
  </si>
  <si>
    <t>NIHMS1067479</t>
  </si>
  <si>
    <t>A novel bat herpesvirus encodes homologues of major histocompatibility complex classes I and II, C-type lectin, and a unique family of immune-related genes</t>
  </si>
  <si>
    <t>Zhang H, Todd S, Tachedjian M, Barr JA, Luo M, Yu M, Marsh GA, Crameri G, Wang LF.</t>
  </si>
  <si>
    <t>J Virol. 2012 Aug;86(15):8014-30. doi: 10.1128/JVI.00723-12. Epub 2012 May 23.</t>
  </si>
  <si>
    <t>PMC3421651</t>
  </si>
  <si>
    <t>Induction of experimental autoimmune encephalomyelitis in Lewis rats by a viral peptide with limited homology to myelin basic protein</t>
  </si>
  <si>
    <t>Mao YS, Lu CZ, Wang X, Xiao BG.</t>
  </si>
  <si>
    <t>Exp Neurol. 2007 Aug;206(2):231-9. doi: 10.1016/j.expneurol.2007.04.015. Epub 2007 May 24.</t>
  </si>
  <si>
    <t>Exp Neurol</t>
  </si>
  <si>
    <t>Basiliximab as Treatment for Steroid-Refractory Acute Graft-versus-Host Disease in Pediatric Patients after Haploidentical Hematopoietic Stem Cell Transplantation</t>
  </si>
  <si>
    <t>Tang FF, Cheng YF, Xu LP, Zhang XH, Yan CH, Han W, Chen YH, Huang XJ, Wang Y.</t>
  </si>
  <si>
    <t>Biol Blood Marrow Transplant. 2020 Feb;26(2):351-357. doi: 10.1016/j.bbmt.2019.10.031. Epub 2019 Nov 5.</t>
  </si>
  <si>
    <t>The chronic fatigue syndrome: definition, current studies and lessons for fibromyalgia research</t>
  </si>
  <si>
    <t>Komaroff AL, Goldenberg D.</t>
  </si>
  <si>
    <t>J Rheumatol Suppl. 1989 Nov;19:23-7.</t>
  </si>
  <si>
    <t>J Rheumatol Suppl</t>
  </si>
  <si>
    <t>Secondary T-cell lymphoproliferation after marrow transplantation</t>
  </si>
  <si>
    <t>Zutter MM, Durnam DM, Hackman RC, Loughran TP Jr, Kidd PG, Ashley RL, Petersdorf EW, Martin PJ, Thomas ED.</t>
  </si>
  <si>
    <t>Am J Clin Pathol. 1990 Dec;94(6):714-21. doi: 10.1093/ajcp/94.6.714.</t>
  </si>
  <si>
    <t>Cerebrospinal fluid virology in people with HIV</t>
  </si>
  <si>
    <t>Henderson M, Pepper N, Bawa M, Muir D, Everitt A, Mackie NE, Winston A.</t>
  </si>
  <si>
    <t>HIV Med. 2023 Jul;24(7):838-844. doi: 10.1111/hiv.13471. Epub 2023 Mar 9.</t>
  </si>
  <si>
    <t>HIV Med</t>
  </si>
  <si>
    <t>Infections and solid organ transplant rejection: a cause-and-effect relationship?</t>
  </si>
  <si>
    <t>Cainelli F, Vento S.</t>
  </si>
  <si>
    <t>Lancet Infect Dis. 2002 Sep;2(9):539-49. doi: 10.1016/s1473-3099(02)00370-5.</t>
  </si>
  <si>
    <t>Lancet Infect Dis</t>
  </si>
  <si>
    <t>Combined cytomegalovirus prophylaxis in lung transplantation: effects on acute rejection, lymphocytic bronchitis/bronchiolitis, and herpesvirus infections</t>
  </si>
  <si>
    <t>Solidoro P, Libertucci D, Delsedime L, Ruffini E, Bosco M, Costa C, Rinaldi M, Baldi S.</t>
  </si>
  <si>
    <t>Transplant Proc. 2008 Jul-Aug;40(6):2013-4. doi: 10.1016/j.transproceed.2008.05.028.</t>
  </si>
  <si>
    <t>Virus-Driven Carcinogenesis</t>
  </si>
  <si>
    <t>Hatano Y, Ideta T, Hirata A, Hatano K, Tomita H, Okada H, Shimizu M, Tanaka T, Hara A.</t>
  </si>
  <si>
    <t>Cancers (Basel). 2021 May 27;13(11):2625. doi: 10.3390/cancers13112625.</t>
  </si>
  <si>
    <t>Cancers (Basel)</t>
  </si>
  <si>
    <t>PMC8198641</t>
  </si>
  <si>
    <t>Immunodeficiency in a patient with microcephalic osteodysplastic primordial dwarfism type I as compared to Roifman syndrome</t>
  </si>
  <si>
    <t>Hagiwara H, Matsumoto H, Uematsu K, Zaha K, Sekinaka Y, Miyake N, Matsumoto N, Nonoyama S.</t>
  </si>
  <si>
    <t>Brain Dev. 2021 Feb;43(2):337-342. doi: 10.1016/j.braindev.2020.09.007. Epub 2020 Oct 12.</t>
  </si>
  <si>
    <t>Rapidly generated multivirus-specific cytotoxic T lymphocytes for the prophylaxis and treatment of viral infections</t>
  </si>
  <si>
    <t>Gerdemann U, Keirnan JM, Katari UL, Yanagisawa R, Christin AS, Huye LE, Perna SK, Ennamuri S, Gottschalk S, Brenner MK, Heslop HE, Rooney CM, Leen AM.</t>
  </si>
  <si>
    <t>Mol Ther. 2012 Aug;20(8):1622-32. doi: 10.1038/mt.2012.130. Epub 2012 Jul 17.</t>
  </si>
  <si>
    <t>Mol Ther</t>
  </si>
  <si>
    <t>PMC3412490</t>
  </si>
  <si>
    <t>Subclinical herpesvirus shedding among HIV-1-infected men on antiretroviral therapy</t>
  </si>
  <si>
    <t>Agudelo-Hernandez A, Chen Y, Bullotta A, Buchanan WG, Klamar-Blain CR, Borowski L, Riddler SA, Rinaldo CR, Macatangay BJC.</t>
  </si>
  <si>
    <t>AIDS. 2017 Sep 24;31(15):2085-2094. doi: 10.1097/QAD.0000000000001602.</t>
  </si>
  <si>
    <t>AIDS</t>
  </si>
  <si>
    <t>PMC5626452</t>
  </si>
  <si>
    <t>NIHMS900105</t>
  </si>
  <si>
    <t>Applications of experimental techniques to epidemiological studies of non-Hodgkin's lymphoma: use of archival tissues</t>
  </si>
  <si>
    <t>Levine PH.</t>
  </si>
  <si>
    <t>Cancer Res. 1992 Oct 1;52(19 Suppl):5561s-5562s; discussion 5562s-5565s.</t>
  </si>
  <si>
    <t>Cancer Res</t>
  </si>
  <si>
    <t>Phenotypic and functional characterization of posoleucel, a multivirus-specific T cell therapy for the treatment and prevention of viral infections in immunocompromised patients</t>
  </si>
  <si>
    <t>Vasileiou S, Kuvalekar M, Velazquez Y, Watanabe A, Leen AM, Gilmore SA.</t>
  </si>
  <si>
    <t>Cytotherapy. 2024 Mar 19:S1465-3249(24)00100-2. doi: 10.1016/j.jcyt.2024.03.012. Online ahead of print.</t>
  </si>
  <si>
    <t>Elevated Epstein-Barr virus-encoded nuclear antigen-1 immune responses predict conversion to multiple sclerosis</t>
  </si>
  <si>
    <t>Lünemann JD, Tintoré M, Messmer B, Strowig T, Rovira A, Perkal H, Caballero E, Münz C, Montalban X, Comabella M.</t>
  </si>
  <si>
    <t>Ann Neurol. 2010 Feb;67(2):159-69. doi: 10.1002/ana.21886.</t>
  </si>
  <si>
    <t>PMC2848293</t>
  </si>
  <si>
    <t>NIHMS157927</t>
  </si>
  <si>
    <t>Human Herpesvirus 6B Greatly Increases Risk of Depression by Activating Hypothalamic-Pituitary -Adrenal Axis during Latent Phase of Infection</t>
  </si>
  <si>
    <t>Kobayashi N, Oka N, Takahashi M, Shimada K, Ishii A, Tatebayashi Y, Shigeta M, Yanagisawa H, Kondo K.</t>
  </si>
  <si>
    <t>iScience. 2020 Jun 26;23(6):101187. doi: 10.1016/j.isci.2020.101187. Epub 2020 May 21.</t>
  </si>
  <si>
    <t>iScience</t>
  </si>
  <si>
    <t>PMC7298549</t>
  </si>
  <si>
    <t>Infectious pulmonary complications after stem cell transplantation or chemotherapy: diagnostic yield of bronchoalveolar lavage</t>
  </si>
  <si>
    <t>Bissinger AL, Einsele H, Hamprecht K, Schumacher U, Kandolf R, Loeffler J, Aepinus C, Bock T, Jahn G, Hebart H.</t>
  </si>
  <si>
    <t>Diagn Microbiol Infect Dis. 2005 Aug;52(4):275-80. doi: 10.1016/j.diagmicrobio.2005.03.005.</t>
  </si>
  <si>
    <t>Diagn Microbiol Infect Dis</t>
  </si>
  <si>
    <t>Severe Skin Complications After Small Bowel Transplantation: Graft-Versus-Host Disease, DRESS, Virus, or Drug Toxicity?</t>
  </si>
  <si>
    <t>Cruysmans C, Ferneiny MG, Fraitag S, Frange P, Chardot C, Bodemer C, Goulet O, Lacaille F.</t>
  </si>
  <si>
    <t>Transplantation. 2016 Oct;100(10):2222-5. doi: 10.1097/TP.0000000000001131.</t>
  </si>
  <si>
    <t>Infectious diseases in the liver transplant recipient</t>
  </si>
  <si>
    <t>Semin Gastrointest Dis. 1998 Jul;9(3):136-46.</t>
  </si>
  <si>
    <t>Semin Gastrointest Dis</t>
  </si>
  <si>
    <t>Infections and immunizations in organ transplant recipients: a preventive approach</t>
  </si>
  <si>
    <t>Avery RK.</t>
  </si>
  <si>
    <t>Cleve Clin J Med. 1994 Sep-Oct;61(5):386-92. doi: 10.3949/ccjm.61.5.386.</t>
  </si>
  <si>
    <t>Cleve Clin J Med</t>
  </si>
  <si>
    <t>A cost-effective strategy for selection of third-party donors for a virus-specific T-cell bank for an Asian patient population</t>
  </si>
  <si>
    <t>Linn YC, Sundar Raj K, Teo B, Phang CY, Chittezhath M, Koh M.</t>
  </si>
  <si>
    <t>Cytotherapy. 2023 May;25(5):510-520. doi: 10.1016/j.jcyt.2023.02.003. Epub 2023 Mar 6.</t>
  </si>
  <si>
    <t>Frequency and clinical impact of viraemia in paediatric patients undergoing therapy for cancer</t>
  </si>
  <si>
    <t>Barnbrock A, Berger A, Lauten M, Demmert M, Klusmann JH, Ciesek S, Bochennek K, Lehrnbecher T.</t>
  </si>
  <si>
    <t>Sci Rep. 2024 Jun 27;14(1):14867. doi: 10.1038/s41598-024-65641-w.</t>
  </si>
  <si>
    <t>PMC11211494</t>
  </si>
  <si>
    <t>Clinical, radiological, and electroencephalographic features of HHV-6 encephalitis following hematopoietic stem cell transplantation</t>
  </si>
  <si>
    <t>Yassin A, Al-Mistarehi AH, El-Salem K, Momani A, Al Qawasmeh M, Rodriguez R, Tummala S.</t>
  </si>
  <si>
    <t>Ann Med Surg (Lond). 2020 Oct 21;60:81-86. doi: 10.1016/j.amsu.2020.10.022. eCollection 2020 Dec.</t>
  </si>
  <si>
    <t>Ann Med Surg (Lond)</t>
  </si>
  <si>
    <t>PMC7585839</t>
  </si>
  <si>
    <t>Feasibility and Efficacy of CD45RA+ Depleted Donor Lymphocytes Infusion After Haploidentical Transplantation With Post-Transplantation Cyclophosphamide in Patients With Hematological Malignancies</t>
  </si>
  <si>
    <t>Castagna L, Valli V, Timofeeva I, Capizzuto R, Bramanti S, Mariotti J, De Philippis C, Sarina B, Mannina D, Giordano L, De Paoli F, van Beek JJP, Zaghi E, Calvi M, Vito CD, Mavilio D, Crocchiolo R, Lugli E.</t>
  </si>
  <si>
    <t>Transplant Cell Ther. 2021 Jun;27(6):478.e1-478.e5. doi: 10.1016/j.jtct.2021.03.010. Epub 2021 Mar 11.</t>
  </si>
  <si>
    <t>Hepatitis viruses: not always what it seems to be</t>
  </si>
  <si>
    <t>Gallegos-Orozco JF, Rakela-Brödner J.</t>
  </si>
  <si>
    <t>Rev Med Chil. 2010 Oct;138(10):1302-11. Epub 2011 Jan 10.</t>
  </si>
  <si>
    <t>Rev Med Chil</t>
  </si>
  <si>
    <t>Identification of a strong genetic risk factor for major depressive disorder in the human virome</t>
  </si>
  <si>
    <t>Kobayashi N, Shimada K, Ishii A, Osaka R, Nishiyama T, Shigeta M, Yanagisawa H, Oka N, Kondo K.</t>
  </si>
  <si>
    <t>iScience. 2024 Feb 10;27(3):109203. doi: 10.1016/j.isci.2024.109203. eCollection 2024 Mar 15.</t>
  </si>
  <si>
    <t>PMC10897923</t>
  </si>
  <si>
    <t>HHV-6 Specific T-Cell Immunity in Healthy Children and Adolescents</t>
  </si>
  <si>
    <t>Schwarz CM, Strenger V, Strohmaier H, Singer G, Kaiser M, Raicht A, Schwinger W, Urban C.</t>
  </si>
  <si>
    <t>Front Pediatr. 2018 Jul 2;6:191. doi: 10.3389/fped.2018.00191. eCollection 2018.</t>
  </si>
  <si>
    <t>PMC6036236</t>
  </si>
  <si>
    <t>Monoclonal B cell proliferation in lymphoproliferative disease associated with herpes virus type 6 infection</t>
  </si>
  <si>
    <t>Berthold F, Krueger GR, Tesch H, Hiddemann W.</t>
  </si>
  <si>
    <t>Anticancer Res. 1989 Nov-Dec;9(6):1511-8.</t>
  </si>
  <si>
    <t>Congenital Zika Syndrome and Extra-Central Nervous System Detection of Zika Virus in a Pre-term Newborn in Mexico</t>
  </si>
  <si>
    <t>Valdespino-Vázquez MY, Sevilla-Reyes EE, Lira R, Yocupicio-Monroy M, Piten-Isidro E, Boukadida C, Hernández-Pando R, Soriano-Jimenez JD, Herrera-Salazar A, Figueroa-Damián R, Reyes-Terán G, Zamora-Escudero R, Cardona-Pérez JA, Maldonado-Rodríguez A, Moreno-Verduzco ER, Torres-Flores JM.</t>
  </si>
  <si>
    <t>Clin Infect Dis. 2019 Mar 5;68(6):903-912. doi: 10.1093/cid/ciy616.</t>
  </si>
  <si>
    <t>PMC6399440</t>
  </si>
  <si>
    <t>Viral infections in patients with hematological malignancies</t>
  </si>
  <si>
    <t>Wade JC.</t>
  </si>
  <si>
    <t>Hematology Am Soc Hematol Educ Program. 2006:368-74. doi: 10.1182/asheducation-2006.1.368.</t>
  </si>
  <si>
    <t>Hematology Am Soc Hematol Educ Program</t>
  </si>
  <si>
    <t>Infections in immunocompromised hosts and organ transplant recipients: essentials</t>
  </si>
  <si>
    <t>Fishman JA.</t>
  </si>
  <si>
    <t>Liver Transpl. 2011 Nov;17 Suppl 3:S34-7. doi: 10.1002/lt.22378.</t>
  </si>
  <si>
    <t>Variant morphology and random chromosomal integration of BK polyomavirus in posttransplant urothelial carcinomas</t>
  </si>
  <si>
    <t>Bertz S, Ensser A, Stoehr R, Eckstein M, Apel H, Mayr D, Buettner-Herold M, Gaisa NT, Compérat E, Wullich B, Hartmann A, Knöll A.</t>
  </si>
  <si>
    <t>Mod Pathol. 2020 Jul;33(7):1433-1442. doi: 10.1038/s41379-020-0489-0. Epub 2020 Feb 11.</t>
  </si>
  <si>
    <t>Renal transplantation and predisposition to opportunistic infections</t>
  </si>
  <si>
    <t>Dandamudi R, Smith J, Dharnidharka VR.</t>
  </si>
  <si>
    <t>Curr Opin Pediatr. 2019 Apr;31(2):226-231. doi: 10.1097/MOP.0000000000000728.</t>
  </si>
  <si>
    <t>Viral impact on long-term kidney graft function</t>
  </si>
  <si>
    <t>Helanterä I, Egli A, Koskinen P, Lautenschlager I, Hirsch HH.</t>
  </si>
  <si>
    <t>Infect Dis Clin North Am. 2010 Jun;24(2):339-71. doi: 10.1016/j.idc.2010.02.003.</t>
  </si>
  <si>
    <t>Chryseobacterium indologenes, a possible emergent organism resistant to carbapenem antimicrobials after stem cell transplantation</t>
  </si>
  <si>
    <t>Clin Case Rep. 2016 Dec 15;5(1):22-25. doi: 10.1002/ccr3.753. eCollection 2017 Jan.</t>
  </si>
  <si>
    <t>PMC5224769</t>
  </si>
  <si>
    <t>The Association of EBV and HHV-6 Viral Load with Different NK and CD8(+) T Cell Subsets in The Acute Phase of Relapsing-Remitting Multiple Sclerosis</t>
  </si>
  <si>
    <t>Salehi Z, Beheshti M, Nomanpour B, Khosravani P, Naseri M, Sahraian MA, Izad M.</t>
  </si>
  <si>
    <t>Cell J. 2021 Nov;23(6):626-632. doi: 10.22074/cellj.2021.7308. Epub 2021 Nov 23.</t>
  </si>
  <si>
    <t>Cell J</t>
  </si>
  <si>
    <t>PMC8665980</t>
  </si>
  <si>
    <t>Fludarabine and exposure-targeted busulfan compares favorably with busulfan/cyclophosphamide-based regimens in pediatric hematopoietic cell transplantation: maintaining efficacy with less toxicity</t>
  </si>
  <si>
    <t>Bartelink IH, van Reij EM, Gerhardt CE, van Maarseveen EM, de Wildt A, Versluys B, Lindemans CA, Bierings MB, Boelens JJ.</t>
  </si>
  <si>
    <t>Biol Blood Marrow Transplant. 2014 Mar;20(3):345-53. doi: 10.1016/j.bbmt.2013.11.027. Epub 2013 Dec 4.</t>
  </si>
  <si>
    <t>Viral infections and immune reconstitution interaction after pediatric allogenic hematopoietic stem cell transplantation</t>
  </si>
  <si>
    <t>Alexandersson A, Koskenvuo M, Tiderman A, Lääperi M, Huttunen P, Saarinen-Pihkala U, Anttila VJ, Lautenschlager I, Taskinen M.</t>
  </si>
  <si>
    <t>Infect Dis (Lond). 2019 Oct;51(10):772-778. doi: 10.1080/23744235.2019.1650198. Epub 2019 Aug 5.</t>
  </si>
  <si>
    <t>Infect Dis (Lond)</t>
  </si>
  <si>
    <t>Acute respiratory distress syndrome associated with HHV-7 infection in an immunocompetent patient: a case report</t>
  </si>
  <si>
    <t>Costa C, Bergallo M, Delsedime L, Solidoro P, Donadio P, Cavallo R.</t>
  </si>
  <si>
    <t>New Microbiol. 2009 Jul;32(3):315-6.</t>
  </si>
  <si>
    <t>Herpesvirus Respiratory Infections in Immunocompromised Patients: Epidemiology, Management, and Outcomes</t>
  </si>
  <si>
    <t>Reid GE, Lynch JP 3rd, Weigt S, Sayah D, Belperio JA, Grim SA, Clark NM.</t>
  </si>
  <si>
    <t>Semin Respir Crit Care Med. 2016 Aug;37(4):603-30. doi: 10.1055/s-0036-1584793. Epub 2016 Aug 3.</t>
  </si>
  <si>
    <t>PMC7171758</t>
  </si>
  <si>
    <t>Gastric ulcer and duodenitis associated with coinfection of human herpesvirus-8 and cytomegalovirus in a renal transplant recipient: a case report</t>
  </si>
  <si>
    <t>Lee S, Kim KM, Hwang HP, Hwang JH.</t>
  </si>
  <si>
    <t>BMC Nephrol. 2023 Mar 24;24(1):69. doi: 10.1186/s12882-023-03127-z.</t>
  </si>
  <si>
    <t>BMC Nephrol</t>
  </si>
  <si>
    <t>PMC10039606</t>
  </si>
  <si>
    <t>Virus-specific T-cell therapies for patients with primary immune deficiency</t>
  </si>
  <si>
    <t>Keller MD, Bollard CM.</t>
  </si>
  <si>
    <t>Blood. 2020 Feb 27;135(9):620-628. doi: 10.1182/blood.2019000924.</t>
  </si>
  <si>
    <t>PMC7046606</t>
  </si>
  <si>
    <t>The roles of viruses in brain tumor initiation and oncomodulation</t>
  </si>
  <si>
    <t>Kofman A, Marcinkiewicz L, Dupart E, Lyshchev A, Martynov B, Ryndin A, Kotelevskaya E, Brown J, Schiff D, Abounader R.</t>
  </si>
  <si>
    <t>J Neurooncol. 2011 Dec;105(3):451-66. doi: 10.1007/s11060-011-0658-6. Epub 2011 Jul 1.</t>
  </si>
  <si>
    <t>J Neurooncol</t>
  </si>
  <si>
    <t>PMC3278219</t>
  </si>
  <si>
    <t>NIHMS351141</t>
  </si>
  <si>
    <t>Viral infections in acute graft-versus-host disease: a review of diagnostic and therapeutic approaches</t>
  </si>
  <si>
    <t>Tong LX, Worswick SD.</t>
  </si>
  <si>
    <t>J Am Acad Dermatol. 2015 Apr;72(4):696-702. doi: 10.1016/j.jaad.2014.12.002. Epub 2015 Jan 10.</t>
  </si>
  <si>
    <t>Infectious complications in the early postoperative period in liver transplant patients</t>
  </si>
  <si>
    <t>Saner FH, Akkiz H, Canbay A.</t>
  </si>
  <si>
    <t>Minerva Gastroenterol Dietol. 2010 Sep;56(3):355-65.</t>
  </si>
  <si>
    <t>Minerva Gastroenterol Dietol</t>
  </si>
  <si>
    <t>Metagenomic Next Generation Sequencing in the Detection of Pathogens in Cerebrospinal Fluid of Patients After Alternative Donor Transplantation: A Feasibility Analysis</t>
  </si>
  <si>
    <t>Zhang B, Zhou J, Gui R, Li Z, Zu Y, Wang J, Yu F, Zhang Y, Zhao H, Ji Z, Song Y.</t>
  </si>
  <si>
    <t>Front Cell Infect Microbiol. 2021 Sep 14;11:720132. doi: 10.3389/fcimb.2021.720132. eCollection 2021.</t>
  </si>
  <si>
    <t>PMC8476959</t>
  </si>
  <si>
    <t>EBV-induced expression and HLA-DR-restricted presentation by human B cells of alpha B-crystallin, a candidate autoantigen in multiple sclerosis</t>
  </si>
  <si>
    <t>van Sechel AC, Bajramovic JJ, van Stipdonk MJ, Persoon-Deen C, Geutskens SB, van Noort JM.</t>
  </si>
  <si>
    <t>J Immunol. 1999 Jan 1;162(1):129-35.</t>
  </si>
  <si>
    <t>Aboriginals with multiple sclerosis: HLA types and predominance of neuromyelitis optica</t>
  </si>
  <si>
    <t>Mirsattari SM, Johnston JB, McKenna R, Del Bigio MR, Orr P, Ross RT, Power C.</t>
  </si>
  <si>
    <t>Neurology. 2001 Feb 13;56(3):317-23. doi: 10.1212/wnl.56.3.317.</t>
  </si>
  <si>
    <t>Absence of early HHV-6 reactivation after cord blood allograft predicts powerful graft-versus-tumor effect</t>
  </si>
  <si>
    <t>Rashidi A, Ebadi M, Said B, Cao Q, Shanley R, Curtsinger J, Bejanyan N, Warlick ED, Green JS, Brunstein CG, Miller JS, Weisdorf DJ.</t>
  </si>
  <si>
    <t>Am J Hematol. 2018 May 14:10.1002/ajh.25141. doi: 10.1002/ajh.25141. Online ahead of print.</t>
  </si>
  <si>
    <t>PMC6235732</t>
  </si>
  <si>
    <t>NIHMS967179</t>
  </si>
  <si>
    <t>Child Neurology: Familial Hemophagocytic Lymphohistiocytosis Underlying Isolated CNS Inflammation</t>
  </si>
  <si>
    <t>Bucciol G, Willemyns N, Verhaaren B, Bossuyt X, Lagrou K, Corveleyn A, Moshous D, Jansen K, De Waele L, Meyts I.</t>
  </si>
  <si>
    <t>Neurology. 2022 Oct 11;99(15):660-664. doi: 10.1212/WNL.0000000000201124. Epub 2022 Aug 10.</t>
  </si>
  <si>
    <t>Large-scale multiplex polymerase chain reaction assay for diagnosis of viral reactivations after allogeneic hematopoietic stem cell transplantation</t>
  </si>
  <si>
    <t>Inazawa N, Hori T, Hatakeyama N, Yamamoto M, Yoto Y, Nojima M, Suzuki N, Shimizu N, Tsutsumi H.</t>
  </si>
  <si>
    <t>J Med Virol. 2015 Aug;87(8):1427-35. doi: 10.1002/jmv.24161. Epub 2015 May 6.</t>
  </si>
  <si>
    <t>Infectious etiologies of transient neutropenia in previously healthy children</t>
  </si>
  <si>
    <t>Husain EH, Mullah-Ali A, Al-Sharidah S, Azab AF, Adekile A.</t>
  </si>
  <si>
    <t>Pediatr Infect Dis J. 2012 Jun;31(6):575-7. doi: 10.1097/INF.0b013e318250084a.</t>
  </si>
  <si>
    <t>Broad spectrum antiviral T cells for viral complications after hematopoietic stem cell transplantation</t>
  </si>
  <si>
    <t>Maecker-Kolhoff B, Eiz-Vesper B.</t>
  </si>
  <si>
    <t>Ann Transl Med. 2015 May;3(Suppl 1):S4. doi: 10.3978/j.issn.2305-5839.2015.01.30.</t>
  </si>
  <si>
    <t>Ann Transl Med</t>
  </si>
  <si>
    <t>PMC4437961</t>
  </si>
  <si>
    <t>Myocardial expression of the anaphylatoxin receptor C3aR is associated with cardiac inflammation and prognosis in patients with non-ischaemic heart failure</t>
  </si>
  <si>
    <t>Mueller KAL, Patzelt J, Sauter M, Maier P, Gekeler S, Klingel K, Kandolf R, Seizer P, Gawaz M, Geisler T, Langer HF.</t>
  </si>
  <si>
    <t>ESC Heart Fail. 2018 Oct;5(5):846-857. doi: 10.1002/ehf2.12298. Epub 2018 Aug 31.</t>
  </si>
  <si>
    <t>ESC Heart Fail</t>
  </si>
  <si>
    <t>PMC6165948</t>
  </si>
  <si>
    <t>Usefulness of a comprehensive PCR-based assay for human herpes viral DNA in blood mononuclear cell samples</t>
  </si>
  <si>
    <t>Mori S, Sugahara K, Uemura A, Akamatsu N, Hirakata Y, Murata K, Hasegawa H, Yamada Y, Kamihira S.</t>
  </si>
  <si>
    <t>Lab Hematol. 2005;11(3):163-70. doi: 10.1532/LH96.05027.</t>
  </si>
  <si>
    <t>Lab Hematol</t>
  </si>
  <si>
    <t>Epidemiology and outcome for viremia in children undergoing bone marrow transplant: A retrospective cohort study</t>
  </si>
  <si>
    <t>Silcock R, Mitchell K, Fraser C, Clark J.</t>
  </si>
  <si>
    <t>Transpl Infect Dis. 2021 Aug;23(4):e13580. doi: 10.1111/tid.13580. Epub 2021 Feb 18.</t>
  </si>
  <si>
    <t>Emerging viral infections of the central nervous system: part 1</t>
  </si>
  <si>
    <t>Tyler KL.</t>
  </si>
  <si>
    <t>Arch Neurol. 2009 Aug;66(8):939-48. doi: 10.1001/archneurol.2009.153.</t>
  </si>
  <si>
    <t>PMC2873855</t>
  </si>
  <si>
    <t>NIHMS201454</t>
  </si>
  <si>
    <t>Multi-step pathogenesis of AIDS--role of cytomegalovirus</t>
  </si>
  <si>
    <t>Fiala M, Mosca JD, Barry P, Luciw PA, Vinters HV.</t>
  </si>
  <si>
    <t>Res Immunol. 1991 Feb;142(2):87-95. doi: 10.1016/0923-2494(91)90016-c.</t>
  </si>
  <si>
    <t>Res Immunol</t>
  </si>
  <si>
    <t>Human pegivirus persistence in human blood virome after allogeneic haematopoietic stem-cell transplantation</t>
  </si>
  <si>
    <t>Vu DL, Cordey S, Simonetta F, Brito F, Docquier M, Turin L, van Delden C, Boely E, Dantin C, Pradier A, Roosnek E, Chalandon Y, Zdobnov EM, Masouridi-Levrat S, Kaiser L.</t>
  </si>
  <si>
    <t>Clin Microbiol Infect. 2019 Feb;25(2):225-232. doi: 10.1016/j.cmi.2018.05.004. Epub 2018 May 19.</t>
  </si>
  <si>
    <t>[Analysis of Human Herpes Viruses-Activated Infection Spectra in Patients with Various Immunodeficiencies]</t>
  </si>
  <si>
    <t>Yuan LL, Wang F, Chen X, Zhang Y, Zhang JP, Yang JF, Ding J, Zhen CL, Wang MN, Chen DN, Han LY, Li PY, He YL, Liu HX.</t>
  </si>
  <si>
    <t>Zhongguo Shi Yan Xue Ye Xue Za Zhi. 2020 Feb;28(1):314-319. doi: 10.19746/j.cnki.issn.1009-2137.2020.01.052.</t>
  </si>
  <si>
    <t>Investigation of intrarenal viral infections in kidney transplant recipients unveils an association between parvovirus B19 and chronic allograft injury</t>
  </si>
  <si>
    <t>Barzon L, Murer L, Pacenti M, Biasolo MA, Della Vella M, Benetti E, Zanon GF, Palù G.</t>
  </si>
  <si>
    <t>J Infect Dis. 2009 Feb 1;199(3):372-80. doi: 10.1086/596053.</t>
  </si>
  <si>
    <t>Genomic investigations of unexplained acute hepatitis in children</t>
  </si>
  <si>
    <t>Morfopoulou S, Buddle S, Torres Montaguth OE, Atkinson L, Guerra-Assunção JA, Moradi Marjaneh M, Zennezini Chiozzi R, Storey N, Campos L, Hutchinson JC, Counsell JR, Pollara G, Roy S, Venturini C, Antinao Diaz JF, Siam A, Tappouni LJ, Asgarian Z, Ng J, Hanlon KS, Lennon A, McArdle A, Czap A, Rosenheim J, Andrade C, Anderson G, Lee JCD, Williams R, Williams CA, Tutill H, Bayzid N, Martin Bernal LM, Macpherson H, Montgomery KA, Moore C, Templeton K, Neill C, Holden M, Gunson R, Shepherd SJ, Shah P, Cooray S, Voice M, Steele M, Fink C, Whittaker TE, Santilli G, Gissen P, Kaufer BB, Reich J, Andreani J, Simmonds P, Alrabiah DK, Castellano S, Chikowore P, Odam M, Rampling T, Houlihan C, Hoschler K, Talts T, Celma C, Gonzalez S, Gallagher E, Simmons R, Watson C, Mandal S, Zambon M, Chand M, Hatcher J, De S, Baillie K, Semple MG; DIAMONDS Consortium; PERFORM Consortium; ISARIC 4C Investigators; Martin J, Ushiro-Lumb I, Noursadeghi M, Deheragoda M, Hadzic N, Grammatikopoulos T, Brown R, Kelgeri C, Thalassinos K, Waddington SN, Jacques TS, Thomson E, Levin M, Brown JR, Breuer J.</t>
  </si>
  <si>
    <t>Nature. 2023 May;617(7961):564-573. doi: 10.1038/s41586-023-06003-w. Epub 2023 Mar 30.</t>
  </si>
  <si>
    <t>PMC10170458</t>
  </si>
  <si>
    <t>Characterization of HIV-1 entry inhibitors with broad activity against R5 and X4 viral strains</t>
  </si>
  <si>
    <t>Sironi F, Malnati M, Mongelli N, Cozzi P, Guzzo C, Ghezzi S, Martínez-Romero C, García-Sastre A, Lusso P, Jabes D, Biswas P.</t>
  </si>
  <si>
    <t>J Transl Med. 2015 Apr 2;13:107. doi: 10.1186/s12967-015-0461-9.</t>
  </si>
  <si>
    <t>PMC4399250</t>
  </si>
  <si>
    <t>Concise review: Anemia caused by viruses</t>
  </si>
  <si>
    <t>Morinet F, Leruez-Ville M, Pillet S, Fichelson S.</t>
  </si>
  <si>
    <t>Stem Cells. 2011 Nov;29(11):1656-60. doi: 10.1002/stem.725.</t>
  </si>
  <si>
    <t>Stem Cells</t>
  </si>
  <si>
    <t>A comprehensive next generation sequencing-based virome assessment in brain tissue suggests no major virus - tumor association</t>
  </si>
  <si>
    <t>Strong MJ, Blanchard E 4th, Lin Z, Morris CA, Baddoo M, Taylor CM, Ware ML, Flemington EK.</t>
  </si>
  <si>
    <t>Acta Neuropathol Commun. 2016 Jul 11;4(1):71. doi: 10.1186/s40478-016-0338-z.</t>
  </si>
  <si>
    <t>Acta Neuropathol Commun</t>
  </si>
  <si>
    <t>PMC4940872</t>
  </si>
  <si>
    <t>A wolf in sheep's clothing: Dogs confer an unrecognized risk for their immunocompromised master</t>
  </si>
  <si>
    <t>Agarwal L, Singh H, Jani C, Banankhah P, Abdalla M, Kurman JS, Franco RA.</t>
  </si>
  <si>
    <t>Respir Med Case Rep. 2022 May 25;38:101672. doi: 10.1016/j.rmcr.2022.101672. eCollection 2022.</t>
  </si>
  <si>
    <t>Respir Med Case Rep</t>
  </si>
  <si>
    <t>PMC9149181</t>
  </si>
  <si>
    <t>Temporal dynamics of the plasma microbiome in recipients at early post-liver transplantation: a retrospective study</t>
  </si>
  <si>
    <t>Okumura T, Horiba K, Kamei H, Takeuchi S, Suzuki T, Torii Y, Kawada JI, Takahashi Y, Ogura Y, Ogi T, Ito Y.</t>
  </si>
  <si>
    <t>BMC Microbiol. 2021 Apr 6;21(1):104. doi: 10.1186/s12866-021-02154-w.</t>
  </si>
  <si>
    <t>BMC Microbiol</t>
  </si>
  <si>
    <t>PMC8025517</t>
  </si>
  <si>
    <t>Prospective, comprehensive, and effective viral monitoring in Cuban children undergoing solid organ transplantation</t>
  </si>
  <si>
    <t>Kourí V, Correa C, Martínez PA, Sanchez L, Alvarez A, González G, Silverio CE, Hondal N, Florin J, Pérez L, Duran DP, Perez Y, Cazorla N, Gonzalez D, Jaime JC, Arencibia A, Sarduy S, Pérez L, Soto Y, González M, Alvarez I, Dorticós E, Marchena JJ, Solar L, Acosta B, Savón C, Hengge U.</t>
  </si>
  <si>
    <t>Springerplus. 2014 May 16;3:247. doi: 10.1186/2193-1801-3-247. eCollection 2014.</t>
  </si>
  <si>
    <t>Springerplus</t>
  </si>
  <si>
    <t>PMC4035497</t>
  </si>
  <si>
    <t>Infection concomitant with pediatric renal allograft rejection</t>
  </si>
  <si>
    <t>Acott PD, Lee SH, Bitter-Suermann H, Lawen JG, Crocker JF.</t>
  </si>
  <si>
    <t>Transplantation. 1996 Sep 15;62(5):689-91. doi: 10.1097/00007890-199609150-00026.</t>
  </si>
  <si>
    <t>Emerging viral infections of the central nervous system: part 2</t>
  </si>
  <si>
    <t>Arch Neurol. 2009 Sep;66(9):1065-74. doi: 10.1001/archneurol.2009.189.</t>
  </si>
  <si>
    <t>PMC2876734</t>
  </si>
  <si>
    <t>NIHMS201458</t>
  </si>
  <si>
    <t>Bone-marrow transplantation and related infections</t>
  </si>
  <si>
    <t>Crawford SW.</t>
  </si>
  <si>
    <t>Semin Respir Infect. 1993 Sep;8(3):183-90.</t>
  </si>
  <si>
    <t>Infections after Allogenic Transplant with Post-Transplant Cyclophosphamide: Impact of Donor HLA Matching</t>
  </si>
  <si>
    <t>Oltolini C, Greco R, Galli L, Clerici D, Lorentino F, Xue E, Lupo Stanghellini MT, Giglio F, Uhr L, Ripa M, Scarpellini P, Bernardi M, Corti C, Peccatori J, Castagna A, Ciceri F.</t>
  </si>
  <si>
    <t>Biol Blood Marrow Transplant. 2020 Jun;26(6):1179-1188. doi: 10.1016/j.bbmt.2020.01.013. Epub 2020 Jan 28.</t>
  </si>
  <si>
    <t>The in vitro immunomodulatory effects of glyconutrients on peripheral blood mononuclear cells of patients with chronic fatigue syndrome</t>
  </si>
  <si>
    <t>See DM, Cimoch P, Chou S, Chang J, Tilles J.</t>
  </si>
  <si>
    <t>Integr Physiol Behav Sci. 1998 Jul-Sep;33(3):280-7. doi: 10.1007/BF02688668.</t>
  </si>
  <si>
    <t>Integr Physiol Behav Sci</t>
  </si>
  <si>
    <t>Hematopoietic stem cell transplantation and the noncytomegalovirus herpesviruses</t>
  </si>
  <si>
    <t>Wormser VR, Agudelo Higuita NI, Ramaswami R, Melendez DP.</t>
  </si>
  <si>
    <t>Transpl Infect Dis. 2023 Nov;25 Suppl 1:e14201. doi: 10.1111/tid.14201. Epub 2023 Dec 1.</t>
  </si>
  <si>
    <t>Diagnostic value of CD45RO expression on circulating T lymphocytes of fetuses and newborn infants with pre-, peri- or early post-natal infections</t>
  </si>
  <si>
    <t>Brüning T, Daiminger A, Enders G.</t>
  </si>
  <si>
    <t>Clin Exp Immunol. 1997 Feb;107(2):306-11. doi: 10.1111/j.1365-2249.1997.268-ce1165.x.</t>
  </si>
  <si>
    <t>PMC1904592</t>
  </si>
  <si>
    <t>Cytomegalovirus-Specific Immunity Recovers More Slowly after Cord Blood Transplantation Compared with Matched Sibling Donor Allogeneic Transplantation</t>
  </si>
  <si>
    <t>Bejanyan N, Vlasova-St Louis I, Mohei H, Cao Q, El Jurdi N, Wagner JE, Miller JS, Brunstein CG.</t>
  </si>
  <si>
    <t>Transplant Cell Ther. 2021 Feb;27(2):187.e1-187.e4. doi: 10.1016/j.jtct.2020.11.014. Epub 2020 Dec 21.</t>
  </si>
  <si>
    <t>PMC7950718</t>
  </si>
  <si>
    <t>NIHMS1661878</t>
  </si>
  <si>
    <t>Detection of Epstein-Barr virus in leucoreduced blood products</t>
  </si>
  <si>
    <t>Trottier H, Delage G, Hu J, Robitaille N, Buteau C, Tucci M, Lacroix J, Alfieri C.</t>
  </si>
  <si>
    <t>Vox Sang. 2016 Feb;110(2):199-201. doi: 10.1111/vox.12330. Epub 2015 Sep 18.</t>
  </si>
  <si>
    <t>Vox Sang</t>
  </si>
  <si>
    <t>Early viral reactivation despite excellent immune reconstitution following haploidentical Bone marrow transplant with post-transplant cytoxan for sickle cell disease</t>
  </si>
  <si>
    <t>Patel DA, Dhedin N, Chen H, Karnik L, Gatwood K, Culos K, Mohan S, Engelhardt BG, Kitko C, Connelly J, Satyanarayana G, Jagasia M, De La Fuente J, Kassim A.</t>
  </si>
  <si>
    <t>Transpl Infect Dis. 2020 Feb;22(1):e13222. doi: 10.1111/tid.13222. Epub 2019 Dec 19.</t>
  </si>
  <si>
    <t>PMC10260348</t>
  </si>
  <si>
    <t>NIHMS1902364</t>
  </si>
  <si>
    <t>Current treatment options in (peri)myocarditis and inflammatory cardiomyopathy</t>
  </si>
  <si>
    <t>Maisch B, Pankuweit S.</t>
  </si>
  <si>
    <t>Herz. 2012 Sep;37(6):644-56. doi: 10.1007/s00059-012-3679-9.</t>
  </si>
  <si>
    <t>Herz</t>
  </si>
  <si>
    <t>[Human type 6, 7, and 8 herpesviruses--new pathogens in the Herpesviridae family]</t>
  </si>
  <si>
    <t>L'vov ND, Mel'nichenko AV.</t>
  </si>
  <si>
    <t>Vopr Virusol. 1999 May-Jun;44(3):105-11.</t>
  </si>
  <si>
    <t>Investigation of cytokine polymorphisms on viral infections after renal transplantation exhibit association between IFN-γ +874 A &gt; T and CMV manifestations</t>
  </si>
  <si>
    <t>de Almeida SGS, Knakcfuss FB, Assis LM, de Sousa RCG, Matuck TA, de Carvalho DBM, Machado RLD, Guimarães MAAM, Varella RB.</t>
  </si>
  <si>
    <t>Int J Immunogenet. 2022 Dec;49(6):379-383. doi: 10.1111/iji.12601. Epub 2022 Oct 3.</t>
  </si>
  <si>
    <t>Int J Immunogenet</t>
  </si>
  <si>
    <t>HBLV (or HHV-6) in human cell lines</t>
  </si>
  <si>
    <t>Ablashi DV, Salahuddin SZ, Josephs SF, Imam F, Lusso P, Gallo RC, Hung C, Lemp J, Markham PD.</t>
  </si>
  <si>
    <t>Nature. 1987 Sep 17-23;329(6136):207. doi: 10.1038/329207a0.</t>
  </si>
  <si>
    <t>Herpesvirus infections in hematopoietic stem cell transplant recipients seropositive for human cytomegalovirus before transplantation</t>
  </si>
  <si>
    <t>Fan J, Jing M, Yang M, Xu L, Liang H, Huang Y, Yang R, Gui G, Wang H, Gong S, Wang J, Zhang X, Zhao H, Gao H, Dong H, Ma W, Hu J.</t>
  </si>
  <si>
    <t>Int J Infect Dis. 2016 May;46:89-93. doi: 10.1016/j.ijid.2016.03.025. Epub 2016 Apr 4.</t>
  </si>
  <si>
    <t>[Virus infection in children after allogenic stem cell transplantation ]</t>
  </si>
  <si>
    <t>Rybka K, Turkiewicz D.</t>
  </si>
  <si>
    <t>Postepy Hig Med Dosw. 2003;57(1):3-17.</t>
  </si>
  <si>
    <t>Postepy Hig Med Dosw</t>
  </si>
  <si>
    <t>NK cells not only in endometrium but also in ovulatory cervical mucus in patients with decreased fertility</t>
  </si>
  <si>
    <t>Ulčová-Gallová Z, Mukenšnabl P, Haschová M, Pešek M, Chaloupka P, Lošan P, Bibková K, Mičanová Z, Cibulka J, Švecová M.</t>
  </si>
  <si>
    <t>Ceska Gynekol. 2019 Spring;84(3):184-189.</t>
  </si>
  <si>
    <t>Ceska Gynekol</t>
  </si>
  <si>
    <t>Post liver transplant recurrent and de novo viral infections</t>
  </si>
  <si>
    <t>Jothimani D, Venugopal R, Vij M, Rela M.</t>
  </si>
  <si>
    <t>Best Pract Res Clin Gastroenterol. 2020 Jun-Aug;46-47:101689. doi: 10.1016/j.bpg.2020.101689. Epub 2020 Sep 26.</t>
  </si>
  <si>
    <t>Best Pract Res Clin Gastroenterol</t>
  </si>
  <si>
    <t>PMC7519014</t>
  </si>
  <si>
    <t>Multiplex polymerase chain reaction for six herpesviruses after hematopoietic stem cell transplantation</t>
  </si>
  <si>
    <t>Sawada A, Koyama-Sato M, Yasui M, Kondo O, Ishihara T, Takeshita Y, Okamura T, Nishikawa M, Inoue M, Kawa K.</t>
  </si>
  <si>
    <t>Pediatr Int. 2011 Dec;53(6):1010-7. doi: 10.1111/j.1442-200X.2011.03437.x.</t>
  </si>
  <si>
    <t>Incidence of Common Herpesviruses in Colonic Mucosal Biopsies Following Hematopoietic Stem Cell Transplantation</t>
  </si>
  <si>
    <t>Goloshchapov OV, Shvetsov AN, Chukhlovin AB, Spiridonova AA, Vladovskaya MD, Zubarovskaya LS, Kulagin AD.</t>
  </si>
  <si>
    <t>Microorganisms. 2022 Oct 27;10(11):2128. doi: 10.3390/microorganisms10112128.</t>
  </si>
  <si>
    <t>PMC9698422</t>
  </si>
  <si>
    <t>DNA Encapsidation and Capsid Assembly Are Underexploited Antiviral Targets for the Treatment of Herpesviruses</t>
  </si>
  <si>
    <t>Keil T, Liu D, Lloyd M, Coombs W, Moffat J, Visalli R.</t>
  </si>
  <si>
    <t>Front Microbiol. 2020 Aug 12;11:1862. doi: 10.3389/fmicb.2020.01862. eCollection 2020.</t>
  </si>
  <si>
    <t>PMC7434925</t>
  </si>
  <si>
    <t>Proportion of the CD19-Positive and CD19-Negative Lymphocytes and Monocytes within the Peripheral Blood Mononuclear Cell Set is Characteristic for Rheumatoid Arthritis</t>
  </si>
  <si>
    <t>Kholodnyuk I, Kadisa A, Svirskis S, Gravelsina S, Studers P, Spaka I, Sultanova A, Lejniece S, Lejnieks A, Murovska M.</t>
  </si>
  <si>
    <t>Medicina (Kaunas). 2019 Sep 24;55(10):630. doi: 10.3390/medicina55100630.</t>
  </si>
  <si>
    <t>PMC6843217</t>
  </si>
  <si>
    <t>miR155 regulation of behavior, neuropathology, and cortical transcriptomics in Alzheimer's disease</t>
  </si>
  <si>
    <t>Readhead B, Haure-Mirande JV, Mastroeni D, Audrain M, Fanutza T, Kim SH, Blitzer RD, Gandy S, Dudley JT, Ehrlich ME.</t>
  </si>
  <si>
    <t>Acta Neuropathol. 2020 Sep;140(3):295-315. doi: 10.1007/s00401-020-02185-z. Epub 2020 Jul 14.</t>
  </si>
  <si>
    <t>Acta Neuropathol</t>
  </si>
  <si>
    <t>PMC8414561</t>
  </si>
  <si>
    <t>NIHMS1612012</t>
  </si>
  <si>
    <t>BK viremia precedes hemorrhagic cystitis in children undergoing allogeneic hematopoietic stem cell transplantation</t>
  </si>
  <si>
    <t>Laskin BL, Denburg M, Furth S, Diorio D, Goebel J, Davies SM, Jodele S.</t>
  </si>
  <si>
    <t>Biol Blood Marrow Transplant. 2013 Aug;19(8):1175-82. doi: 10.1016/j.bbmt.2013.05.002. Epub 2013 May 9.</t>
  </si>
  <si>
    <t>PMC3774139</t>
  </si>
  <si>
    <t>NIHMS478413</t>
  </si>
  <si>
    <t>Viral interactions in human lymphoid tissue: Human herpesvirus 7 suppresses the replication of CCR5-tropic human immunodeficiency virus type 1 via CD4 modulation</t>
  </si>
  <si>
    <t>Lisco A, Grivel JC, Biancotto A, Vanpouille C, Origgi F, Malnati MS, Schols D, Lusso P, Margolis LB.</t>
  </si>
  <si>
    <t>J Virol. 2007 Jan;81(2):708-17. doi: 10.1128/JVI.01367-06. Epub 2006 Oct 25.</t>
  </si>
  <si>
    <t>PMC1797468</t>
  </si>
  <si>
    <t>Viral encephalitis after haplo-identical hematopoietic stem cell transplantation: Causative viral spectrum, characteristics, and risk factors</t>
  </si>
  <si>
    <t>Zhang XH, Zhang JM, Han W, Chen H, Chen YH, Wang FR, Wang JZ, Zhang YY, Mo XD, Chen Y, Wang Y, Chang YJ, Xu LP, Liu KY, Huang XJ.</t>
  </si>
  <si>
    <t>Eur J Haematol. 2017 May;98(5):450-458. doi: 10.1111/ejh.12855. Epub 2017 Mar 3.</t>
  </si>
  <si>
    <t>Human herpesvirus type 6 reactivation after haematopoietic stem cell transplantation</t>
  </si>
  <si>
    <t>de Pagter PJ, Schuurman R, Meijer E, van Baarle D, Sanders EA, Boelens JJ.</t>
  </si>
  <si>
    <t>J Clin Virol. 2008 Dec;43(4):361-6. doi: 10.1016/j.jcv.2008.08.008. Epub 2008 Oct 1.</t>
  </si>
  <si>
    <t>Status Epilepticus due to Severe HHV-6 Encephalitis in an Allogeneic Stem Cell Transplant Recipient</t>
  </si>
  <si>
    <t>Chordia P, Chandrasekar P.</t>
  </si>
  <si>
    <t>Mediterr J Hematol Infect Dis. 2014 Jan 1;6(1):e2014008. doi: 10.4084/MJHID.2014.008. eCollection 2014 Jan 1.</t>
  </si>
  <si>
    <t>PMC3894844</t>
  </si>
  <si>
    <t>Herpesvirus Screening in Childhood Hematopoietic Transplant Reveals High Systemic Inflammation in Episodes of Multiple Viral Detection and an EBV Association with Elevated IL-1β, IL-8 and Graft-Versus-Host Disease</t>
  </si>
  <si>
    <t>Rojas-Rechy MH, Gaytán-Morales F, Sánchez-Ponce Y, Castorena-Villa I, López-Martínez B, Parra-Ortega I, Escamilla-Núñez MC, Méndez-Tenorio A, Pompa-Mera EN, Martinez-Ruiz GU, Fuentes-Pananá EM, Morales-Sánchez A.</t>
  </si>
  <si>
    <t>Microorganisms. 2022 Aug 22;10(8):1685. doi: 10.3390/microorganisms10081685.</t>
  </si>
  <si>
    <t>PMC9414306</t>
  </si>
  <si>
    <t>Human Herpes Virus 6 Encephalitis Following Bone Marrow Transplantation with Uncommon Magnetic Resonance Imaging Findings</t>
  </si>
  <si>
    <t>Hwang J, Kim JE, Roh JH, Lee JH.</t>
  </si>
  <si>
    <t>Dement Neurocogn Disord. 2016 Sep;15(3):88-91. doi: 10.12779/dnd.2016.15.3.88. Epub 2016 Sep 30.</t>
  </si>
  <si>
    <t>Dement Neurocogn Disord</t>
  </si>
  <si>
    <t>PMC6427967</t>
  </si>
  <si>
    <t>Thrombotic Microangiopathy: Multi-Institutional Review of Pediatric Patients Who Underwent HSCT</t>
  </si>
  <si>
    <t>Ramgopal A, Sridar S, Dalal J, Kalpatthi R.</t>
  </si>
  <si>
    <t>J Pers Med. 2021 May 25;11(6):467. doi: 10.3390/jpm11060467.</t>
  </si>
  <si>
    <t>J Pers Med</t>
  </si>
  <si>
    <t>PMC8226470</t>
  </si>
  <si>
    <t>[HHV-6 viral encephalitis after allogeneic hematopoietic stem cell transplantation in children: two cases report and literature review]</t>
  </si>
  <si>
    <t>Luo J, Cheng YF, Yan CH, Wang Y, He CL, Huang XJ.</t>
  </si>
  <si>
    <t>Zhonghua Xue Ye Xue Za Zhi. 2019 Feb 14;40(2):152-155. doi: 10.3760/cma.j.issn.0253-2727.2019.02.012.</t>
  </si>
  <si>
    <t>PMC7342663</t>
  </si>
  <si>
    <t>Make Sure You Have a Safety Net: Updates in the Prevention and Management of Infectious Complications in Stem Cell Transplant Recipients</t>
  </si>
  <si>
    <t>Santos CAQ, Rhee Y, Czapka MT, Kazi AS, Proia LA.</t>
  </si>
  <si>
    <t>J Clin Med. 2020 Mar 21;9(3):865. doi: 10.3390/jcm9030865.</t>
  </si>
  <si>
    <t>J Clin Med</t>
  </si>
  <si>
    <t>PMC7141503</t>
  </si>
  <si>
    <t>Propagation and characterization of human herpesvirus-7 (HHV-7) isolates in a continuous T-lymphoblastoid cell line (SupT1)</t>
  </si>
  <si>
    <t>Ablashi DV, Handy M, Bernbaum J, Chatlynne LG, Lapps W, Kramarsky B, Berneman ZN, Komaroff AL, Whitman JE.</t>
  </si>
  <si>
    <t>J Virol Methods. 1998 Aug;73(2):123-40. doi: 10.1016/s0166-0934(98)00037-8.</t>
  </si>
  <si>
    <t>Oral shedding of CMV and HSV-1 in hematopoietic stem cell transplantation patients</t>
  </si>
  <si>
    <t>Costa ALF, Santos BA, Torregrossa VR, Miranda ECM, Vigorito AC, Palmieri M, Ricardo ALF, Sarmento DJS, Mamana AC, Tozetto-Mendoza TR, Correa MEP, Braz-Silva PH.</t>
  </si>
  <si>
    <t>Oral Dis. 2021 Sep;27(6):1572-1579. doi: 10.1111/odi.13690. Epub 2020 Nov 8.</t>
  </si>
  <si>
    <t>Pneumonia caused by herpesviruses in recipients of hematopoietic cell transplants</t>
  </si>
  <si>
    <t>Taplitz RA, Jordan MC.</t>
  </si>
  <si>
    <t>Semin Respir Infect. 2002 Jun;17(2):121-9. doi: 10.1053/srin.2002.33447.</t>
  </si>
  <si>
    <t>Detection of different virus-specific CD8+ T cells after kidney transplantation</t>
  </si>
  <si>
    <t>Mees ST, Kebschull L, Mardin WA, Senninger N, Suwelack B, Wolters H, Haier J.</t>
  </si>
  <si>
    <t>Surg Infect (Larchmt). 2014 Jun;15(3):274-82. doi: 10.1089/sur.2013.083. Epub 2014 May 6.</t>
  </si>
  <si>
    <t>Surg Infect (Larchmt)</t>
  </si>
  <si>
    <t>Pathogenic tracks in fatigue syndromes</t>
  </si>
  <si>
    <t>Moutschen M, Triffaux JM, Demonty J, Legros JJ, Lefèbvre PJ.</t>
  </si>
  <si>
    <t>Acta Clin Belg. 1994;49(6):274-89. doi: 10.1080/17843286.1994.11718404.</t>
  </si>
  <si>
    <t>Acta Clin Belg</t>
  </si>
  <si>
    <t>Hematopoietic cell transplantation and emerging viral infections</t>
  </si>
  <si>
    <t>Chatzidimitriou D, Gavriilaki E, Sakellari I, Diza E.</t>
  </si>
  <si>
    <t>J Med Virol. 2010 Mar;82(3):528-38. doi: 10.1002/jmv.21696.</t>
  </si>
  <si>
    <t>PMC7166846</t>
  </si>
  <si>
    <t>T cell populations propagating in the peripheral blood of patients with drug eruptions</t>
  </si>
  <si>
    <t>Nishio D, Izu K, Kabashima K, Tokura Y.</t>
  </si>
  <si>
    <t>J Dermatol Sci. 2007 Oct;48(1):25-33. doi: 10.1016/j.jdermsci.2007.05.013. Epub 2007 Jun 29.</t>
  </si>
  <si>
    <t>Inhibition of HIV-1 latency reactivation by dehydroepiandrosterone (DHEA) and an analog of DHEA</t>
  </si>
  <si>
    <t>Yang JY, Schwartz A, Henderson EE.</t>
  </si>
  <si>
    <t>AIDS Res Hum Retroviruses. 1993 Aug;9(8):747-54. doi: 10.1089/aid.1993.9.747.</t>
  </si>
  <si>
    <t>CD8+ T lymphocytes in the lung of acquired immunodeficiency syndrome patients harbor human immunodeficiency virus type 1</t>
  </si>
  <si>
    <t>Semenzato G, Agostini C, Ometto L, Zambello R, Trentin L, Chieco-Bianchi L, De Rossi A.</t>
  </si>
  <si>
    <t>Blood. 1995 May 1;85(9):2308-14.</t>
  </si>
  <si>
    <t>An assessment of interactions between hepatitis C virus and herpesvirus reactivation in liver transplant recipients using molecular surveillance</t>
  </si>
  <si>
    <t>Humar A, Washburn K, Freeman R, Paya CV, Mouas H, Alecock E, Razonable RR; PV16000 Study Group.</t>
  </si>
  <si>
    <t>Liver Transpl. 2007 Oct;13(10):1422-7. doi: 10.1002/lt.21266.</t>
  </si>
  <si>
    <t>Human herpesvirus 7-associated meningitis and optic neuritis in a patient after allogeneic stem cell transplantation</t>
  </si>
  <si>
    <t>Yoshikawa T, Yoshida J, Hamaguchi M, Kubota T, Akimoto S, Ihira M, Nishiyama Y, Asano Y.</t>
  </si>
  <si>
    <t>J Med Virol. 2003 Jul;70(3):440-3. doi: 10.1002/jmv.10414.</t>
  </si>
  <si>
    <t>Presence of herpesviruses, parvoviruses, and polyomaviruses in sinonasal lymphoma</t>
  </si>
  <si>
    <t>Jauhiainen MK, Mohanraj U, Perdomo MF, Hagström J, Haglund C, Mäkitie AA, Söderlund-Venermo M, Sinkkonen ST.</t>
  </si>
  <si>
    <t>Eur Arch Otorhinolaryngol. 2024 May 17. doi: 10.1007/s00405-024-08702-0. Online ahead of print.</t>
  </si>
  <si>
    <t>Eur Arch Otorhinolaryngol</t>
  </si>
  <si>
    <t>Human herpesvirus-7 infection of the CNS with acute myelitis in an adult bone marrow recipient</t>
  </si>
  <si>
    <t>Ward KN, White RP, Mackinnon S, Hanna M.</t>
  </si>
  <si>
    <t>Bone Marrow Transplant. 2002 Dec;30(12):983-5. doi: 10.1038/sj.bmt.1703774.</t>
  </si>
  <si>
    <t>Assessment of the cytolytic potential of a multivirus-targeted T cell therapy using a vital dye-based, flow cytometric assay</t>
  </si>
  <si>
    <t>Koukoulias K, Papayanni PG, Jones J, Kuvalekar M, Watanabe A, Velazquez Y, Gilmore S, Papadopoulou A, Leen AM, Vasileiou S.</t>
  </si>
  <si>
    <t>Front Immunol. 2023 Dec 22;14:1299512. doi: 10.3389/fimmu.2023.1299512. eCollection 2023.</t>
  </si>
  <si>
    <t>PMC10766817</t>
  </si>
  <si>
    <t>[Human herpesvirus 7 infection in patients after allogeneic hematopoietic stem cell transplantation]</t>
  </si>
  <si>
    <t>Zhonghua Yi Xue Za Zhi. 2007 Aug 14;87(30):2113-6.</t>
  </si>
  <si>
    <t>Zhonghua Yi Xue Za Zhi</t>
  </si>
  <si>
    <t>Tomorrow's challenges for herpesvirus management: potential applications of valacyclovir</t>
  </si>
  <si>
    <t>Griffiths PD.</t>
  </si>
  <si>
    <t>J Infect Dis. 2002 Oct 15;186 Suppl 1:S131-7. doi: 10.1086/342960.</t>
  </si>
  <si>
    <t>Molecular analysis and pathology of a second pediatric HIV-associated Burkitt lymphoma</t>
  </si>
  <si>
    <t>Cabalo E, Wilkinson R, Lu NT, Shimizu S, Melish M, McClain KL, Jenson HB, Shiramizu B.</t>
  </si>
  <si>
    <t>Pediatr Pathol Mol Med. 2002 Nov-Dec;21(6):525-30. doi: 10.1080/15227950290112770.</t>
  </si>
  <si>
    <t>Pediatr Pathol Mol Med</t>
  </si>
  <si>
    <t>[Clinical picture of Herpesviridae infections among immunocompromised patients: bone marrow and solid organ transplants recipients]</t>
  </si>
  <si>
    <t>Simon K, Dziemianko I.</t>
  </si>
  <si>
    <t>Przegl Epidemiol. 2003;57(2):289-97.</t>
  </si>
  <si>
    <t>Identification of novel CD8+ T cell epitopes in human herpesvirus 6B U11 and U90</t>
  </si>
  <si>
    <t>Halawi M, Khan N, Blake N.</t>
  </si>
  <si>
    <t>Immun Inflamm Dis. 2015 Jun;3(2):118-31. doi: 10.1002/iid3.55. Epub 2015 Apr 28.</t>
  </si>
  <si>
    <t>Immun Inflamm Dis</t>
  </si>
  <si>
    <t>PMC4444154</t>
  </si>
  <si>
    <t>The effect of valacyclovir treatment on natural killer cells of infertile women</t>
  </si>
  <si>
    <t>Thomas D, Michou V, Tegos V, Patargias T, Moustakarias T, Kanakas N, Mantzavinos T, Apostolidis C, Salamalekis E, Kalofoutis A, Tsilivakos V.</t>
  </si>
  <si>
    <t>Am J Reprod Immunol. 2004 Mar;51(3):248-55. doi: 10.1111/j.1600-0897.2004.00152.x.</t>
  </si>
  <si>
    <t>Dynamics of virus-specific T cell immunity in pediatric liver transplant recipients</t>
  </si>
  <si>
    <t>Arasaratnam RJ, Tzannou I, Gray T, Aguayo-Hiraldo PI, Kuvalekar M, Naik S, Gaikwad A, Liu H, Miloh T, Vera JF, Himes RW, Munoz FM, Leen AM.</t>
  </si>
  <si>
    <t>Am J Transplant. 2018 Sep;18(9):2238-2249. doi: 10.1111/ajt.14967. Epub 2018 Jul 10.</t>
  </si>
  <si>
    <t>PMC6117219</t>
  </si>
  <si>
    <t>NIHMS975499</t>
  </si>
  <si>
    <t>Transcription of HERV-E and HERV-E-related sequences in malignant and non-malignant human haematopoietic cells</t>
  </si>
  <si>
    <t>Prusty BK, zur Hausen H, Schmidt R, Kimmel R, de Villiers EM.</t>
  </si>
  <si>
    <t>Virology. 2008 Dec 5;382(1):37-45. doi: 10.1016/j.virol.2008.09.006. Epub 2008 Oct 16.</t>
  </si>
  <si>
    <t>Several herpesviruses can reactivate in a severe drug-induced multiorgan reaction in the same sequential order as in graft-versus-host disease</t>
  </si>
  <si>
    <t>Kano Y, Hiraharas K, Sakuma K, Shiohara T.</t>
  </si>
  <si>
    <t>Br J Dermatol. 2006 Aug;155(2):301-6. doi: 10.1111/j.1365-2133.2006.07238.x.</t>
  </si>
  <si>
    <t>Association of human endogenous retroviruses with multiple sclerosis and possible interactions with herpes viruses</t>
  </si>
  <si>
    <t>Christensen T.</t>
  </si>
  <si>
    <t>Rev Med Virol. 2005 May-Jun;15(3):179-211. doi: 10.1002/rmv.465.</t>
  </si>
  <si>
    <t>High Epstein-Barr virus capsid antigen IgG level associates with the carriership of CD8+ T cell somatic mutations in the STAT3 SH2 domain</t>
  </si>
  <si>
    <t>Lehikoinen J, Valori M, Jääskeläinen AJ, Laakso SM, Arstila TP, Tienari PJ.</t>
  </si>
  <si>
    <t>Clin Immunol. 2023 Oct;255:109733. doi: 10.1016/j.clim.2023.109733. Epub 2023 Aug 10.</t>
  </si>
  <si>
    <t>Posoleucel in Kidney Transplant Recipients with BK Viremia: Multicenter, Randomized, Double-Blind, Placebo-Controlled Phase 2 Trial</t>
  </si>
  <si>
    <t>Chandraker A, Regmi A, Gohh R, Sharma A, Woodle ES, Ansari MJ, Nair V, Chen LX, Alhamad T, Norman S, Cibrik D, Singh M, Alper A, Jain D, Zaky Z, Knechtle S, Sharfuddin A, Gupta G, Lonze BE, Young JH, Adey D, Faravardeh A, Dadhania DM, Rossi AP, Florescu D, Cardarelli F, Ma J, Gilmore S, Vasileiou S, Jindra PT, Wojciechowski D.</t>
  </si>
  <si>
    <t>J Am Soc Nephrol. 2024 May 1;35(5):618-629. doi: 10.1681/ASN.0000000000000329. Epub 2024 Mar 12.</t>
  </si>
  <si>
    <t>J Am Soc Nephrol</t>
  </si>
  <si>
    <t>PMC11149047</t>
  </si>
  <si>
    <t>Myalgic Encephalomyelitis/Chronic Fatigue Syndrome as a Hyper-Regulated Immune System Driven by an Interplay Between Regulatory T Cells and Chronic Human Herpesvirus Infections</t>
  </si>
  <si>
    <t>Sepúlveda N, Carneiro J, Lacerda E, Nacul L.</t>
  </si>
  <si>
    <t>Front Immunol. 2019 Nov 21;10:2684. doi: 10.3389/fimmu.2019.02684. eCollection 2019.</t>
  </si>
  <si>
    <t>PMC6883905</t>
  </si>
  <si>
    <t>Transformation of T-cell large granular lymphocyte leukaemia into a high-grade large T-cell lymphoma</t>
  </si>
  <si>
    <t>Matutes E, Wotherspoon AC, Parker NE, Osuji N, Isaacson PG, Catovsky D.</t>
  </si>
  <si>
    <t>Br J Haematol. 2001 Dec;115(4):801-6. doi: 10.1046/j.1365-2141.2001.03220.x.</t>
  </si>
  <si>
    <t>Herpes Virus Infections Other than Cytomegalovirus in the Recipients of Hematopoietic Stem Cell Transplantation</t>
  </si>
  <si>
    <t>Dadwal SS.</t>
  </si>
  <si>
    <t>Infect Dis Clin North Am. 2019 Jun;33(2):467-484. doi: 10.1016/j.idc.2019.02.012.</t>
  </si>
  <si>
    <t>The Viral Load of Human Cytomegalovirus Infection in Children following Hematopoietic Stem Cell Transplant by Chip Digital PCR</t>
  </si>
  <si>
    <t>Wang WJ, Feng M, He F, Song J, Song QQ, Xia D, Liu R, Yao HL, Han J.</t>
  </si>
  <si>
    <t>Can J Infect Dis Med Microbiol. 2022 Oct 17;2022:2786841. doi: 10.1155/2022/2786841. eCollection 2022.</t>
  </si>
  <si>
    <t>PMC9592232</t>
  </si>
  <si>
    <t>[Application of multiplex PCR assay to study early multiple herpesviruses infection during HSCT]</t>
  </si>
  <si>
    <t>Ji YH, Zhu ZL, Yang LL, Xie YY, Chen J, Liu H, Ma X, Liu YJ, He J, Han Y, Wu DP, Wu XJ.</t>
  </si>
  <si>
    <t>Zhonghua Xue Ye Xue Za Zhi. 2019 Feb 14;40(2):125-131. doi: 10.3760/cma.j.issn.0253-2727.2019.02.006.</t>
  </si>
  <si>
    <t>PMC7342664</t>
  </si>
  <si>
    <t>T-cell response to viral antigens in adults and children with common variable immunodeficiency and specific antibody deficiency</t>
  </si>
  <si>
    <t>Haveman LM, Scherrenburg J, Maarschalk-Ellerbroek LJ, Hoek PD, Schuurman R, de Jager W, Ellerbroek PM, Prakken BJ, van Baarle D, van Montfrans JM.</t>
  </si>
  <si>
    <t>Clin Exp Immunol. 2010 Jul 1;161(1):108-17. doi: 10.1111/j.1365-2249.2010.04159.x. Epub 2010 Apr 9.</t>
  </si>
  <si>
    <t>PMC2940155</t>
  </si>
  <si>
    <t>Stricturing Crohn's disease-like colitis in a patient treated with belatacept</t>
  </si>
  <si>
    <t>Bozon A, Jeantet G, Rivière B, Funakoshi N, Dufour G, Combes R, Valats JC, Delmas S, Serre JE, Bismuth M, Ramos J, Le Quintrec M, Blanc P, Pineton de Chambrun G.</t>
  </si>
  <si>
    <t>World J Gastroenterol. 2017 Dec 28;23(48):8660-8665. doi: 10.3748/wjg.v23.i48.8660.</t>
  </si>
  <si>
    <t>PMC5752725</t>
  </si>
  <si>
    <t>Neonatal syncytial giant cell hepatitis with paramyxoviral-like inclusions</t>
  </si>
  <si>
    <t>Hicks J, Barrish J, Zhu SH.</t>
  </si>
  <si>
    <t>Ultrastruct Pathol. 2001 Jan-Feb;25(1):65-71. doi: 10.1080/019131201300004708.</t>
  </si>
  <si>
    <t>Ultrastruct Pathol</t>
  </si>
  <si>
    <t>An overview of viral infections of the nervous system in the immunosuppressed</t>
  </si>
  <si>
    <t>Kennedy PGE.</t>
  </si>
  <si>
    <t>J Neurol. 2021 Aug;268(8):3026-3030. doi: 10.1007/s00415-020-10265-z. Epub 2020 Oct 13.</t>
  </si>
  <si>
    <t>PMC7552955</t>
  </si>
  <si>
    <t>Dynamics of active progressive infection with HIV1: data acquisition for computer modeling</t>
  </si>
  <si>
    <t>Krueger GR, Koch B, Weldner JD, Tymister G, Ramon A, Brandt ME, Wang G, Buja LM.</t>
  </si>
  <si>
    <t>In Vivo. 2001 Nov-Dec;15(6):513-8.</t>
  </si>
  <si>
    <t>Transfusion-Associated Infections with Cytomegalovirus and Other Human Herpesviruses</t>
  </si>
  <si>
    <t>Kühn JE.</t>
  </si>
  <si>
    <t>Infusionsther Transfusionsmed. 2000 May;27(3):138-143. doi: 10.1159/000025258.</t>
  </si>
  <si>
    <t>Infusionsther Transfusionsmed</t>
  </si>
  <si>
    <t>Presence of Parvovirus B19 but Not Herpesvirus Genome in Acute Skin Rash after Allogeneic Stem Cell Transplantation Correlates with Outcome</t>
  </si>
  <si>
    <t>Weber T, Schmidberger A, Ligeti K, Bauer M, Rosenwald A, Müller LP.</t>
  </si>
  <si>
    <t>Acta Haematol. 2021;144(2):202-211. doi: 10.1159/000509739. Epub 2020 Sep 9.</t>
  </si>
  <si>
    <t>Acta Haematol</t>
  </si>
  <si>
    <t>PMC8117254</t>
  </si>
  <si>
    <t>Cellular and humoral immune abnormalities in Gulf War veterans</t>
  </si>
  <si>
    <t>Vojdani A, Thrasher JD.</t>
  </si>
  <si>
    <t>Environ Health Perspect. 2004 Jun;112(8):840-6. doi: 10.1289/ehp.6881.</t>
  </si>
  <si>
    <t>Environ Health Perspect</t>
  </si>
  <si>
    <t>PMC1242010</t>
  </si>
  <si>
    <t>Angioimmunoblastic T cell lymphomas: frequent cutaneous skin lesions and absence of human herpes viruses</t>
  </si>
  <si>
    <t>Yoon GS, Choi YK, Bak H, Kim BJ, Kim MN, Choi J, Rheu HM, Huh J, Choi JH, Chang SE.</t>
  </si>
  <si>
    <t>Ann Dermatol. 2009 Feb;21(1):1-5. doi: 10.5021/ad.2009.21.1.1. Epub 2009 Feb 28.</t>
  </si>
  <si>
    <t>Ann Dermatol</t>
  </si>
  <si>
    <t>PMC2883358</t>
  </si>
  <si>
    <t>[THE FEATURES OF THE COURSE OF INFECTIOUS MONONUKLEOSIS OF DIFFERENT ETIOLOGY IN CHILDREN]</t>
  </si>
  <si>
    <t>Kharchenko Y, Zaretska A, Broshkov M.</t>
  </si>
  <si>
    <t>Georgian Med News. 2019 Feb;(287):51-56.</t>
  </si>
  <si>
    <t>Georgian Med News</t>
  </si>
  <si>
    <t>Human herpesvirus type 6 reactivation after haploidentical hematopoietic cell transplantation with post-transplant cyclophosphamide and antithymocyte globulin: risk factors and clinical impact</t>
  </si>
  <si>
    <t>Paviglianiti A, Maia T, Gozlan JM, Brissot E, Malard F, Banet A, Van de Wyngaert Z, Ledraa T, Belhocine R, Sestili S, Capes A, Stocker N, Bonnin A, Vekhoff A, Legrand O, Mohty M, Duléry R.</t>
  </si>
  <si>
    <t>Clin Hematol Int. 2024 Feb 2;6(1):26-38. doi: 10.46989/001c.92525. eCollection 2024.</t>
  </si>
  <si>
    <t>PMC11087003</t>
  </si>
  <si>
    <t>Detection of CMV DNA: is EDTA whole blood superior to EDTA plasma?</t>
  </si>
  <si>
    <t>Koidl C, Bozic M, Marth E, Kessler HH.</t>
  </si>
  <si>
    <t>J Virol Methods. 2008 Dec;154(1-2):210-2. doi: 10.1016/j.jviromet.2008.08.012. Epub 2008 Oct 1.</t>
  </si>
  <si>
    <t>Herpes virus-related lymphoproliferative disorders following allogeneic bone marrow transplantation: clinical and biological characteristics of six cases</t>
  </si>
  <si>
    <t>Brion A, Cahn JY, Mougin C, Angonin R, Flesch M, Deschaseaux ML, Plouvier E, Deconinck E, Voillat L, Racadot E, et al.</t>
  </si>
  <si>
    <t>Nouv Rev Fr Hematol (1978). 1995;37(6):289-96.</t>
  </si>
  <si>
    <t>Nouv Rev Fr Hematol (1978)</t>
  </si>
  <si>
    <t>Acute GVHD, BK virus hemorrhagic cystitis and age are risk factors for transplant-associated thrombotic microangiopathy in adults</t>
  </si>
  <si>
    <t>Vasu S, Bostic M, Zhao Q, Sharma N, Puto M, Knight S, Scott D, Guzman R, Kromer M, Tackett K, Lind K, Knill K, Watson E, Wall S, Saad A, Choe H, Larkin K, Brammer J, Jaglowski S, Penza S, Davies SM, Cataland S.</t>
  </si>
  <si>
    <t>Blood Adv. 2022 Feb 22;6(4):1342-1349. doi: 10.1182/bloodadvances.2021004933.</t>
  </si>
  <si>
    <t>PMC8864665</t>
  </si>
  <si>
    <t>Infectious agents and inflammation in donated hearts and dilated cardiomyopathies related to cardiovascular diseases, Chagas' heart disease, primary and secondary dilated cardiomyopathies</t>
  </si>
  <si>
    <t>Mangini S, Higuchi Mde L, Kawakami JT, Reis MM, Ikegami RN, Palomino SA, Pomerantzeff PM, Fiorelli AI, Marcondes-Braga FG, Bacal F, Ferreira SM, Issa VS, Souza GE, Chizzola PR, Bocchi EA.</t>
  </si>
  <si>
    <t>Int J Cardiol. 2015 Jan 15;178:55-62. doi: 10.1016/j.ijcard.2014.10.133. Epub 2014 Oct 23.</t>
  </si>
  <si>
    <t>Int J Cardiol</t>
  </si>
  <si>
    <t>Impact of human herpes virus 6 in liver transplantation</t>
  </si>
  <si>
    <t>Razonable RR, Lautenschlager I.</t>
  </si>
  <si>
    <t>World J Hepatol. 2010 Sep 27;2(9):345-53. doi: 10.4254/wjh.v2.i9.345.</t>
  </si>
  <si>
    <t>World J Hepatol</t>
  </si>
  <si>
    <t>PMC2998978</t>
  </si>
  <si>
    <t>Herpetic (non-cytomegalovirus) retinal infections in patients with the acquired immunodeficiency syndrome</t>
  </si>
  <si>
    <t>Stewart MW.</t>
  </si>
  <si>
    <t>Curr HIV Res. 2013 Apr;11(3):210-9. doi: 10.2174/1570162x11311030005.</t>
  </si>
  <si>
    <t>Human immunodeficiency virus and liver transplantation: our point of view</t>
  </si>
  <si>
    <t>Di Benedetto F, Di Sandro S, De Ruvo N, Berretta M, Montalti R, Guerrini GP, Ballarin R, De Blasiis MG, Spaggiari M, Smerieri N, Iemmolo RM, Guaraldi G, Gerunda GE.</t>
  </si>
  <si>
    <t>Transplant Proc. 2008 Jul-Aug;40(6):1965-71. doi: 10.1016/j.transproceed.2008.05.067.</t>
  </si>
  <si>
    <t>Advances and Prospect in Herpesviruses infections after Hematopoietic Cell Transplantation: Closer to the Finish Line?</t>
  </si>
  <si>
    <t>Sassine J, Siegrist EA, Shafat TF, Chemaly RF.</t>
  </si>
  <si>
    <t>Clin Microbiol Infect. 2024 Jun 28:S1198-743X(24)00300-8. doi: 10.1016/j.cmi.2024.06.020. Online ahead of print.</t>
  </si>
  <si>
    <t>Human herpes simplex virus-6 (HHV-6) detection and seroprevalence among Qatari nationals and immigrants residing in Qatar</t>
  </si>
  <si>
    <t>Al-Sadeq DW, Zedan HT, Aldewik N, Elkhider A, Hicazi A, Younes N, Ayoub HH, Raddad LA, Yassine HM, Nasrallah GK.</t>
  </si>
  <si>
    <t>IJID Reg. 2021 Dec 16;2:90-95. doi: 10.1016/j.ijregi.2021.12.005. eCollection 2022 Mar.</t>
  </si>
  <si>
    <t>IJID Reg</t>
  </si>
  <si>
    <t>PMC9216376</t>
  </si>
  <si>
    <t>Herpesvirus Infections in KIR2DL2-Positive Multiple Sclerosis Patients: Mechanisms Triggering Autoimmunity</t>
  </si>
  <si>
    <t>Bortolotti D, Gentili V, Bortoluzzi A, Govoni M, Schiuma G, Beltrami S, Rizzo S, Baldi E, Caselli E, Pugliatti M, Castellazzi M, Fernández M, Fainardi E, Rizzo R.</t>
  </si>
  <si>
    <t>Microorganisms. 2022 Feb 23;10(3):494. doi: 10.3390/microorganisms10030494.</t>
  </si>
  <si>
    <t>PMC8954585</t>
  </si>
  <si>
    <t>Association between serological indicators of past contacts with Herpesviridae and a slower resolution of chronic spontaneous urticaria in children</t>
  </si>
  <si>
    <t>Čavčić A, Đaković Rode O, Trkulja V.</t>
  </si>
  <si>
    <t>Croat Med J. 2023 Apr 30;64(2):67-74. doi: 10.3325/cmj.2023.64.67.</t>
  </si>
  <si>
    <t>Croat Med J</t>
  </si>
  <si>
    <t>PMC10183955</t>
  </si>
  <si>
    <t>Viral genomes in lymphomas of patients with Sjögren's syndrome</t>
  </si>
  <si>
    <t>Fox RI, Saito I, Chan EK, Josephs S, Salahuddin SZ, Ahlashi DV, Staal FW, Gallo R, Pei-Ping H, Le CS.</t>
  </si>
  <si>
    <t>J Autoimmun. 1989 Aug;2(4):449-55. doi: 10.1016/0896-8411(89)90174-1.</t>
  </si>
  <si>
    <t>Roxithromycin-Associated Acute Thrombocytopenia</t>
  </si>
  <si>
    <t>Rossi M, Capecchi M, Lazzerini PE.</t>
  </si>
  <si>
    <t>Am J Case Rep. 2021 Jun 30;22:e932039. doi: 10.12659/AJCR.932039.</t>
  </si>
  <si>
    <t>Am J Case Rep</t>
  </si>
  <si>
    <t>PMC8255079</t>
  </si>
  <si>
    <t>Opportunistic virus DNA levels after pediatric stem cell transplantation: serostatus matching, anti-thymocyte globulin, and total body irradiation are additive risk factors</t>
  </si>
  <si>
    <t>Kullberg-Lindh C, Mellgren K, Friman V, Fasth A, Ascher H, Nilsson S, Lindh M.</t>
  </si>
  <si>
    <t>Transpl Infect Dis. 2011 Apr;13(2):122-30. doi: 10.1111/j.1399-3062.2010.00564.x. Epub 2010 Sep 7.</t>
  </si>
  <si>
    <t>Evaluation of human herpesvirus type 8 infection in childhood langerhans cell histiocytosis</t>
  </si>
  <si>
    <t>Jenson HB, McClain KL, Leach CT, Deng JH, Gao SJ.</t>
  </si>
  <si>
    <t>Am J Hematol. 2000 Aug;64(4):237-41. doi: 10.1002/1096-8652(200008)64:4&lt;237::aid-ajh1&gt;3.0.co;2-d.</t>
  </si>
  <si>
    <t>Non-A to E hepatitis in children: Detecting a novel viral epidemic during the COVID-19 pandemic</t>
  </si>
  <si>
    <t>Brüssow H.</t>
  </si>
  <si>
    <t>Microb Biotechnol. 2023 Oct;16(10):1879-1887. doi: 10.1111/1751-7915.14329. Epub 2023 Aug 21.</t>
  </si>
  <si>
    <t>Microb Biotechnol</t>
  </si>
  <si>
    <t>PMC10527185</t>
  </si>
  <si>
    <t>[Angioimmunoblastic T-cell lymphoma presenting with rapidly increasing biclonal gammopathy]</t>
  </si>
  <si>
    <t>Tasaka T, Matsuhashi Y, Uehara E, Tamura T, Kuwajima M, Nagai M.</t>
  </si>
  <si>
    <t>Rinsho Ketsueki. 2000 Dec;41(12):1281-4.</t>
  </si>
  <si>
    <t>Dynamics of HTLV-1 leukemogenesis: data acquisition for computer modeling</t>
  </si>
  <si>
    <t>In Vivo. 2002 Mar-Apr;16(2):87-92.</t>
  </si>
  <si>
    <t>Influenza-A mediated pre-existing immunity levels to SARS-CoV-2 could predict early COVID-19 outbreak dynamics</t>
  </si>
  <si>
    <t>Almazán NM, Rahbar A, Carlsson M, Hoffman T, Kolstad L, Rönnberg B, Pantalone MR, Fuchs IL, Nauclér A, Ohlin M, Sacharczuk M, Religa P, Amér S, Molnár C, Lundkvist Å, Susrud A, Sörensen B, Söderberg-Nauclér C.</t>
  </si>
  <si>
    <t>iScience. 2023 Nov 14;26(12):108441. doi: 10.1016/j.isci.2023.108441. eCollection 2023 Dec 15.</t>
  </si>
  <si>
    <t>PMC10746369</t>
  </si>
  <si>
    <t>Evans syndrome after unrelated bone marrow transplantation for refractory cytopenia of childhood</t>
  </si>
  <si>
    <t>Ueki H, Igarashi S, Kimura S, Tsuchimochi T, Furudate K, Sakurai A, Noguchi Y, Sunami S.</t>
  </si>
  <si>
    <t>Pediatr Transplant. 2014 Nov;18(7):E246-51. doi: 10.1111/petr.12323. Epub 2014 Jul 29.</t>
  </si>
  <si>
    <t>A link between severe hepatitis in children and adenovirus 41 and adeno-associated virus 2 infections</t>
  </si>
  <si>
    <t>Grand RJ.</t>
  </si>
  <si>
    <t>J Gen Virol. 2022 Nov;103(11). doi: 10.1099/jgv.0.001783.</t>
  </si>
  <si>
    <t>[Meningoencephalitis caused by West Nile virus in a renal transplant recipient]</t>
  </si>
  <si>
    <t>Ertilav M, Ozkul A, Zeytinoğlu A, Sen S, Sipahi S, Töz H, Kitiş O, Eraslan C.</t>
  </si>
  <si>
    <t>Mikrobiyol Bul. 2014 Oct;48(4):674-82. doi: 10.5578/mb.8212.</t>
  </si>
  <si>
    <t>Co-infections of human herpesviruses (CMV, HHV-6, HHV-7 and EBV) in non-transplant acute leukemia patients undergoing chemotherapy</t>
  </si>
  <si>
    <t>Handous I, Achour B, Marzouk M, Rouis S, Hazgui O, Brini I, Khelif A, Hannachi N, Boukadida J.</t>
  </si>
  <si>
    <t>Virol J. 2020 Mar 17;17(1):37. doi: 10.1186/s12985-020-01302-4.</t>
  </si>
  <si>
    <t>PMC7079388</t>
  </si>
  <si>
    <t>A case of rapidly progressive Rosai-Dorfman disease restricted to the central nervous system</t>
  </si>
  <si>
    <t>Gies U, Gruia D, Lassmann H, Bergmann M.</t>
  </si>
  <si>
    <t>Zentralbl Neurochir. 2005 Aug;66(3):142-6. doi: 10.1055/s-2004-836228.</t>
  </si>
  <si>
    <t>Zentralbl Neurochir</t>
  </si>
  <si>
    <t>Human pathogenic virus-associated pseudolymphomas and lymphomas with primary cutaneous manifestation in humans and animals</t>
  </si>
  <si>
    <t>Wagner M, Rose VA, Linder R, Schulze HJ, Krueger GR.</t>
  </si>
  <si>
    <t>Clin Infect Dis. 1998 Nov;27(5):1299-308. doi: 10.1086/514992.</t>
  </si>
  <si>
    <t>Commentary: Multiscale Analysis of Independent Alzheimer's Cohorts Finds Disruption of Molecular, Genetic, and Clinical Networks by Human Herpesvirus</t>
  </si>
  <si>
    <t>Sun XW, Liu CM, Teng ZQ.</t>
  </si>
  <si>
    <t>Front Mol Neurosci. 2018 Sep 20;11:340. doi: 10.3389/fnmol.2018.00340. eCollection 2018.</t>
  </si>
  <si>
    <t>Front Mol Neurosci</t>
  </si>
  <si>
    <t>PMC6158328</t>
  </si>
  <si>
    <t>Establishment of Multiplex Solid-Phase Strip PCR Test for Detection of 24 Ocular Infectious Disease Pathogens</t>
  </si>
  <si>
    <t>Nakano S, Sugita S, Tomaru Y, Hono A, Nakamuro T, Kubota T, Takase H, Mochizuki M, Takahashi M, Shimizu N.</t>
  </si>
  <si>
    <t>Invest Ophthalmol Vis Sci. 2017 Mar 1;58(3):1553-1559. doi: 10.1167/iovs.16-20556.</t>
  </si>
  <si>
    <t>Invest Ophthalmol Vis Sci</t>
  </si>
  <si>
    <t>[Histogenesis of malignant lymphomas]</t>
  </si>
  <si>
    <t>Delsol G, Brousset P, Schlaifer D.</t>
  </si>
  <si>
    <t>Rev Prat. 1993 Sep 1;43(13):1627-32.</t>
  </si>
  <si>
    <t>The Impact of Human Herpesviruses in Clinical Practice of Inflammatory Bowel Disease in the Era of COVID-19</t>
  </si>
  <si>
    <t>Hosomi S, Nishida Y, Fujiwara Y.</t>
  </si>
  <si>
    <t>Microorganisms. 2021 Sep 3;9(9):1870. doi: 10.3390/microorganisms9091870.</t>
  </si>
  <si>
    <t>PMC8468540</t>
  </si>
  <si>
    <t>Adverse antibiotic-induced eruptions associated with epstein barr virus infection and showing Kikuchi-Fujimoto disease-like histology</t>
  </si>
  <si>
    <t>Carlson JA, Perlmutter A, Tobin E, Richardson D, Rohwedder A.</t>
  </si>
  <si>
    <t>Am J Dermatopathol. 2006 Feb;28(1):48-55. doi: 10.1097/01.dad.0000164604.56650.26.</t>
  </si>
  <si>
    <t>Presence of viremia during febrile neutropenic episodes in patients undergoing chemotherapy for malignant neoplasms</t>
  </si>
  <si>
    <t>Obrová K, Grumaz S, Remely M, Czurda S, Krickl I, Herndlhofer S, Gleixner KV, Sperr WR, Größlinger L, Frank T, Andrade N, Egger-Matiqi T, Peters C, Engstler G, Dworzak M, Attarbaschi A, van Grotel M, van den Heuvel-Eibrink MM, Moiseev IS, Rogacheva Y, Zubarovskaya L, Zubarovskaya N, Pichler H, Lawitschka A, Koller E, Keil F, Valent P, Sohn K, Lion T.</t>
  </si>
  <si>
    <t>Am J Hematol. 2021 Jun 1;96(6):719-726. doi: 10.1002/ajh.26177. Epub 2021 May 3.</t>
  </si>
  <si>
    <t>Still's disease and the mitochondrion: the other face of an old friend?</t>
  </si>
  <si>
    <t>Hayem F, Hayem G.</t>
  </si>
  <si>
    <t>Med Hypotheses. 2012 Aug;79(2):136-7. doi: 10.1016/j.mehy.2012.04.009. Epub 2012 May 11.</t>
  </si>
  <si>
    <t>Nontraumatic Myelopathy in Malawi: A Prospective Study in an Area with High HIV Prevalence</t>
  </si>
  <si>
    <t>Zijlstra EE, van Hellemond JJ, Moes AD, de Boer C, Boeschoten SA, van Blijswijk CEM, van der Vuurst de Vries RM, Bailey PAB, Kampondeni S, van Lieshout L, Smits SL, Katchanov J, Mkandawire NM, Rothe C.</t>
  </si>
  <si>
    <t>Am J Trop Med Hyg. 2020 Feb;102(2):451-457. doi: 10.4269/ajtmh.19-0209.</t>
  </si>
  <si>
    <t>Am J Trop Med Hyg</t>
  </si>
  <si>
    <t>PMC7008330</t>
  </si>
  <si>
    <t>[Clinical-etiological and MRI parallels of encephalitis in children]</t>
  </si>
  <si>
    <t>Skripchenko EY, Ivanova GP, Skripchenko NV, Astapova AV, Gorelik EY, Vilnitz AA, Marchenko NV.</t>
  </si>
  <si>
    <t>Zh Nevrol Psikhiatr Im S S Korsakova. 2021;121(11. Vyp. 2):86-94. doi: 10.17116/jnevro202112111286.</t>
  </si>
  <si>
    <t>Zh Nevrol Psikhiatr Im S S Korsakova</t>
  </si>
  <si>
    <t>Evaluation of a Next-Generation Sequencing Metagenomics Assay to Detect and Quantify DNA Viruses in Plasma from Transplant Recipients</t>
  </si>
  <si>
    <t>Sam SS, Rogers R, Gillani FS, Tsongalis GJ, Kraft CS, Caliendo AM.</t>
  </si>
  <si>
    <t>J Mol Diagn. 2021 Jun;23(6):719-731. doi: 10.1016/j.jmoldx.2021.02.008. Epub 2021 Mar 9.</t>
  </si>
  <si>
    <t>J Mol Diagn</t>
  </si>
  <si>
    <t>PMC8279015</t>
  </si>
  <si>
    <t>A plausible contributor to multiple sclerosis; presentation of antigenic myelin protein epitopes by major histocompatibility complexes</t>
  </si>
  <si>
    <t>Jakhmola S, Sk MF, Chatterjee A, Jain K, Kar P, Jha HC.</t>
  </si>
  <si>
    <t>Comput Biol Med. 2022 Sep;148:105856. doi: 10.1016/j.compbiomed.2022.105856. Epub 2022 Jul 14.</t>
  </si>
  <si>
    <t>Comput Biol Med</t>
  </si>
  <si>
    <t>Acceleration of allograft failure by cytomegalovirus</t>
  </si>
  <si>
    <t>Streblow DN, Orloff SL, Nelson JA.</t>
  </si>
  <si>
    <t>Curr Opin Immunol. 2007 Oct;19(5):577-82. doi: 10.1016/j.coi.2007.07.012. Epub 2007 Aug 22.</t>
  </si>
  <si>
    <t>Curr Opin Immunol</t>
  </si>
  <si>
    <t>PMC3509935</t>
  </si>
  <si>
    <t>NIHMS32239</t>
  </si>
  <si>
    <t>Pharmacotherapy of post-transplant viral infections</t>
  </si>
  <si>
    <t>Sun HY, Singh N.</t>
  </si>
  <si>
    <t>Expert Opin Pharmacother. 2008 Oct;9(14):2409-21. doi: 10.1517/14656566.9.14.2409.</t>
  </si>
  <si>
    <t>Acute severe non-A-E-hepatitis of unknown origin in children - A 30-year retrospective observational study from north-west Germany</t>
  </si>
  <si>
    <t>Leiskau C, Tsaka S, Meyer-Ruhnke L, Mutschler FE, Pfister ED, Lainka E, Baumann U.</t>
  </si>
  <si>
    <t>J Hepatol. 2023 May;78(5):971-978. doi: 10.1016/j.jhep.2022.12.012. Epub 2022 Dec 23.</t>
  </si>
  <si>
    <t>Red Cell Distribution Width and Mean Platelet Volume in Patients With Pityriasis Rosea</t>
  </si>
  <si>
    <t>Pancar GS, Eyupoglu O.</t>
  </si>
  <si>
    <t>J Clin Med Res. 2016 Jun;8(6):445-8. doi: 10.14740/jocmr2535w. Epub 2016 May 25.</t>
  </si>
  <si>
    <t>J Clin Med Res</t>
  </si>
  <si>
    <t>PMC4852777</t>
  </si>
  <si>
    <t>Demystifying the global outbreak of severe acute hepatitis of unknown aetiology in children: A systematic review and meta-analysis</t>
  </si>
  <si>
    <t>Phan J, Eslick GD, Elliott EJ.</t>
  </si>
  <si>
    <t>J Infect. 2024 Jan;88(1):2-14. doi: 10.1016/j.jinf.2023.11.011. Epub 2023 Nov 24.</t>
  </si>
  <si>
    <t>Hematol Oncol Clin North Am. 2011 Feb;25(1):171-91. doi: 10.1016/j.hoc.2010.11.012.</t>
  </si>
  <si>
    <t>Hematol Oncol Clin North Am</t>
  </si>
  <si>
    <t>Impact assessment and investigation of factors associated with herpesviruses viremia in the first year of renal transplantation</t>
  </si>
  <si>
    <t>Savassi-Ribas F, Gomes Dos Santos de Almeida S, Baez CF, Magalhães de Souza L, Wagner TCS, Matuck TA, Monteiro de Carvalho DB, Marandino Guimarães MAA, Varella RB.</t>
  </si>
  <si>
    <t>J Med Virol. 2020 Jan;92(1):107-112. doi: 10.1002/jmv.25580. Epub 2019 Sep 5.</t>
  </si>
  <si>
    <t>Atypical cellular disorders</t>
  </si>
  <si>
    <t>McClain KL, Natkunam Y, Swerdlow SH.</t>
  </si>
  <si>
    <t>Hematology Am Soc Hematol Educ Program. 2004:283-96. doi: 10.1182/asheducation-2004.1.283.</t>
  </si>
  <si>
    <t>Human herpesvirus 7 primary infection in kidney transplant recipients</t>
  </si>
  <si>
    <t>Antón A, Cervera C, Pumarola T, Moreno A, Benito N, Linares L, Esteva C, Cofán F, Jiménez de Anta MT, Marcos MA.</t>
  </si>
  <si>
    <t>Transplantation. 2008 Jan 27;85(2):298-302. doi: 10.1097/TP.0b013e3181601413.</t>
  </si>
  <si>
    <t>Standard and etiology-directed evidence-based therapies in myocarditis: state of the art and future perspectives</t>
  </si>
  <si>
    <t>Heart Fail Rev. 2013 Nov;18(6):761-95. doi: 10.1007/s10741-012-9362-7.</t>
  </si>
  <si>
    <t>Heart Fail Rev</t>
  </si>
  <si>
    <t>Third dose of basiliximab in pediatric renal transplantation</t>
  </si>
  <si>
    <t>Acott PD, Lawen JG, Crocker JF.</t>
  </si>
  <si>
    <t>Transplant Proc. 2004 Nov;36(9):2628-31. doi: 10.1016/j.transproceed.2004.09.081.</t>
  </si>
  <si>
    <t>Diagnosis of pulmonary infections in immunocompromised patients by fiber-optic bronchoscopy with bronchoalveolar lavage and serology</t>
  </si>
  <si>
    <t>Eriksson BM, Dahl H, Wang FZ, Elvin K, Hillerdal G, Lundholm M, Linde A, Olding-Stenkvist E.</t>
  </si>
  <si>
    <t>Scand J Infect Dis. 1996;28(5):479-85. doi: 10.3109/00365549609037944.</t>
  </si>
  <si>
    <t>Detection of Epstein-Barr virus and human herpesvirus 7 and 8 genomes in primary cutaneous T- and B-cell lymphomas</t>
  </si>
  <si>
    <t>Nagore E, Ledesma E, Collado C, Oliver V, Pérez-Pérez A, Aliaga A.</t>
  </si>
  <si>
    <t>Br J Dermatol. 2000 Aug;143(2):320-3. doi: 10.1046/j.1365-2133.2000.03657.x.</t>
  </si>
  <si>
    <t>Detection and monitoring of human herpesvirus 7 in adult liver transplant patients: impact on clinical course and association with cytomegalovirus</t>
  </si>
  <si>
    <t>Thomasini RL, Sampaio AM, Bonon SH, Boin IF, Leonardi LS, Leonardi M, Costa SC.</t>
  </si>
  <si>
    <t>Transplant Proc. 2007 Jun;39(5):1537-9. doi: 10.1016/j.transproceed.2006.12.037.</t>
  </si>
  <si>
    <t>Overwhelming Evidence for a Major Role for Herpes Simplex Virus Type 1 (HSV1) in Alzheimer's Disease (AD); Underwhelming Evidence against</t>
  </si>
  <si>
    <t>Itzhaki RF.</t>
  </si>
  <si>
    <t>Vaccines (Basel). 2021 Jun 21;9(6):679. doi: 10.3390/vaccines9060679.</t>
  </si>
  <si>
    <t>Vaccines (Basel)</t>
  </si>
  <si>
    <t>PMC8234998</t>
  </si>
  <si>
    <t>Clinicopathological characteristics of 3 probable pediatric cases with acute severe hepatitis of unknown aetiology</t>
  </si>
  <si>
    <t>Li M, Jiang L, Liu S, Xu P, Wei H, Li Y, Guo C, Zhu L, Zhao B, Liu Y, Zhang M, Zhao J.</t>
  </si>
  <si>
    <t>New Microbes New Infect. 2023 Dec 1;56:101203. doi: 10.1016/j.nmni.2023.101203. eCollection 2024 Jan.</t>
  </si>
  <si>
    <t>New Microbes New Infect</t>
  </si>
  <si>
    <t>PMC10749268</t>
  </si>
  <si>
    <t>Cytomegalovirus replication and "herpesvirus burden" as risk factor of cardiovascular events in the first year after renal transplantation</t>
  </si>
  <si>
    <t>Gómez E, Laurés A, Baltar JM, Melón S, Díez B, de Oña M.</t>
  </si>
  <si>
    <t>Transplant Proc. 2005 Nov;37(9):3760-3. doi: 10.1016/j.transproceed.2005.08.058.</t>
  </si>
  <si>
    <t>Molecular cloning of a novel human CC chemokine EBI1-ligand chemokine that is a specific functional ligand for EBI1, CCR7</t>
  </si>
  <si>
    <t>Yoshida R, Imai T, Hieshima K, Kusuda J, Baba M, Kitaura M, Nishimura M, Kakizaki M, Nomiyama H, Yoshie O.</t>
  </si>
  <si>
    <t>J Biol Chem. 1997 May 23;272(21):13803-9. doi: 10.1074/jbc.272.21.13803.</t>
  </si>
  <si>
    <t>Hepatitis during pregnancy: A case of hemophagocytic lymphohistiocytosis</t>
  </si>
  <si>
    <t>Yildiz H, Vandercam B, Thissen X, Komuta M, Lanthier N, Debieve F, Dahlqvist G.</t>
  </si>
  <si>
    <t>Clin Res Hepatol Gastroenterol. 2018 Jun;42(3):e49-e55. doi: 10.1016/j.clinre.2017.10.007. Epub 2017 Nov 24.</t>
  </si>
  <si>
    <t>Clin Res Hepatol Gastroenterol</t>
  </si>
  <si>
    <t>Treatment of DIHS/DRESS syndrome with combined N-acetylcysteine, prednisone and valganciclovir--a hypothesis</t>
  </si>
  <si>
    <t>Moling O, Tappeiner L, Piccin A, Pagani E, Rossi P, Rimenti G, Vedovelli C, Mian P.</t>
  </si>
  <si>
    <t>Med Sci Monit. 2012 Jul;18(7):CS57-62. doi: 10.12659/msm.883198.</t>
  </si>
  <si>
    <t>PMC3560780</t>
  </si>
  <si>
    <t>Emerging viral infections in transplantation</t>
  </si>
  <si>
    <t>Smith JM, McDonald RA.</t>
  </si>
  <si>
    <t>Pediatr Transplant. 2006 Nov;10(7):838-43. doi: 10.1111/j.1399-3046.2005.00481.x.</t>
  </si>
  <si>
    <t>[Apoptosis and human viral infections]</t>
  </si>
  <si>
    <t>Wattre P, Bert V, Hober D.</t>
  </si>
  <si>
    <t>Ann Biol Clin (Paris). 1996;54(5):189-97.</t>
  </si>
  <si>
    <t>Ann Biol Clin (Paris)</t>
  </si>
  <si>
    <t>Paediatric case series of drug reaction with eosinophilia and systemic symptoms (DRESS): 12-year experience at a single referral centre in Hong Kong and the first reported use of infliximab</t>
  </si>
  <si>
    <t>Chua GT, Rosa Duque JS, Chong PCY, Lee PPW, Lau YL, Ho MHK.</t>
  </si>
  <si>
    <t>Eur Ann Allergy Clin Immunol. 2018 Nov;50(6):273-276. doi: 10.23822/EurAnnACI.1764-1489.47. Epub 2017 Nov 30.</t>
  </si>
  <si>
    <t>Eur Ann Allergy Clin Immunol</t>
  </si>
  <si>
    <t>Chronic viral infections of the central nervous system: Aspects specific to multiple sclerosis</t>
  </si>
  <si>
    <t>Giraudon P, Bernard A.</t>
  </si>
  <si>
    <t>Rev Neurol (Paris). 2009 Oct;165(10):789-95. doi: 10.1016/j.neurol.2009.07.004. Epub 2009 Aug 4.</t>
  </si>
  <si>
    <t>Rev Neurol (Paris)</t>
  </si>
  <si>
    <t>PMC7118785</t>
  </si>
  <si>
    <t>[Herpetic viruses and renal transplantation]</t>
  </si>
  <si>
    <t>Morrone LF, Capurso D, D'Elia F, Di Paolo S, Grandaliano G, Marangi AL, Schena A, Stallone G, Tarantino G; Gruppo di Studio Apulo-Lucano sul Trapianto Renale.</t>
  </si>
  <si>
    <t>G Ital Nefrol. 2002 May-Jun;19(3):316-25.</t>
  </si>
  <si>
    <t>G Ital Nefrol</t>
  </si>
  <si>
    <t>[Parvovirus B19 infection after kidney transplantation]</t>
  </si>
  <si>
    <t>Brodin-Sartorius A, Mekki Y, Bloquel B, Rabant M, Legendre C.</t>
  </si>
  <si>
    <t>Nephrol Ther. 2012 Feb;8(1):5-12. doi: 10.1016/j.nephro.2011.06.001. Epub 2011 Jul 16.</t>
  </si>
  <si>
    <t>Nephrol Ther</t>
  </si>
  <si>
    <t>Viral infections affecting the skin in organ transplant recipients: epidemiology and current management strategies</t>
  </si>
  <si>
    <t>Tan HH, Goh CL.</t>
  </si>
  <si>
    <t>Am J Clin Dermatol. 2006;7(1):13-29. doi: 10.2165/00128071-200607010-00003.</t>
  </si>
  <si>
    <t>Am J Clin Dermatol</t>
  </si>
  <si>
    <t>Rheumatoid factor: a review of the mode of formation and role in transplantation</t>
  </si>
  <si>
    <t>Miyata M, Kasukawa R.</t>
  </si>
  <si>
    <t>Fukushima J Med Sci. 1993 Jun;39(1):15-28.</t>
  </si>
  <si>
    <t>Fukushima J Med Sci</t>
  </si>
  <si>
    <t>Herpes simplex virus 1 rhombencephalitis in a patient with chromosomally integrated human herpesvirus-6A</t>
  </si>
  <si>
    <t>Silva R, Duque V, Magano R, Trindade L.</t>
  </si>
  <si>
    <t>IDCases. 2020 Oct 17;22:e00983. doi: 10.1016/j.idcr.2020.e00983. eCollection 2020.</t>
  </si>
  <si>
    <t>PMC7642837</t>
  </si>
  <si>
    <t>Pityriasis rosea and pityriasis rosea-like eruption after anti-SARS-CoV-2 vaccination: a report of five cases and review of the literature</t>
  </si>
  <si>
    <t>Veraldi S, Boneschi V, Cusini M, Maronese CA.</t>
  </si>
  <si>
    <t>Dermatol Reports. 2022 Jul 6;15(1):9503. doi: 10.4081/dr.2022.9503. eCollection 2023 Mar 7.</t>
  </si>
  <si>
    <t>Dermatol Reports</t>
  </si>
  <si>
    <t>PMC10099291</t>
  </si>
  <si>
    <t>Trimethoprim-induced drug reaction with eosinophilia and systemic symptoms (DRESS) associated with reactivation of human herpes virus-6 (HHV-6) leading to acute liver failure</t>
  </si>
  <si>
    <t>Subhani M, Dong V, Connolly A, Salisbury J, Miquel R, Walsh S, Pirani T.</t>
  </si>
  <si>
    <t>Clin Case Rep. 2020 Aug 9;8(12):2568-2573. doi: 10.1002/ccr3.3218. eCollection 2020 Dec.</t>
  </si>
  <si>
    <t>PMC7752394</t>
  </si>
  <si>
    <t>Increased expression of human herpesvirus 7 in lymphoid organs of AIDS patients</t>
  </si>
  <si>
    <t>Kempf W, Müller B, Maurer R, Adams V, Campadelli Fiume G.</t>
  </si>
  <si>
    <t>J Clin Virol. 2000 May;16(3):193-201. doi: 10.1016/s1386-6532(99)00083-9.</t>
  </si>
  <si>
    <t>Infections caused by herpes viruses other than cytomegalovirus in solid organ transplant recipients</t>
  </si>
  <si>
    <t>Carratalà J, Montejo M, Pérez-Romero P.</t>
  </si>
  <si>
    <t>Enferm Infecc Microbiol Clin. 2012 Mar;30 Suppl 2:63-9. doi: 10.1016/S0213-005X(12)70084-8.</t>
  </si>
  <si>
    <t>Bullous pemphigoid associated with chronic hepatitis C virus infection in a hepatitis B virus endemic area: A case report</t>
  </si>
  <si>
    <t>Jang H, Jin YJ, Yoon CH, Kim CW, Kim L.</t>
  </si>
  <si>
    <t>Medicine (Baltimore). 2018 Apr;97(15):e0377. doi: 10.1097/MD.0000000000010377.</t>
  </si>
  <si>
    <t>Medicine (Baltimore)</t>
  </si>
  <si>
    <t>PMC5908609</t>
  </si>
  <si>
    <t>Unsuitability of exhaled breath condensate for the detection of herpesviruses DNA in the respiratory tract</t>
  </si>
  <si>
    <t>Costa C, Bucca C, Bergallo M, Solidoro P, Rolla G, Cavallo R.</t>
  </si>
  <si>
    <t>J Virol Methods. 2011 May;173(2):384-6. doi: 10.1016/j.jviromet.2011.02.004. Epub 2011 Feb 12.</t>
  </si>
  <si>
    <t>A Possible Role for HSV-1-Specific Humoral Response and PILRA rs1859788 Polymorphism in the Pathogenesis of Parkinson's Disease</t>
  </si>
  <si>
    <t>Agostini S, Mancuso R, Costa AS, Citterio LA, Guerini FR, Meloni M, Navarro J, Clerici M.</t>
  </si>
  <si>
    <t>Vaccines (Basel). 2021 Jun 22;9(7):686. doi: 10.3390/vaccines9070686.</t>
  </si>
  <si>
    <t>PMC8310311</t>
  </si>
  <si>
    <t>Viral skin infections in the elderly: diagnosis and management</t>
  </si>
  <si>
    <t>Bansal R, Tutrone WD, Weinberg JM.</t>
  </si>
  <si>
    <t>Drugs Aging. 2002;19(7):503-14. doi: 10.2165/00002512-200219070-00004.</t>
  </si>
  <si>
    <t>Drugs Aging</t>
  </si>
  <si>
    <t>Kikuchi disease (histiocytic necrotizing lymphadenitis) in association with HTLV1</t>
  </si>
  <si>
    <t>Bataille V, Harland CC, Behrens J, Cook MG, Holden CA.</t>
  </si>
  <si>
    <t>Br J Dermatol. 1997 Apr;136(4):610-2.</t>
  </si>
  <si>
    <t>Longitudinal study on oral shedding of human betaherpesviruses 6 and 7 in renal transplant recipients reveals active replication</t>
  </si>
  <si>
    <t>Raposo JV, Sarmento DJS, Pinto RBDS, Lopes AO, Gallottini M, Tozetto-Mendoza TR, Braz-Silva PH, de Paula VS.</t>
  </si>
  <si>
    <t>J Oral Microbiol. 2020 Jun 30;12(1):1785801. doi: 10.1080/20002297.2020.1785801.</t>
  </si>
  <si>
    <t>J Oral Microbiol</t>
  </si>
  <si>
    <t>PMC7482732</t>
  </si>
  <si>
    <t>Frequent occurrence of parvovirus B19 DNAemia in the first year after kidney transplantation</t>
  </si>
  <si>
    <t>Porignaux R, Vuiblet V, Barbe C, Nguyen Y, Lavaud S, Toupance O, Andréoletti L, Rieu P, Lévêque N.</t>
  </si>
  <si>
    <t>J Med Virol. 2013 Jun;85(6):1115-21. doi: 10.1002/jmv.23557.</t>
  </si>
  <si>
    <t>Lower respiratory tract viral infections in hospitalized adult patients</t>
  </si>
  <si>
    <t>Gambarino S, Mantovani S, Astegiano S, Libertucci D, Solidoro P, Baldi S, Cavallo R, Bergallo M, Costa C.</t>
  </si>
  <si>
    <t>Minerva Med. 2009 Oct;100(5):349-55.</t>
  </si>
  <si>
    <t>Minerva Med</t>
  </si>
  <si>
    <t>Screening costs associated with donor selection for fecal microbiota transplantation for treatment of PD-1 refractory melanoma patients</t>
  </si>
  <si>
    <t>Fortman D, Avellan MGP, Hurd D, Schwartz M, Dubner H, Hewitt C, Berton S, Ernst S, Rose A, Zarour HWH, Davar D.</t>
  </si>
  <si>
    <t>Melanoma Res. 2023 Apr 1;33(2):136-148. doi: 10.1097/CMR.0000000000000871. Epub 2023 Feb 17.</t>
  </si>
  <si>
    <t>Melanoma Res</t>
  </si>
  <si>
    <t>PMC9949524</t>
  </si>
  <si>
    <t>Herpesviruses possess conserved proteins for interaction with Nedd4 family ubiquitin E3 ligases</t>
  </si>
  <si>
    <t>Koshizuka T, Kobayashi T, Ishioka K, Suzutani T.</t>
  </si>
  <si>
    <t>Sci Rep. 2018 Mar 13;8(1):4447. doi: 10.1038/s41598-018-22682-2.</t>
  </si>
  <si>
    <t>PMC5849660</t>
  </si>
  <si>
    <t>Autoimmune gene expression profiling of fingerstick whole blood in Chronic Fatigue Syndrome</t>
  </si>
  <si>
    <t>Wang Z, Waldman MF, Basavanhally TJ, Jacobs AR, Lopez G, Perichon RY, Ma JJ, Mackenzie EM, Healy JB, Wang Y, Hersey SA.</t>
  </si>
  <si>
    <t>J Transl Med. 2022 Oct 25;20(1):486. doi: 10.1186/s12967-022-03682-3.</t>
  </si>
  <si>
    <t>PMC9592873</t>
  </si>
  <si>
    <t>Cytomegalovirus and Epstein-Barr virus may be associated with some cases of cerebral palsy</t>
  </si>
  <si>
    <t>McMichael G, MacLennan A, Gibson C, Alvino E, Goldwater P, Haan E, Dekker G; Australian Collaborative Cerebral Palsy Research Group.</t>
  </si>
  <si>
    <t>J Matern Fetal Neonatal Med. 2012 Oct;25(10):2078-81. doi: 10.3109/14767058.2012.666587. Epub 2012 Mar 23.</t>
  </si>
  <si>
    <t>[DRESS syndrome following sulfasalazine treatment]</t>
  </si>
  <si>
    <t>Pirklbauer M, Gruber J.</t>
  </si>
  <si>
    <t>Z Rheumatol. 2014 Mar;73(2):180-3. doi: 10.1007/s00393-013-1308-5.</t>
  </si>
  <si>
    <t>Z Rheumatol</t>
  </si>
  <si>
    <t>Case Report: Cytomegalovirus Disease Is an Under-Recognized Contributor to Morbidity and Mortality in Common Variable Immunodeficiency</t>
  </si>
  <si>
    <t>Chan S, Godsell J, Horton M, Farchione A, Howson LJ, Margetts M, Jin C, Chatelier J, Yong M, Sasadeusz J, Douglass JA, Slade CA, Bryant VL.</t>
  </si>
  <si>
    <t>Front Immunol. 2022 Feb 15;13:815193. doi: 10.3389/fimmu.2022.815193. eCollection 2022.</t>
  </si>
  <si>
    <t>PMC8885594</t>
  </si>
  <si>
    <t>Acute hemorrhagic edema of childhood after H1N1 immunization</t>
  </si>
  <si>
    <t>Ferreira O, Antunes I, Cruz MJ, Mota A, Bettencourt H, Canelhas Á, Azevedo F.</t>
  </si>
  <si>
    <t>Cutan Ocul Toxicol. 2011 Jun;30(2):167-9. doi: 10.3109/15569527.2010.536797. Epub 2010 Dec 2.</t>
  </si>
  <si>
    <t>Cutan Ocul Toxicol</t>
  </si>
  <si>
    <t>[Importance of molecular biology in retrovirus and herpesvirus infections]</t>
  </si>
  <si>
    <t>Transfus Clin Biol. 1998 Feb;5(1):39-46. doi: 10.1016/s1246-7820(98)80109-2.</t>
  </si>
  <si>
    <t>Transfus Clin Biol</t>
  </si>
  <si>
    <t>Use of a multi-virus array for the study of human viral and retroviral pathogens: gene expression studies and ChIP-chip analysis</t>
  </si>
  <si>
    <t>Ghedin E, Pumfery A, de la Fuente C, Yao K, Miller N, Lacoste V, Quackenbush J, Jacobson S, Kashanchi F.</t>
  </si>
  <si>
    <t>Retrovirology. 2004 May 25;1:10. doi: 10.1186/1742-4690-1-10.</t>
  </si>
  <si>
    <t>Retrovirology</t>
  </si>
  <si>
    <t>PMC442135</t>
  </si>
  <si>
    <t>Distinct Microbial Communities in Dilated Cardiomyopathy Explanted Hearts Are Associated With Different Myocardial Rejection Outcomes</t>
  </si>
  <si>
    <t>Pereira JJ, Ikegami RN, Kawakami JT, Garavelo SM, Reis MM, Palomino SAP, Mangini S, Moreno CR, de Barros SF, Souza AR, Higuchi ML.</t>
  </si>
  <si>
    <t>Front Cell Infect Microbiol. 2021 Nov 29;11:732276. doi: 10.3389/fcimb.2021.732276. eCollection 2021.</t>
  </si>
  <si>
    <t>PMC8668412</t>
  </si>
  <si>
    <t>The Role of Cytokines, Chemokines, and Growth Factors in the Pathogenesis of Pityriasis Rosea</t>
  </si>
  <si>
    <t>Drago F, Ciccarese G, Broccolo F, Ghio M, Contini P, Thanasi H, Parodi A.</t>
  </si>
  <si>
    <t>Mediators Inflamm. 2015;2015:438963. doi: 10.1155/2015/438963. Epub 2015 Sep 10.</t>
  </si>
  <si>
    <t>Mediators Inflamm</t>
  </si>
  <si>
    <t>PMC4584227</t>
  </si>
  <si>
    <t>Herpesviruses excretion in saliva of pediatric transplant recipients</t>
  </si>
  <si>
    <t>Correa Sierra CB, Kourí Cardellá V, Pérez Santos L, Silverio CE, Hondal N, Florin J.</t>
  </si>
  <si>
    <t>Transpl Infect Dis. 2017 Dec;19(6). doi: 10.1111/tid.12771. Epub 2017 Sep 28.</t>
  </si>
  <si>
    <t>Human herpesvirus infections and circulating microvesicles expressing galectin-3 binding protein in patients with systemic lupus erythematosus</t>
  </si>
  <si>
    <t>Rasmussen NS, Draborg AH, Houen G, Nielsen CT.</t>
  </si>
  <si>
    <t>Clin Exp Rheumatol. 2022 Jan;40(1):158-161. doi: 10.55563/clinexprheumatol/s364rt. Epub 2021 Nov 22.</t>
  </si>
  <si>
    <t>Longitudinal Monitoring of DNA Viral Loads in Transplant Patients Using Quantitative Metagenomic Next-Generation Sequencing</t>
  </si>
  <si>
    <t>Carbo EC, Russcher A, Kraakman MEM, de Brouwer CS, Sidorov IA, Feltkamp MCW, Kroes ACM, Claas ECJ, de Vries JJC.</t>
  </si>
  <si>
    <t>Pathogens. 2022 Feb 11;11(2):236. doi: 10.3390/pathogens11020236.</t>
  </si>
  <si>
    <t>Pathogens</t>
  </si>
  <si>
    <t>PMC8874692</t>
  </si>
  <si>
    <t>A eulogy for Dr Francisco Miguel Marty Forero</t>
  </si>
  <si>
    <t>Koo S, Bold TD, Cheng MP, Farmakiotis D, Hill JA, Knoll B, Koullias Y, Letourneau AR, Little J, Moulton EA, Weiss ZF, Hammond SP.</t>
  </si>
  <si>
    <t>Transpl Infect Dis. 2021 Aug;23(4):e13645. doi: 10.1111/tid.13645. Epub 2021 Jun 13.</t>
  </si>
  <si>
    <t>Parvovirus B19 Infection in Children With Arterial Ischemic Stroke</t>
  </si>
  <si>
    <t>Fullerton HJ, Luna JM, Wintermark M, Hills NK, Tokarz R, Li Y, Glaser C, DeVeber GA, Lipkin WI, Elkind MSV; VIPS Investigators*.</t>
  </si>
  <si>
    <t>Stroke. 2017 Oct;48(10):2875-2877. doi: 10.1161/STROKEAHA.117.018272. Epub 2017 Sep 1.</t>
  </si>
  <si>
    <t>Stroke</t>
  </si>
  <si>
    <t>PMC5614850</t>
  </si>
  <si>
    <t>NIHMS899534</t>
  </si>
  <si>
    <t>Effect of maintenance immunosuppressive drugs on virus pathobiology: evidence and potential mechanisms</t>
  </si>
  <si>
    <t>Brennan DC, Aguado JM, Potena L, Jardine AG, Legendre C, Säemann MD, Mueller NJ, Merville P, Emery V, Nashan B.</t>
  </si>
  <si>
    <t>Rev Med Virol. 2013 Mar;23(2):97-125. doi: 10.1002/rmv.1733. Epub 2012 Nov 20.</t>
  </si>
  <si>
    <t>Quantitative polymerase chain reaction for human herpesvirus diagnosis and measurement of Epstein-Barr virus burden in posttransplant lymphoproliferative disorder</t>
  </si>
  <si>
    <t>Bai X, Hosler G, Rogers BB, Dawson DB, Scheuermann RH.</t>
  </si>
  <si>
    <t>Clin Chem. 1997 Oct;43(10):1843-9.</t>
  </si>
  <si>
    <t>A Rare Pediatric Case of Allopurinol-Induced Drug Reaction With Eosinophilia and Systemic Symptoms (DRESS) Successfully Treated With Intravenous Immunoglobulins</t>
  </si>
  <si>
    <t>Rotulo GA, Campanello C, Battaglini M, Bassi M, Pastorino C, Angeletti A, Brisca G, Signa S, Caorsi R, Ghiggeri GM.</t>
  </si>
  <si>
    <t>J Pediatr Pharmacol Ther. 2024 Apr;29(2):195-199. doi: 10.5863/1551-6776-29.2.195. Epub 2024 Apr 8.</t>
  </si>
  <si>
    <t>J Pediatr Pharmacol Ther</t>
  </si>
  <si>
    <t>PMC11001218</t>
  </si>
  <si>
    <t>Noninvasive monitoring of infection and rejection after lung transplantation</t>
  </si>
  <si>
    <t>De Vlaminck I, Martin L, Kertesz M, Patel K, Kowarsky M, Strehl C, Cohen G, Luikart H, Neff NF, Okamoto J, Nicolls MR, Cornfield D, Weill D, Valantine H, Khush KK, Quake SR.</t>
  </si>
  <si>
    <t>Proc Natl Acad Sci U S A. 2015 Oct 27;112(43):13336-41. doi: 10.1073/pnas.1517494112. Epub 2015 Oct 12.</t>
  </si>
  <si>
    <t>PMC4629384</t>
  </si>
  <si>
    <t>((hematopoietic OR stem cell OR cord blood OR bone marrow OR transplant*) OR (engraftment OR reconstitution OR graft failure OR marrow failure OR neutrophil OR NK OR natural killer OR platelet OR T cell OR thymus)) AND (HHV-6 OR HHV6 OR herpesvirus-6 OR HHV-6A OR HHV6A OR herpesvirus-6A OR HHV-6B OR HHV6B OR herpesvirus-6B)</t>
  </si>
  <si>
    <t>Evaluation of a method to measure HHV-6B infection in vitro based on cell size</t>
  </si>
  <si>
    <t>Acta Biochim Biophys Sin (Shanghai). 2023 Aug 9;55(10):1693-1696. doi: 10.3724/abbs.2023161.</t>
  </si>
  <si>
    <t>[How to manage EBV reactivation and EBV-PTLD, CMV and human herpesvirus 6 reactivation and infection after allogeneic stem cell transplantation: A report of the SFGM-TC (update)]</t>
  </si>
  <si>
    <t>Cord-blood hematopoietic stem cell transplant confers an increased risk for human herpesvirus-6-associated acute limbic encephalitis: a cohort analysis</t>
  </si>
  <si>
    <t>HHV-6 reactivation as a cause of fever in autologous hematopoietic stem cell transplant recipients</t>
  </si>
  <si>
    <t>Minimum-Dose, Short-Term Methotrexate With Tacrolimus for Graft-vs-Host Disease Prophylaxis Following Unrelated Cord Blood Transplantation in Adults: A Retrospective Analysis at a Single Institution</t>
  </si>
  <si>
    <t>HHV-6 Myocarditis Progressing to Ventricular Standstill Requiring Cardiac Transplant</t>
  </si>
  <si>
    <t>Immunol Cell Biol. 2024 Jan 18. doi: 10.1111/imcb.12724. Online ahead of print.</t>
  </si>
  <si>
    <t>Clin Microbiol Infect. 2023 Jul 31:S1198-743X(23)00354-3. doi: 10.1016/j.cmi.2023.07.026. Online ahead of print.</t>
  </si>
  <si>
    <t>Mocarski Jr. E S.</t>
  </si>
  <si>
    <t>Morfopoulou S, Buddle S, Torres Montaguth OE, Atkinson L, Guerra-Assunção JA, Moradi Marjaneh M, Zennezini Chiozzi R, Storey N, Campos L, Hutchinson JC, Counsell JR, Pollara G, Roy S, Venturini C, Antinao Diaz JF, Siam A, Tappouni LJ, Asgarian Z, Ng J, Hanlon KS, Lennon A, McArdle A, Czap A, Rosenheim J, Andrade C, Anderson G, Lee JCD, Williams R, Williams CA, Tutill H, Bayzid N, Martin Bernal LM, Macpherson H, Montgomery KA, Moore C, Templeton K, Neill C, Holden M, Gunson R, Shepherd SJ, Shah P, Cooray S, Voice M, Steele M, Fink C, Whittaker TE, Santilli G, Gissen P, Kaufer BB, Reich J, Andreani J, Simmonds P, Alrabiah DK, Castellano S, Chikowore P, Odam M, Rampling T, Houlihan C, Hoschler K, Talts T, Celma C, Gonzalez S, Gallagher E, Simmons R, Watson C, Mandal S, Zambon M, Chand M, Hatcher J, De S, Baillie K, Semple MG; DIAMONDS Consortium; PERFORM Consortium; ISARIC 4C Investigators; Martin J, Ushiro-Lumb I, Noursadeghi M, Deheragoda M, Hadzic N, Grammatikopoulos T, Brown R, Kelgeri C, Thalassinos K, Waddington SN, Jacques TS, Thomson E, Levin M, Brown JR, Breuer J.</t>
  </si>
  <si>
    <t>Investigation of cytokine polymorphisms on viral infections after renal transplantation exhibit association between IFN-γ +874 A &gt; T and CMV manifestations</t>
  </si>
  <si>
    <t>Eur J Haematol. 2024 Jan 20. doi: 10.1111/ejh.14174. Online ahead of 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</si>
</sst>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2">
    <font>
      <sz val="10"/>
      <color rgb="FF000000"/>
      <name val="Arial"/>
      <scheme val="minor"/>
    </font>
    <font>
      <sz val="10"/>
      <color theme="1"/>
      <name val="Arial"/>
    </font>
    <font>
      <sz val="10"/>
      <color rgb="FF000000"/>
      <name val="Arial"/>
    </font>
    <font>
      <sz val="9"/>
      <color rgb="FFF7981D"/>
      <name val="Arial"/>
    </font>
    <font>
      <sz val="8"/>
      <color theme="1"/>
      <name val="Open Sans"/>
    </font>
    <font>
      <sz val="10"/>
      <color theme="1"/>
      <name val="Arial"/>
      <scheme val="minor"/>
    </font>
    <font>
      <sz val="11"/>
      <color theme="1"/>
      <name val="Times"/>
    </font>
    <font>
      <u/>
      <sz val="10"/>
      <color rgb="FF1155CC"/>
      <name val="Arial"/>
    </font>
    <font>
      <u/>
      <sz val="10"/>
      <color rgb="FF0000FF"/>
      <name val="Arial"/>
    </font>
    <font>
      <u/>
      <sz val="10"/>
      <color rgb="FF56A3F1"/>
      <name val="Arial"/>
    </font>
    <font>
      <sz val="10"/>
      <color rgb="FF000000"/>
      <name val="Arial"/>
    </font>
    <font>
      <sz val="10"/>
      <color rgb="FF000000"/>
      <name val="&quot;Aptos Narrow&quot;"/>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style="thin">
        <color rgb="FF000000"/>
      </bottom>
      <diagonal/>
    </border>
  </borders>
  <cellStyleXfs count="1">
    <xf numFmtId="0" fontId="0" fillId="0" borderId="0"/>
  </cellStyleXfs>
  <cellXfs count="28">
    <xf numFmtId="0" fontId="0" fillId="0" borderId="0" xfId="0"/>
    <xf numFmtId="0" fontId="1" fillId="0" borderId="0" xfId="0" applyFont="1" applyAlignment="1">
      <alignment wrapText="1"/>
    </xf>
    <xf numFmtId="0" fontId="2" fillId="0" borderId="0" xfId="0" applyFont="1" applyAlignment="1">
      <alignment wrapText="1"/>
    </xf>
    <xf numFmtId="2" fontId="1" fillId="0" borderId="0" xfId="0" applyNumberFormat="1" applyFont="1" applyAlignment="1">
      <alignment wrapText="1"/>
    </xf>
    <xf numFmtId="0" fontId="1" fillId="0" borderId="0" xfId="0" applyFont="1"/>
    <xf numFmtId="2" fontId="1" fillId="0" borderId="0" xfId="0" applyNumberFormat="1" applyFont="1"/>
    <xf numFmtId="0" fontId="3" fillId="2" borderId="0" xfId="0" applyFont="1" applyFill="1"/>
    <xf numFmtId="0" fontId="4" fillId="2" borderId="0" xfId="0" applyFont="1" applyFill="1"/>
    <xf numFmtId="2" fontId="4" fillId="2" borderId="0" xfId="0" applyNumberFormat="1" applyFont="1" applyFill="1"/>
    <xf numFmtId="0" fontId="2" fillId="0" borderId="0" xfId="0" applyFont="1"/>
    <xf numFmtId="0" fontId="1" fillId="0" borderId="1" xfId="0" applyFont="1" applyBorder="1"/>
    <xf numFmtId="0" fontId="5" fillId="0" borderId="1" xfId="0" applyFont="1" applyBorder="1"/>
    <xf numFmtId="2" fontId="1" fillId="0" borderId="1" xfId="0" applyNumberFormat="1" applyFont="1" applyBorder="1"/>
    <xf numFmtId="0" fontId="6" fillId="0" borderId="0" xfId="0" applyFont="1"/>
    <xf numFmtId="0" fontId="7" fillId="0" borderId="0" xfId="0" applyFont="1"/>
    <xf numFmtId="0" fontId="1" fillId="0" borderId="0" xfId="0" applyFont="1" applyAlignment="1">
      <alignment horizontal="right" wrapText="1"/>
    </xf>
    <xf numFmtId="0" fontId="1" fillId="0" borderId="0" xfId="0" applyFont="1" applyAlignment="1">
      <alignment horizontal="right"/>
    </xf>
    <xf numFmtId="10" fontId="1" fillId="0" borderId="0" xfId="0" applyNumberFormat="1" applyFont="1"/>
    <xf numFmtId="0" fontId="8" fillId="0" borderId="0" xfId="0" applyFont="1"/>
    <xf numFmtId="0" fontId="9" fillId="0" borderId="0" xfId="0" applyFont="1"/>
    <xf numFmtId="19" fontId="1" fillId="0" borderId="0" xfId="0" applyNumberFormat="1" applyFont="1"/>
    <xf numFmtId="0" fontId="10" fillId="0" borderId="0" xfId="0" applyFont="1"/>
    <xf numFmtId="0" fontId="11" fillId="0" borderId="0" xfId="0" applyFont="1" applyAlignment="1">
      <alignment horizontal="right"/>
    </xf>
    <xf numFmtId="0" fontId="11" fillId="0" borderId="0" xfId="0" applyFont="1"/>
    <xf numFmtId="164" fontId="11" fillId="0" borderId="0" xfId="0" applyNumberFormat="1" applyFont="1" applyAlignment="1">
      <alignment horizontal="right"/>
    </xf>
    <xf numFmtId="164" fontId="1" fillId="0" borderId="0" xfId="0" applyNumberFormat="1" applyFont="1"/>
    <xf numFmtId="0" fontId="1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scholar.google.com/scholar?hl=en&amp;as_sdt=0%2C5&amp;q=The+role+of+human+herpesvirus-6+in+delayed+engraftment+in+stem+cell+transplant+patients+in+China&amp;btnG=" TargetMode="External"/><Relationship Id="rId1" Type="http://schemas.openxmlformats.org/officeDocument/2006/relationships/hyperlink" Target="https://haematologica.org/article/view/20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Y1000"/>
  <sheetViews>
    <sheetView tabSelected="1" workbookViewId="0">
      <pane xSplit="4" ySplit="1" topLeftCell="BZ2" activePane="bottomRight" state="frozen"/>
      <selection pane="topRight" activeCell="E1" sqref="E1"/>
      <selection pane="bottomLeft" activeCell="A2" sqref="A2"/>
      <selection pane="bottomRight" activeCell="CC6" sqref="CC6"/>
    </sheetView>
  </sheetViews>
  <sheetFormatPr defaultColWidth="12.6328125" defaultRowHeight="15" customHeight="1"/>
  <cols>
    <col min="1" max="1" width="7" customWidth="1"/>
    <col min="2" max="2" width="6.453125" customWidth="1"/>
    <col min="3" max="3" width="4.26953125" customWidth="1"/>
    <col min="4" max="4" width="22.453125" customWidth="1"/>
    <col min="5" max="5" width="7.6328125" customWidth="1"/>
    <col min="6" max="6" width="6.6328125" customWidth="1"/>
    <col min="7" max="7" width="6.90625" customWidth="1"/>
    <col min="8" max="9" width="4.7265625" customWidth="1"/>
    <col min="10" max="10" width="10.36328125" customWidth="1"/>
    <col min="11" max="11" width="10.7265625" customWidth="1"/>
    <col min="12" max="12" width="10.90625" customWidth="1"/>
    <col min="13" max="13" width="7.26953125" customWidth="1"/>
    <col min="14" max="14" width="7.36328125" customWidth="1"/>
    <col min="15" max="15" width="7.90625" customWidth="1"/>
    <col min="16" max="16" width="7.453125" customWidth="1"/>
    <col min="17" max="17" width="11" customWidth="1"/>
    <col min="18" max="18" width="6.90625" customWidth="1"/>
    <col min="19" max="19" width="7" customWidth="1"/>
    <col min="20" max="20" width="6.7265625" customWidth="1"/>
    <col min="21" max="21" width="10.26953125" customWidth="1"/>
    <col min="22" max="22" width="6.36328125" customWidth="1"/>
    <col min="23" max="24" width="6.453125" customWidth="1"/>
    <col min="25" max="25" width="5.90625" customWidth="1"/>
    <col min="26" max="27" width="7.453125" customWidth="1"/>
    <col min="28" max="28" width="4.7265625" customWidth="1"/>
    <col min="29" max="29" width="6.453125" customWidth="1"/>
    <col min="30" max="30" width="5.26953125" customWidth="1"/>
    <col min="31" max="31" width="7.36328125" customWidth="1"/>
    <col min="32" max="32" width="9.36328125" customWidth="1"/>
    <col min="33" max="34" width="9.90625" customWidth="1"/>
    <col min="35" max="35" width="14" customWidth="1"/>
    <col min="36" max="36" width="15.6328125" customWidth="1"/>
    <col min="37" max="37" width="13.453125" customWidth="1"/>
    <col min="38" max="38" width="13.6328125" customWidth="1"/>
    <col min="39" max="39" width="15.36328125" customWidth="1"/>
    <col min="40" max="40" width="12.6328125" customWidth="1"/>
    <col min="41" max="42" width="10.08984375" customWidth="1"/>
    <col min="43" max="47" width="10" customWidth="1"/>
    <col min="48" max="51" width="10.08984375" customWidth="1"/>
    <col min="52" max="52" width="10.36328125" customWidth="1"/>
    <col min="53" max="58" width="10.26953125" customWidth="1"/>
    <col min="59" max="59" width="13.90625" customWidth="1"/>
    <col min="60" max="60" width="14.36328125" customWidth="1"/>
    <col min="61" max="68" width="10.26953125" customWidth="1"/>
    <col min="69" max="69" width="10.36328125" customWidth="1"/>
    <col min="70" max="70" width="11.1796875" customWidth="1"/>
    <col min="71" max="71" width="11.81640625" customWidth="1"/>
    <col min="72" max="72" width="10.08984375" customWidth="1"/>
    <col min="73" max="73" width="10" customWidth="1"/>
    <col min="74" max="74" width="10.08984375" customWidth="1"/>
    <col min="75" max="75" width="10.453125" customWidth="1"/>
    <col min="76" max="77" width="10.6328125" customWidth="1"/>
    <col min="78" max="80" width="10" customWidth="1"/>
    <col min="81" max="81" width="7.453125" customWidth="1"/>
    <col min="82" max="82" width="17.1796875" customWidth="1"/>
    <col min="83" max="84" width="10.26953125" customWidth="1"/>
    <col min="85" max="85" width="17.08984375" customWidth="1"/>
    <col min="86" max="86" width="17.54296875" customWidth="1"/>
    <col min="87" max="89" width="10.26953125" customWidth="1"/>
    <col min="90" max="96" width="10.08984375" customWidth="1"/>
    <col min="97" max="99" width="10.26953125" customWidth="1"/>
    <col min="100" max="101" width="12" customWidth="1"/>
    <col min="102" max="102" width="10.90625" customWidth="1"/>
    <col min="103" max="103" width="8" customWidth="1"/>
  </cols>
  <sheetData>
    <row r="1" spans="1:103" ht="50" customHeight="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3"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row>
    <row r="2" spans="1:103" ht="15.75" customHeight="1">
      <c r="A2" s="4" t="s">
        <v>102</v>
      </c>
      <c r="B2" s="4">
        <v>2011</v>
      </c>
      <c r="C2" s="4" t="s">
        <v>103</v>
      </c>
      <c r="D2" s="4" t="str">
        <f t="shared" ref="D2:D80" si="0">A2&amp;" "&amp;B2</f>
        <v>Betts BC 2011</v>
      </c>
      <c r="E2" s="4" t="str">
        <f t="shared" ref="E2:E30" si="1">IF(OR(AND(ISNUMBER(AG2),ISNUMBER(AL2),ISNUMBER(CC2),ISNUMBER(CG2)),AND(ISNUMBER(AG2),ISNUMBER(AM2),ISNUMBER(CC2),ISNUMBER(CH2))),"Yes","No")</f>
        <v>Yes</v>
      </c>
      <c r="F2" s="4">
        <v>82</v>
      </c>
      <c r="G2" s="4">
        <v>26</v>
      </c>
      <c r="H2" s="4">
        <v>1</v>
      </c>
      <c r="I2" s="4">
        <v>66</v>
      </c>
      <c r="J2" s="4" t="s">
        <v>104</v>
      </c>
      <c r="K2" s="4" t="s">
        <v>104</v>
      </c>
      <c r="P2" s="4">
        <v>82</v>
      </c>
      <c r="Z2" s="4"/>
      <c r="AA2" s="4">
        <v>82</v>
      </c>
      <c r="AD2" s="4">
        <v>37</v>
      </c>
      <c r="AE2" s="4">
        <f>82-37</f>
        <v>45</v>
      </c>
      <c r="AF2" s="4">
        <v>82</v>
      </c>
      <c r="AG2" s="4">
        <v>46</v>
      </c>
      <c r="AH2" s="4" t="s">
        <v>105</v>
      </c>
      <c r="AI2" s="4">
        <v>7</v>
      </c>
      <c r="AL2" s="4">
        <v>7</v>
      </c>
      <c r="AN2" s="4"/>
      <c r="AO2" s="4"/>
      <c r="AP2" s="4"/>
      <c r="AQ2" s="4"/>
      <c r="AR2" s="4"/>
      <c r="AS2" s="4"/>
      <c r="AT2" s="4"/>
      <c r="AU2" s="4"/>
      <c r="AV2" s="4"/>
      <c r="AW2" s="4"/>
      <c r="AX2" s="4"/>
      <c r="AY2" s="4"/>
      <c r="AZ2" s="4"/>
      <c r="BA2" s="5" t="str">
        <f t="shared" ref="BA2:BC2" si="2">IF(ISNUMBER(BQ2),BQ2,IF(AND(ISNUMBER($BJ2),ISNUMBER($BK2)),BI2,""))</f>
        <v/>
      </c>
      <c r="BB2" s="5" t="str">
        <f t="shared" si="2"/>
        <v/>
      </c>
      <c r="BC2" s="5" t="str">
        <f t="shared" si="2"/>
        <v/>
      </c>
      <c r="BD2" s="5" t="str">
        <f t="shared" ref="BD2:BF2" si="3">IF(ISNUMBER(BT2),BT2,IF(AND(ISNUMBER($BO2),ISNUMBER($BP2)),BN2,""))</f>
        <v/>
      </c>
      <c r="BE2" s="5" t="str">
        <f t="shared" si="3"/>
        <v/>
      </c>
      <c r="BF2" s="5" t="str">
        <f t="shared" si="3"/>
        <v/>
      </c>
      <c r="BG2" s="6"/>
      <c r="BH2" s="6"/>
      <c r="BI2" s="5"/>
      <c r="BJ2" s="5" t="str">
        <f t="shared" ref="BJ2:BJ11" si="4">IF(AND(ISNUMBER(BG2),ISNUMBER(BH2),ISNUMBER(BI2)),EXP(LOG(BI2)-1.96*SQRT((1/BG2)+(1/BH2))),"")</f>
        <v/>
      </c>
      <c r="BK2" s="5" t="str">
        <f t="shared" ref="BK2:BK11" si="5">IF(AND(ISNUMBER(BG2),ISNUMBER(BH2),ISNUMBER(BI2)),EXP(LOG(BI2)+1.96*SQRT((1/BG2)+(1/BH2))),"")</f>
        <v/>
      </c>
      <c r="BL2" s="4"/>
      <c r="BM2" s="4"/>
      <c r="BN2" s="5"/>
      <c r="BO2" s="5" t="str">
        <f t="shared" ref="BO2:BO11" si="6">IF(AND(ISNUMBER(BL2),ISNUMBER(BM2),ISNUMBER(BN2)),EXP(LOG(BN2)-1.96*SQRT((1/BL2)+(1/BM2))),"")</f>
        <v/>
      </c>
      <c r="BP2" s="5" t="str">
        <f t="shared" ref="BP2:BP11" si="7">IF(AND(ISNUMBER(BL2),ISNUMBER(BM2),ISNUMBER(BN2)),EXP(LOG(BN2)+1.96*SQRT((1/BL2)+(1/BM2))),"")</f>
        <v/>
      </c>
      <c r="BQ2" s="4"/>
      <c r="BR2" s="4"/>
      <c r="BS2" s="4"/>
      <c r="BT2" s="4"/>
      <c r="BU2" s="4"/>
      <c r="BV2" s="4"/>
      <c r="CC2" s="4">
        <v>36</v>
      </c>
      <c r="CD2" s="4">
        <v>4</v>
      </c>
      <c r="CG2" s="4">
        <v>4</v>
      </c>
      <c r="CI2" s="4"/>
      <c r="CJ2" s="4"/>
      <c r="CK2" s="4"/>
      <c r="CL2" s="4"/>
      <c r="CM2" s="4"/>
      <c r="CN2" s="4"/>
      <c r="CO2" s="4"/>
      <c r="CP2" s="4"/>
      <c r="CQ2" s="4"/>
      <c r="CR2" s="4"/>
      <c r="CS2" s="4"/>
      <c r="CT2" s="4"/>
      <c r="CU2" s="4"/>
      <c r="CV2" s="4" t="s">
        <v>106</v>
      </c>
      <c r="CW2" s="4"/>
      <c r="CX2" s="4" t="s">
        <v>107</v>
      </c>
    </row>
    <row r="3" spans="1:103" ht="15.75" customHeight="1">
      <c r="A3" s="4" t="s">
        <v>108</v>
      </c>
      <c r="B3" s="4">
        <v>1997</v>
      </c>
      <c r="C3" s="4" t="s">
        <v>109</v>
      </c>
      <c r="D3" s="4" t="str">
        <f t="shared" si="0"/>
        <v>Chan PK 1997</v>
      </c>
      <c r="E3" s="4" t="str">
        <f t="shared" si="1"/>
        <v>Yes</v>
      </c>
      <c r="F3" s="4">
        <v>61</v>
      </c>
      <c r="G3" s="4" t="s">
        <v>110</v>
      </c>
      <c r="H3" s="4" t="s">
        <v>110</v>
      </c>
      <c r="I3" s="4" t="s">
        <v>110</v>
      </c>
      <c r="K3" s="4">
        <v>33</v>
      </c>
      <c r="L3" s="4">
        <f>61-33</f>
        <v>28</v>
      </c>
      <c r="P3" s="4">
        <v>61</v>
      </c>
      <c r="Z3" s="4"/>
      <c r="AA3" s="4">
        <v>61</v>
      </c>
      <c r="AB3" s="4">
        <v>61</v>
      </c>
      <c r="AF3" s="4">
        <v>61</v>
      </c>
      <c r="AG3" s="4">
        <v>17</v>
      </c>
      <c r="AH3" s="4" t="s">
        <v>105</v>
      </c>
      <c r="AL3" s="4">
        <v>1</v>
      </c>
      <c r="AN3" s="4"/>
      <c r="AO3" s="4"/>
      <c r="AP3" s="4"/>
      <c r="AQ3" s="4"/>
      <c r="AR3" s="4"/>
      <c r="AS3" s="4"/>
      <c r="AT3" s="4"/>
      <c r="AU3" s="4"/>
      <c r="AV3" s="4"/>
      <c r="AW3" s="4"/>
      <c r="AX3" s="4"/>
      <c r="AY3" s="4"/>
      <c r="AZ3" s="4"/>
      <c r="BA3" s="5" t="str">
        <f t="shared" ref="BA3:BC3" si="8">IF(ISNUMBER(BQ3),BQ3,IF(AND(ISNUMBER($BJ3),ISNUMBER($BK3)),BI3,""))</f>
        <v/>
      </c>
      <c r="BB3" s="5" t="str">
        <f t="shared" si="8"/>
        <v/>
      </c>
      <c r="BC3" s="5" t="str">
        <f t="shared" si="8"/>
        <v/>
      </c>
      <c r="BD3" s="5" t="str">
        <f t="shared" ref="BD3:BF3" si="9">IF(ISNUMBER(BT3),BT3,IF(AND(ISNUMBER($BO3),ISNUMBER($BP3)),BN3,""))</f>
        <v/>
      </c>
      <c r="BE3" s="5" t="str">
        <f t="shared" si="9"/>
        <v/>
      </c>
      <c r="BF3" s="5" t="str">
        <f t="shared" si="9"/>
        <v/>
      </c>
      <c r="BI3" s="5"/>
      <c r="BJ3" s="5" t="str">
        <f t="shared" si="4"/>
        <v/>
      </c>
      <c r="BK3" s="5" t="str">
        <f t="shared" si="5"/>
        <v/>
      </c>
      <c r="BL3" s="4"/>
      <c r="BM3" s="4"/>
      <c r="BN3" s="5"/>
      <c r="BO3" s="5" t="str">
        <f t="shared" si="6"/>
        <v/>
      </c>
      <c r="BP3" s="5" t="str">
        <f t="shared" si="7"/>
        <v/>
      </c>
      <c r="BQ3" s="4"/>
      <c r="BR3" s="4"/>
      <c r="BS3" s="4"/>
      <c r="BT3" s="4"/>
      <c r="BU3" s="4"/>
      <c r="BV3" s="4"/>
      <c r="CC3" s="4">
        <v>44</v>
      </c>
      <c r="CG3" s="4">
        <v>1</v>
      </c>
      <c r="CV3" s="4" t="s">
        <v>111</v>
      </c>
    </row>
    <row r="4" spans="1:103" ht="15.75" customHeight="1">
      <c r="A4" s="4" t="s">
        <v>112</v>
      </c>
      <c r="B4" s="4">
        <v>1993</v>
      </c>
      <c r="C4" s="4" t="s">
        <v>113</v>
      </c>
      <c r="D4" s="4" t="str">
        <f t="shared" si="0"/>
        <v>Drobyski WR 1993</v>
      </c>
      <c r="E4" s="4" t="str">
        <f t="shared" si="1"/>
        <v>Yes</v>
      </c>
      <c r="F4" s="4">
        <v>16</v>
      </c>
      <c r="G4" s="4" t="s">
        <v>114</v>
      </c>
      <c r="H4" s="4" t="s">
        <v>114</v>
      </c>
      <c r="I4" s="4" t="s">
        <v>114</v>
      </c>
      <c r="K4" s="4">
        <v>16</v>
      </c>
      <c r="M4" s="4">
        <v>16</v>
      </c>
      <c r="Q4" s="4">
        <v>16</v>
      </c>
      <c r="AB4" s="4">
        <v>16</v>
      </c>
      <c r="AF4" s="4">
        <v>16</v>
      </c>
      <c r="AG4" s="4">
        <v>6</v>
      </c>
      <c r="AH4" s="4" t="s">
        <v>115</v>
      </c>
      <c r="AL4" s="4">
        <v>1</v>
      </c>
      <c r="BA4" s="5" t="str">
        <f t="shared" ref="BA4:BC4" si="10">IF(ISNUMBER(BQ4),BQ4,IF(AND(ISNUMBER($BJ4),ISNUMBER($BK4)),BI4,""))</f>
        <v/>
      </c>
      <c r="BB4" s="5" t="str">
        <f t="shared" si="10"/>
        <v/>
      </c>
      <c r="BC4" s="5" t="str">
        <f t="shared" si="10"/>
        <v/>
      </c>
      <c r="BD4" s="5" t="str">
        <f t="shared" ref="BD4:BF4" si="11">IF(ISNUMBER(BT4),BT4,IF(AND(ISNUMBER($BO4),ISNUMBER($BP4)),BN4,""))</f>
        <v/>
      </c>
      <c r="BE4" s="5" t="str">
        <f t="shared" si="11"/>
        <v/>
      </c>
      <c r="BF4" s="5" t="str">
        <f t="shared" si="11"/>
        <v/>
      </c>
      <c r="BI4" s="5"/>
      <c r="BJ4" s="5" t="str">
        <f t="shared" si="4"/>
        <v/>
      </c>
      <c r="BK4" s="5" t="str">
        <f t="shared" si="5"/>
        <v/>
      </c>
      <c r="BN4" s="5"/>
      <c r="BO4" s="5" t="str">
        <f t="shared" si="6"/>
        <v/>
      </c>
      <c r="BP4" s="5" t="str">
        <f t="shared" si="7"/>
        <v/>
      </c>
      <c r="CC4" s="4">
        <f>16-6</f>
        <v>10</v>
      </c>
      <c r="CG4" s="4">
        <v>0</v>
      </c>
      <c r="CV4" s="4" t="s">
        <v>116</v>
      </c>
    </row>
    <row r="5" spans="1:103" ht="15.75" customHeight="1">
      <c r="A5" s="4" t="s">
        <v>117</v>
      </c>
      <c r="B5" s="4">
        <v>2020</v>
      </c>
      <c r="C5" s="4" t="s">
        <v>118</v>
      </c>
      <c r="D5" s="4" t="str">
        <f t="shared" si="0"/>
        <v>Düver F 2020</v>
      </c>
      <c r="E5" s="4" t="str">
        <f t="shared" si="1"/>
        <v>Yes</v>
      </c>
      <c r="F5" s="4">
        <v>107</v>
      </c>
      <c r="G5" s="4">
        <v>9</v>
      </c>
      <c r="H5" s="4" t="s">
        <v>110</v>
      </c>
      <c r="I5" s="4" t="s">
        <v>110</v>
      </c>
      <c r="K5" s="4">
        <v>107</v>
      </c>
      <c r="M5" s="4">
        <f>F5</f>
        <v>107</v>
      </c>
      <c r="Q5" s="4">
        <f>ROUND(F5*0.822,0)</f>
        <v>88</v>
      </c>
      <c r="AB5" s="4">
        <v>20</v>
      </c>
      <c r="AC5" s="4">
        <f>F5-AB5</f>
        <v>87</v>
      </c>
      <c r="AG5" s="4">
        <v>36</v>
      </c>
      <c r="AH5" s="4">
        <v>0</v>
      </c>
      <c r="AI5" s="4">
        <v>1</v>
      </c>
      <c r="AL5" s="4">
        <v>1</v>
      </c>
      <c r="BA5" s="5" t="str">
        <f t="shared" ref="BA5:BC5" si="12">IF(ISNUMBER(BQ5),BQ5,IF(AND(ISNUMBER($BJ5),ISNUMBER($BK5)),BI5,""))</f>
        <v/>
      </c>
      <c r="BB5" s="5" t="str">
        <f t="shared" si="12"/>
        <v/>
      </c>
      <c r="BC5" s="5" t="str">
        <f t="shared" si="12"/>
        <v/>
      </c>
      <c r="BD5" s="5" t="str">
        <f t="shared" ref="BD5:BF5" si="13">IF(ISNUMBER(BT5),BT5,IF(AND(ISNUMBER($BO5),ISNUMBER($BP5)),BN5,""))</f>
        <v/>
      </c>
      <c r="BE5" s="5" t="str">
        <f t="shared" si="13"/>
        <v/>
      </c>
      <c r="BF5" s="5" t="str">
        <f t="shared" si="13"/>
        <v/>
      </c>
      <c r="BI5" s="5"/>
      <c r="BJ5" s="5" t="str">
        <f t="shared" si="4"/>
        <v/>
      </c>
      <c r="BK5" s="5" t="str">
        <f t="shared" si="5"/>
        <v/>
      </c>
      <c r="BN5" s="5"/>
      <c r="BO5" s="5" t="str">
        <f t="shared" si="6"/>
        <v/>
      </c>
      <c r="BP5" s="5" t="str">
        <f t="shared" si="7"/>
        <v/>
      </c>
      <c r="CC5" s="4">
        <f>107-36</f>
        <v>71</v>
      </c>
      <c r="CD5" s="4">
        <v>2</v>
      </c>
      <c r="CG5" s="4">
        <v>2</v>
      </c>
      <c r="CI5" s="4"/>
      <c r="CJ5" s="4"/>
      <c r="CK5" s="4"/>
      <c r="CL5" s="4"/>
      <c r="CM5" s="4"/>
      <c r="CN5" s="4"/>
      <c r="CO5" s="4"/>
      <c r="CP5" s="4"/>
      <c r="CQ5" s="4"/>
      <c r="CR5" s="4"/>
      <c r="CS5" s="4"/>
      <c r="CT5" s="4"/>
      <c r="CU5" s="4"/>
      <c r="CV5" s="4" t="s">
        <v>119</v>
      </c>
      <c r="CW5" s="4"/>
      <c r="CX5" s="4" t="s">
        <v>107</v>
      </c>
    </row>
    <row r="6" spans="1:103" ht="15.75" customHeight="1">
      <c r="A6" s="4" t="s">
        <v>120</v>
      </c>
      <c r="B6" s="4">
        <v>2010</v>
      </c>
      <c r="C6" s="4" t="s">
        <v>121</v>
      </c>
      <c r="D6" s="4" t="str">
        <f t="shared" si="0"/>
        <v>Dzieciątkowski T 2010</v>
      </c>
      <c r="E6" s="4" t="str">
        <f t="shared" si="1"/>
        <v>Yes</v>
      </c>
      <c r="F6" s="4">
        <v>7</v>
      </c>
      <c r="G6" s="4">
        <f>MEDIAN(18,27,22,20,32,27,44)</f>
        <v>27</v>
      </c>
      <c r="H6" s="4">
        <f>MIN(18,27,22,20,32,27,44)</f>
        <v>18</v>
      </c>
      <c r="I6" s="4">
        <f>MAX(18,27,22,20,32,27,44)</f>
        <v>44</v>
      </c>
      <c r="L6" s="4">
        <v>7</v>
      </c>
      <c r="M6" s="4">
        <v>7</v>
      </c>
      <c r="Z6" s="4"/>
      <c r="AA6" s="4">
        <v>7</v>
      </c>
      <c r="AD6" s="4">
        <v>7</v>
      </c>
      <c r="AG6" s="4">
        <v>1</v>
      </c>
      <c r="AH6" s="4">
        <v>0</v>
      </c>
      <c r="AI6" s="4">
        <v>0</v>
      </c>
      <c r="AL6" s="4">
        <v>0</v>
      </c>
      <c r="AN6" s="4"/>
      <c r="AO6" s="4"/>
      <c r="AP6" s="4"/>
      <c r="AQ6" s="4"/>
      <c r="AR6" s="4"/>
      <c r="AS6" s="4"/>
      <c r="AT6" s="4"/>
      <c r="AU6" s="4"/>
      <c r="AV6" s="4"/>
      <c r="AW6" s="4"/>
      <c r="AX6" s="4"/>
      <c r="AY6" s="4"/>
      <c r="AZ6" s="4"/>
      <c r="BA6" s="5" t="str">
        <f t="shared" ref="BA6:BC6" si="14">IF(ISNUMBER(BQ6),BQ6,IF(AND(ISNUMBER($BJ6),ISNUMBER($BK6)),BI6,""))</f>
        <v/>
      </c>
      <c r="BB6" s="5" t="str">
        <f t="shared" si="14"/>
        <v/>
      </c>
      <c r="BC6" s="5" t="str">
        <f t="shared" si="14"/>
        <v/>
      </c>
      <c r="BD6" s="5" t="str">
        <f t="shared" ref="BD6:BF6" si="15">IF(ISNUMBER(BT6),BT6,IF(AND(ISNUMBER($BO6),ISNUMBER($BP6)),BN6,""))</f>
        <v/>
      </c>
      <c r="BE6" s="5" t="str">
        <f t="shared" si="15"/>
        <v/>
      </c>
      <c r="BF6" s="5" t="str">
        <f t="shared" si="15"/>
        <v/>
      </c>
      <c r="BG6" s="4"/>
      <c r="BH6" s="4"/>
      <c r="BI6" s="5"/>
      <c r="BJ6" s="5" t="str">
        <f t="shared" si="4"/>
        <v/>
      </c>
      <c r="BK6" s="5" t="str">
        <f t="shared" si="5"/>
        <v/>
      </c>
      <c r="BL6" s="4"/>
      <c r="BM6" s="4"/>
      <c r="BN6" s="5"/>
      <c r="BO6" s="5" t="str">
        <f t="shared" si="6"/>
        <v/>
      </c>
      <c r="BP6" s="5" t="str">
        <f t="shared" si="7"/>
        <v/>
      </c>
      <c r="BQ6" s="4"/>
      <c r="BR6" s="4"/>
      <c r="BS6" s="4"/>
      <c r="CC6" s="4">
        <v>6</v>
      </c>
      <c r="CD6" s="4">
        <v>1</v>
      </c>
      <c r="CG6" s="4">
        <v>1</v>
      </c>
      <c r="CI6" s="4"/>
      <c r="CJ6" s="4"/>
      <c r="CK6" s="4"/>
      <c r="CL6" s="4"/>
      <c r="CM6" s="4"/>
      <c r="CN6" s="4"/>
      <c r="CO6" s="4"/>
      <c r="CP6" s="4"/>
      <c r="CQ6" s="4"/>
      <c r="CR6" s="4"/>
      <c r="CS6" s="4"/>
      <c r="CT6" s="4"/>
      <c r="CU6" s="4"/>
      <c r="CV6" s="4" t="s">
        <v>122</v>
      </c>
      <c r="CW6" s="4"/>
      <c r="CX6" s="4" t="s">
        <v>107</v>
      </c>
    </row>
    <row r="7" spans="1:103" ht="15.75" customHeight="1">
      <c r="A7" s="4" t="s">
        <v>123</v>
      </c>
      <c r="B7" s="4">
        <v>2021</v>
      </c>
      <c r="C7" s="4" t="s">
        <v>124</v>
      </c>
      <c r="D7" s="4" t="str">
        <f t="shared" si="0"/>
        <v>El Jurdi N 2021</v>
      </c>
      <c r="E7" s="4" t="str">
        <f t="shared" si="1"/>
        <v>Yes</v>
      </c>
      <c r="F7" s="4">
        <v>86</v>
      </c>
      <c r="G7" s="4" t="s">
        <v>110</v>
      </c>
      <c r="H7" s="4" t="s">
        <v>110</v>
      </c>
      <c r="I7" s="4" t="s">
        <v>110</v>
      </c>
      <c r="J7" s="4">
        <f>16+9+31+30</f>
        <v>86</v>
      </c>
      <c r="M7" s="4">
        <v>86</v>
      </c>
      <c r="X7" s="4">
        <f>25+61</f>
        <v>86</v>
      </c>
      <c r="AD7" s="4">
        <f>4+11+10+1+5+55</f>
        <v>86</v>
      </c>
      <c r="AG7" s="4">
        <f>ROUND(F7*0.63,0)</f>
        <v>54</v>
      </c>
      <c r="AH7" s="4">
        <v>0</v>
      </c>
      <c r="AL7" s="4">
        <v>11</v>
      </c>
      <c r="AM7" s="4">
        <v>13</v>
      </c>
      <c r="BA7" s="5" t="str">
        <f t="shared" ref="BA7:BC7" si="16">IF(ISNUMBER(BQ7),BQ7,IF(AND(ISNUMBER($BJ7),ISNUMBER($BK7)),BI7,""))</f>
        <v/>
      </c>
      <c r="BB7" s="5" t="str">
        <f t="shared" si="16"/>
        <v/>
      </c>
      <c r="BC7" s="5" t="str">
        <f t="shared" si="16"/>
        <v/>
      </c>
      <c r="BD7" s="5" t="str">
        <f t="shared" ref="BD7:BF7" si="17">IF(ISNUMBER(BT7),BT7,IF(AND(ISNUMBER($BO7),ISNUMBER($BP7)),BN7,""))</f>
        <v/>
      </c>
      <c r="BE7" s="5" t="str">
        <f t="shared" si="17"/>
        <v/>
      </c>
      <c r="BF7" s="5" t="str">
        <f t="shared" si="17"/>
        <v/>
      </c>
      <c r="BI7" s="5"/>
      <c r="BJ7" s="5" t="str">
        <f t="shared" si="4"/>
        <v/>
      </c>
      <c r="BK7" s="5" t="str">
        <f t="shared" si="5"/>
        <v/>
      </c>
      <c r="BN7" s="5"/>
      <c r="BO7" s="5" t="str">
        <f t="shared" si="6"/>
        <v/>
      </c>
      <c r="BP7" s="5" t="str">
        <f t="shared" si="7"/>
        <v/>
      </c>
      <c r="CC7" s="4">
        <f t="shared" ref="CC7:CC8" si="18">F7-AG7</f>
        <v>32</v>
      </c>
      <c r="CG7" s="4">
        <v>5</v>
      </c>
      <c r="CH7" s="4">
        <f>17-13</f>
        <v>4</v>
      </c>
      <c r="CV7" s="4" t="s">
        <v>125</v>
      </c>
      <c r="CW7" s="4" t="s">
        <v>126</v>
      </c>
    </row>
    <row r="8" spans="1:103" ht="15.75" customHeight="1">
      <c r="A8" s="4" t="s">
        <v>127</v>
      </c>
      <c r="B8" s="4">
        <v>2016</v>
      </c>
      <c r="C8" s="4" t="s">
        <v>128</v>
      </c>
      <c r="D8" s="4" t="str">
        <f t="shared" si="0"/>
        <v>Gomes de Oliveira PG 2016</v>
      </c>
      <c r="E8" s="4" t="str">
        <f t="shared" si="1"/>
        <v>Yes</v>
      </c>
      <c r="F8" s="4">
        <v>98</v>
      </c>
      <c r="G8" s="4">
        <v>16</v>
      </c>
      <c r="H8" s="4">
        <v>2</v>
      </c>
      <c r="I8" s="4">
        <v>73</v>
      </c>
      <c r="J8" s="4">
        <v>27</v>
      </c>
      <c r="L8" s="4">
        <f>F8-J8</f>
        <v>71</v>
      </c>
      <c r="M8" s="4">
        <v>98</v>
      </c>
      <c r="Q8" s="4">
        <v>17</v>
      </c>
      <c r="R8" s="4">
        <v>36</v>
      </c>
      <c r="S8" s="4"/>
      <c r="T8" s="4">
        <v>24</v>
      </c>
      <c r="U8" s="4">
        <v>9</v>
      </c>
      <c r="Z8" s="4"/>
      <c r="AA8" s="4">
        <v>47</v>
      </c>
      <c r="AD8" s="4">
        <v>24</v>
      </c>
      <c r="AE8" s="4">
        <v>74</v>
      </c>
      <c r="AF8" s="4">
        <v>98</v>
      </c>
      <c r="AG8" s="4">
        <v>18</v>
      </c>
      <c r="AH8" s="4">
        <v>0</v>
      </c>
      <c r="AL8" s="4">
        <f>ROUND(AG8*(1-0.82),0)</f>
        <v>3</v>
      </c>
      <c r="AM8" s="4">
        <f>ROUND(AG8*(1-0.71),0)</f>
        <v>5</v>
      </c>
      <c r="AN8" s="4"/>
      <c r="AO8" s="4"/>
      <c r="AP8" s="4">
        <v>19</v>
      </c>
      <c r="AU8" s="4">
        <v>38</v>
      </c>
      <c r="BA8" s="5">
        <f t="shared" ref="BA8:BC8" si="19">IF(ISNUMBER(BQ8),BQ8,IF(AND(ISNUMBER($BJ8),ISNUMBER($BK8)),BI8,""))</f>
        <v>0.84210526315789469</v>
      </c>
      <c r="BB8" s="5">
        <f t="shared" si="19"/>
        <v>0.53376260728434599</v>
      </c>
      <c r="BC8" s="5">
        <f t="shared" si="19"/>
        <v>1.6137115847203207</v>
      </c>
      <c r="BD8" s="5">
        <f t="shared" ref="BD8:BF8" si="20">IF(ISNUMBER(BT8),BT8,IF(AND(ISNUMBER($BO8),ISNUMBER($BP8)),BN8,""))</f>
        <v>0.47368421052631576</v>
      </c>
      <c r="BE8" s="5">
        <f t="shared" si="20"/>
        <v>0.40070150476882849</v>
      </c>
      <c r="BF8" s="5">
        <f t="shared" si="20"/>
        <v>1.3041041409011598</v>
      </c>
      <c r="BG8" s="4">
        <f>ROUND(AG8*0.82,0)</f>
        <v>15</v>
      </c>
      <c r="BH8" s="4">
        <f>ROUND(CC8*0.96,0)</f>
        <v>77</v>
      </c>
      <c r="BI8" s="5">
        <f t="shared" ref="BI8:BI10" si="21">CK8/AP8</f>
        <v>0.84210526315789469</v>
      </c>
      <c r="BJ8" s="5">
        <f t="shared" si="4"/>
        <v>0.53376260728434599</v>
      </c>
      <c r="BK8" s="5">
        <f t="shared" si="5"/>
        <v>1.6137115847203207</v>
      </c>
      <c r="BL8" s="4">
        <f>ROUND(AG8*0.71,0)</f>
        <v>13</v>
      </c>
      <c r="BM8" s="4">
        <f>ROUND(CC8*0.91,0)</f>
        <v>73</v>
      </c>
      <c r="BN8" s="5">
        <f t="shared" ref="BN8:BN9" si="22">CP8/AU8</f>
        <v>0.47368421052631576</v>
      </c>
      <c r="BO8" s="5">
        <f t="shared" si="6"/>
        <v>0.40070150476882849</v>
      </c>
      <c r="BP8" s="5">
        <f t="shared" si="7"/>
        <v>1.3041041409011598</v>
      </c>
      <c r="CC8" s="4">
        <f t="shared" si="18"/>
        <v>80</v>
      </c>
      <c r="CG8" s="4">
        <f>ROUND(CC8*(1-0.96),0)</f>
        <v>3</v>
      </c>
      <c r="CH8" s="4">
        <f>ROUND(CC8*(1-0.91),0)</f>
        <v>7</v>
      </c>
      <c r="CI8" s="4"/>
      <c r="CJ8" s="4"/>
      <c r="CK8" s="4">
        <v>16</v>
      </c>
      <c r="CP8" s="4">
        <v>18</v>
      </c>
      <c r="CV8" s="4" t="s">
        <v>129</v>
      </c>
      <c r="CW8" s="4" t="s">
        <v>130</v>
      </c>
    </row>
    <row r="9" spans="1:103" ht="15.75" customHeight="1">
      <c r="A9" s="4" t="s">
        <v>131</v>
      </c>
      <c r="B9" s="4">
        <v>2021</v>
      </c>
      <c r="C9" s="4" t="s">
        <v>132</v>
      </c>
      <c r="D9" s="4" t="str">
        <f t="shared" si="0"/>
        <v>Han TT 2021</v>
      </c>
      <c r="E9" s="4" t="str">
        <f t="shared" si="1"/>
        <v>Yes</v>
      </c>
      <c r="F9" s="4">
        <v>102</v>
      </c>
      <c r="G9" s="4">
        <v>25</v>
      </c>
      <c r="H9" s="4">
        <v>2</v>
      </c>
      <c r="I9" s="4">
        <v>58</v>
      </c>
      <c r="M9" s="4">
        <f t="shared" ref="M9:M10" si="23">F9</f>
        <v>102</v>
      </c>
      <c r="S9" s="4">
        <f>F9</f>
        <v>102</v>
      </c>
      <c r="AE9" s="4">
        <f>F9</f>
        <v>102</v>
      </c>
      <c r="AF9" s="4">
        <v>102</v>
      </c>
      <c r="AG9" s="4">
        <v>25</v>
      </c>
      <c r="AH9" s="4" t="s">
        <v>105</v>
      </c>
      <c r="AM9" s="4">
        <v>4</v>
      </c>
      <c r="AN9" s="4">
        <v>9</v>
      </c>
      <c r="AO9" s="4"/>
      <c r="AP9" s="4">
        <v>13</v>
      </c>
      <c r="AQ9" s="4"/>
      <c r="AR9" s="4">
        <v>21</v>
      </c>
      <c r="AS9" s="4">
        <v>9</v>
      </c>
      <c r="AT9" s="4"/>
      <c r="AU9" s="4">
        <v>16</v>
      </c>
      <c r="AV9" s="4"/>
      <c r="AW9" s="4">
        <v>29</v>
      </c>
      <c r="AX9" s="4"/>
      <c r="AY9" s="4"/>
      <c r="AZ9" s="4"/>
      <c r="BA9" s="5" t="str">
        <f t="shared" ref="BA9:BC9" si="24">IF(ISNUMBER(BQ9),BQ9,IF(AND(ISNUMBER($BJ9),ISNUMBER($BK9)),BI9,""))</f>
        <v/>
      </c>
      <c r="BB9" s="5" t="str">
        <f t="shared" si="24"/>
        <v/>
      </c>
      <c r="BC9" s="5" t="str">
        <f t="shared" si="24"/>
        <v/>
      </c>
      <c r="BD9" s="5">
        <f t="shared" ref="BD9:BF9" si="25">IF(ISNUMBER(BT9),BT9,IF(AND(ISNUMBER($BO9),ISNUMBER($BP9)),BN9,""))</f>
        <v>1</v>
      </c>
      <c r="BE9" s="5">
        <f t="shared" si="25"/>
        <v>0.61454819454685106</v>
      </c>
      <c r="BF9" s="5">
        <f t="shared" si="25"/>
        <v>1.6272116798542859</v>
      </c>
      <c r="BG9" s="4" t="s">
        <v>110</v>
      </c>
      <c r="BH9" s="4" t="s">
        <v>110</v>
      </c>
      <c r="BI9" s="5">
        <f t="shared" si="21"/>
        <v>1</v>
      </c>
      <c r="BJ9" s="5" t="str">
        <f t="shared" si="4"/>
        <v/>
      </c>
      <c r="BK9" s="5" t="str">
        <f t="shared" si="5"/>
        <v/>
      </c>
      <c r="BL9" s="4">
        <f>AG9-4</f>
        <v>21</v>
      </c>
      <c r="BM9" s="4">
        <f>CC9-6</f>
        <v>71</v>
      </c>
      <c r="BN9" s="5">
        <f t="shared" si="22"/>
        <v>1</v>
      </c>
      <c r="BO9" s="5">
        <f t="shared" si="6"/>
        <v>0.61454819454685106</v>
      </c>
      <c r="BP9" s="5">
        <f t="shared" si="7"/>
        <v>1.6272116798542859</v>
      </c>
      <c r="BQ9" s="4"/>
      <c r="BR9" s="4"/>
      <c r="BS9" s="4"/>
      <c r="BT9" s="4"/>
      <c r="BU9" s="4"/>
      <c r="BV9" s="4"/>
      <c r="CC9" s="4">
        <v>77</v>
      </c>
      <c r="CH9" s="4">
        <v>6</v>
      </c>
      <c r="CI9" s="4">
        <v>11</v>
      </c>
      <c r="CJ9" s="4"/>
      <c r="CK9" s="4">
        <v>13</v>
      </c>
      <c r="CL9" s="4"/>
      <c r="CM9" s="4">
        <v>20</v>
      </c>
      <c r="CN9" s="4">
        <v>10</v>
      </c>
      <c r="CO9" s="4"/>
      <c r="CP9" s="4">
        <v>16</v>
      </c>
      <c r="CQ9" s="4"/>
      <c r="CR9" s="4">
        <v>84</v>
      </c>
      <c r="CV9" s="4" t="s">
        <v>133</v>
      </c>
      <c r="CW9" s="4" t="s">
        <v>134</v>
      </c>
    </row>
    <row r="10" spans="1:103" ht="15.75" customHeight="1">
      <c r="A10" s="4" t="s">
        <v>135</v>
      </c>
      <c r="B10" s="4">
        <v>2005</v>
      </c>
      <c r="C10" s="4" t="s">
        <v>136</v>
      </c>
      <c r="D10" s="4" t="str">
        <f t="shared" si="0"/>
        <v>Hentrich M 2005</v>
      </c>
      <c r="E10" s="4" t="str">
        <f t="shared" si="1"/>
        <v>Yes</v>
      </c>
      <c r="F10" s="4">
        <f>129+99</f>
        <v>228</v>
      </c>
      <c r="G10" s="4" t="s">
        <v>110</v>
      </c>
      <c r="H10" s="4" t="s">
        <v>110</v>
      </c>
      <c r="I10" s="4" t="s">
        <v>110</v>
      </c>
      <c r="K10" s="4">
        <f>F10</f>
        <v>228</v>
      </c>
      <c r="M10" s="4">
        <f t="shared" si="23"/>
        <v>228</v>
      </c>
      <c r="AA10" s="4">
        <f>F10</f>
        <v>228</v>
      </c>
      <c r="AB10" s="4">
        <f>100+63</f>
        <v>163</v>
      </c>
      <c r="AC10" s="4">
        <f>21+13</f>
        <v>34</v>
      </c>
      <c r="AF10" s="4">
        <f>129+99</f>
        <v>228</v>
      </c>
      <c r="AG10" s="4">
        <v>129</v>
      </c>
      <c r="AH10" s="4">
        <v>0</v>
      </c>
      <c r="AL10" s="4">
        <v>8</v>
      </c>
      <c r="AN10" s="4"/>
      <c r="AO10" s="4"/>
      <c r="AP10" s="4">
        <v>19</v>
      </c>
      <c r="AQ10" s="4"/>
      <c r="AR10" s="4"/>
      <c r="AS10" s="4"/>
      <c r="AT10" s="4"/>
      <c r="AU10" s="4"/>
      <c r="AV10" s="4"/>
      <c r="AW10" s="4"/>
      <c r="AX10" s="4"/>
      <c r="AY10" s="4"/>
      <c r="AZ10" s="4"/>
      <c r="BA10" s="5" t="str">
        <f t="shared" ref="BA10:BC10" si="26">IF(ISNUMBER(BQ10),BQ10,IF(AND(ISNUMBER($BJ10),ISNUMBER($BK10)),BI10,""))</f>
        <v/>
      </c>
      <c r="BB10" s="5" t="str">
        <f t="shared" si="26"/>
        <v/>
      </c>
      <c r="BC10" s="5" t="str">
        <f t="shared" si="26"/>
        <v/>
      </c>
      <c r="BD10" s="5" t="str">
        <f t="shared" ref="BD10:BF10" si="27">IF(ISNUMBER(BT10),BT10,IF(AND(ISNUMBER($BO10),ISNUMBER($BP10)),BN10,""))</f>
        <v/>
      </c>
      <c r="BE10" s="5" t="str">
        <f t="shared" si="27"/>
        <v/>
      </c>
      <c r="BF10" s="5" t="str">
        <f t="shared" si="27"/>
        <v/>
      </c>
      <c r="BG10" s="4" t="s">
        <v>110</v>
      </c>
      <c r="BH10" s="4" t="s">
        <v>110</v>
      </c>
      <c r="BI10" s="5">
        <f t="shared" si="21"/>
        <v>0.94736842105263153</v>
      </c>
      <c r="BJ10" s="5" t="str">
        <f t="shared" si="4"/>
        <v/>
      </c>
      <c r="BK10" s="5" t="str">
        <f t="shared" si="5"/>
        <v/>
      </c>
      <c r="BL10" s="4"/>
      <c r="BM10" s="4"/>
      <c r="BN10" s="5"/>
      <c r="BO10" s="5" t="str">
        <f t="shared" si="6"/>
        <v/>
      </c>
      <c r="BP10" s="5" t="str">
        <f t="shared" si="7"/>
        <v/>
      </c>
      <c r="BQ10" s="4"/>
      <c r="BR10" s="4"/>
      <c r="BS10" s="4"/>
      <c r="BT10" s="4"/>
      <c r="BU10" s="4"/>
      <c r="BV10" s="4"/>
      <c r="CC10" s="4">
        <v>99</v>
      </c>
      <c r="CG10" s="4">
        <v>11</v>
      </c>
      <c r="CI10" s="4"/>
      <c r="CJ10" s="4"/>
      <c r="CK10" s="4">
        <v>18</v>
      </c>
      <c r="CV10" s="4" t="s">
        <v>137</v>
      </c>
      <c r="CW10" s="4"/>
      <c r="CX10" s="4" t="s">
        <v>138</v>
      </c>
    </row>
    <row r="11" spans="1:103" ht="15.75" customHeight="1">
      <c r="A11" s="4" t="s">
        <v>139</v>
      </c>
      <c r="B11" s="4">
        <v>2014</v>
      </c>
      <c r="C11" s="4" t="s">
        <v>140</v>
      </c>
      <c r="D11" s="4" t="str">
        <f t="shared" si="0"/>
        <v>Le Bourgeois A 2014</v>
      </c>
      <c r="E11" s="4" t="str">
        <f t="shared" si="1"/>
        <v>Yes</v>
      </c>
      <c r="F11" s="4">
        <v>73</v>
      </c>
      <c r="G11" s="4" t="s">
        <v>110</v>
      </c>
      <c r="H11" s="4" t="s">
        <v>110</v>
      </c>
      <c r="I11" s="4" t="s">
        <v>110</v>
      </c>
      <c r="J11" s="4">
        <v>69</v>
      </c>
      <c r="K11" s="4">
        <v>8</v>
      </c>
      <c r="P11" s="4">
        <f t="shared" ref="P11:P12" si="28">F11</f>
        <v>73</v>
      </c>
      <c r="R11" s="4">
        <f>F11</f>
        <v>73</v>
      </c>
      <c r="AD11" s="4">
        <f>F11</f>
        <v>73</v>
      </c>
      <c r="AG11" s="4">
        <v>27</v>
      </c>
      <c r="AH11" s="4">
        <v>0</v>
      </c>
      <c r="AL11" s="4">
        <v>9</v>
      </c>
      <c r="AN11" s="4"/>
      <c r="AO11" s="4"/>
      <c r="AP11" s="4"/>
      <c r="AQ11" s="4"/>
      <c r="AR11" s="4"/>
      <c r="AS11" s="4"/>
      <c r="AT11" s="4"/>
      <c r="AU11" s="4"/>
      <c r="AV11" s="4"/>
      <c r="AW11" s="4"/>
      <c r="AX11" s="4"/>
      <c r="AY11" s="4"/>
      <c r="AZ11" s="4"/>
      <c r="BA11" s="5" t="str">
        <f t="shared" ref="BA11:BC11" si="29">IF(ISNUMBER(BQ11),BQ11,IF(AND(ISNUMBER($BJ11),ISNUMBER($BK11)),BI11,""))</f>
        <v/>
      </c>
      <c r="BB11" s="5" t="str">
        <f t="shared" si="29"/>
        <v/>
      </c>
      <c r="BC11" s="5" t="str">
        <f t="shared" si="29"/>
        <v/>
      </c>
      <c r="BD11" s="5" t="str">
        <f t="shared" ref="BD11:BF11" si="30">IF(ISNUMBER(BT11),BT11,IF(AND(ISNUMBER($BO11),ISNUMBER($BP11)),BN11,""))</f>
        <v/>
      </c>
      <c r="BE11" s="5" t="str">
        <f t="shared" si="30"/>
        <v/>
      </c>
      <c r="BF11" s="5" t="str">
        <f t="shared" si="30"/>
        <v/>
      </c>
      <c r="BG11" s="4"/>
      <c r="BH11" s="4"/>
      <c r="BI11" s="5"/>
      <c r="BJ11" s="5" t="str">
        <f t="shared" si="4"/>
        <v/>
      </c>
      <c r="BK11" s="5" t="str">
        <f t="shared" si="5"/>
        <v/>
      </c>
      <c r="BL11" s="4"/>
      <c r="BM11" s="4"/>
      <c r="BN11" s="5"/>
      <c r="BO11" s="5" t="str">
        <f t="shared" si="6"/>
        <v/>
      </c>
      <c r="BP11" s="5" t="str">
        <f t="shared" si="7"/>
        <v/>
      </c>
      <c r="BQ11" s="4"/>
      <c r="BR11" s="4"/>
      <c r="BS11" s="4"/>
      <c r="BT11" s="4"/>
      <c r="BU11" s="4"/>
      <c r="BV11" s="4"/>
      <c r="CC11" s="4">
        <v>44</v>
      </c>
      <c r="CG11" s="4">
        <v>6</v>
      </c>
      <c r="CV11" s="4" t="s">
        <v>141</v>
      </c>
      <c r="CW11" s="4" t="s">
        <v>142</v>
      </c>
    </row>
    <row r="12" spans="1:103" ht="15.75" customHeight="1">
      <c r="A12" s="4" t="s">
        <v>143</v>
      </c>
      <c r="B12" s="4">
        <v>2024</v>
      </c>
      <c r="C12" s="4" t="s">
        <v>144</v>
      </c>
      <c r="D12" s="4" t="str">
        <f t="shared" si="0"/>
        <v>Mata JR 2024</v>
      </c>
      <c r="E12" s="4" t="str">
        <f t="shared" si="1"/>
        <v>Yes</v>
      </c>
      <c r="F12" s="4">
        <v>958</v>
      </c>
      <c r="G12" s="4" t="s">
        <v>110</v>
      </c>
      <c r="H12" s="4">
        <v>18</v>
      </c>
      <c r="I12" s="4" t="s">
        <v>110</v>
      </c>
      <c r="J12" s="4" t="s">
        <v>110</v>
      </c>
      <c r="K12" s="4" t="s">
        <v>110</v>
      </c>
      <c r="L12" s="4" t="s">
        <v>110</v>
      </c>
      <c r="P12" s="4">
        <f t="shared" si="28"/>
        <v>958</v>
      </c>
      <c r="W12" s="4">
        <f>F12</f>
        <v>958</v>
      </c>
      <c r="AB12" s="4">
        <v>455</v>
      </c>
      <c r="AC12" s="4">
        <v>503</v>
      </c>
      <c r="AF12" s="4">
        <v>958</v>
      </c>
      <c r="AG12" s="4">
        <f>193+17</f>
        <v>210</v>
      </c>
      <c r="AI12" s="4">
        <v>17</v>
      </c>
      <c r="AL12" s="4">
        <v>17</v>
      </c>
      <c r="BA12" s="5" t="str">
        <f t="shared" ref="BA12:BC12" si="31">IF(ISNUMBER(BQ12),BQ12,IF(AND(ISNUMBER($BJ12),ISNUMBER($BK12)),BI12,""))</f>
        <v/>
      </c>
      <c r="BB12" s="5" t="str">
        <f t="shared" si="31"/>
        <v/>
      </c>
      <c r="BC12" s="5" t="str">
        <f t="shared" si="31"/>
        <v/>
      </c>
      <c r="BD12" s="5" t="str">
        <f t="shared" ref="BD12:BF12" si="32">IF(ISNUMBER(BT12),BT12,IF(AND(ISNUMBER($BO12),ISNUMBER($BP12)),BN12,""))</f>
        <v/>
      </c>
      <c r="BE12" s="5" t="str">
        <f t="shared" si="32"/>
        <v/>
      </c>
      <c r="BF12" s="5" t="str">
        <f t="shared" si="32"/>
        <v/>
      </c>
      <c r="BG12" s="7"/>
      <c r="BH12" s="7"/>
      <c r="BI12" s="7"/>
      <c r="BJ12" s="7"/>
      <c r="BK12" s="7"/>
      <c r="BL12" s="7"/>
      <c r="BM12" s="7"/>
      <c r="BN12" s="8"/>
      <c r="BO12" s="7"/>
      <c r="BP12" s="7"/>
      <c r="BT12" s="7"/>
      <c r="CC12" s="4">
        <f>921-193</f>
        <v>728</v>
      </c>
      <c r="CD12" s="4">
        <f>37-17</f>
        <v>20</v>
      </c>
      <c r="CG12" s="4">
        <f>37-17</f>
        <v>20</v>
      </c>
      <c r="CV12" s="4" t="s">
        <v>145</v>
      </c>
      <c r="CW12" s="4"/>
      <c r="CX12" s="4" t="s">
        <v>146</v>
      </c>
    </row>
    <row r="13" spans="1:103" ht="15.75" customHeight="1">
      <c r="A13" s="4" t="s">
        <v>147</v>
      </c>
      <c r="B13" s="4">
        <v>2023</v>
      </c>
      <c r="C13" s="4" t="s">
        <v>148</v>
      </c>
      <c r="D13" s="4" t="str">
        <f t="shared" si="0"/>
        <v>Miranda-Silva W 2023</v>
      </c>
      <c r="E13" s="4" t="str">
        <f t="shared" si="1"/>
        <v>Yes</v>
      </c>
      <c r="F13" s="9">
        <v>31</v>
      </c>
      <c r="G13" s="9">
        <v>50</v>
      </c>
      <c r="H13" s="4">
        <v>19</v>
      </c>
      <c r="I13" s="4">
        <v>72</v>
      </c>
      <c r="J13" s="4">
        <v>19</v>
      </c>
      <c r="K13" s="4">
        <v>12</v>
      </c>
      <c r="M13" s="4">
        <f>F13</f>
        <v>31</v>
      </c>
      <c r="R13" s="4">
        <v>11</v>
      </c>
      <c r="T13" s="4">
        <v>10</v>
      </c>
      <c r="V13" s="4">
        <v>10</v>
      </c>
      <c r="AB13" s="4">
        <v>10</v>
      </c>
      <c r="AC13" s="4">
        <v>21</v>
      </c>
      <c r="AF13" s="4">
        <v>31</v>
      </c>
      <c r="AG13" s="4">
        <v>2</v>
      </c>
      <c r="AH13" s="4">
        <v>0</v>
      </c>
      <c r="AL13" s="4">
        <v>1</v>
      </c>
      <c r="BA13" s="5" t="str">
        <f t="shared" ref="BA13:BC13" si="33">IF(ISNUMBER(BQ13),BQ13,IF(AND(ISNUMBER($BJ13),ISNUMBER($BK13)),BI13,""))</f>
        <v/>
      </c>
      <c r="BB13" s="5" t="str">
        <f t="shared" si="33"/>
        <v/>
      </c>
      <c r="BC13" s="5" t="str">
        <f t="shared" si="33"/>
        <v/>
      </c>
      <c r="BD13" s="5" t="str">
        <f t="shared" ref="BD13:BF13" si="34">IF(ISNUMBER(BT13),BT13,IF(AND(ISNUMBER($BO13),ISNUMBER($BP13)),BN13,""))</f>
        <v/>
      </c>
      <c r="BE13" s="5" t="str">
        <f t="shared" si="34"/>
        <v/>
      </c>
      <c r="BF13" s="5" t="str">
        <f t="shared" si="34"/>
        <v/>
      </c>
      <c r="BI13" s="5"/>
      <c r="BJ13" s="5" t="str">
        <f t="shared" ref="BJ13:BJ15" si="35">IF(AND(ISNUMBER(BG13),ISNUMBER(BH13),ISNUMBER(BI13)),EXP(LOG(BI13)-1.96*SQRT((1/BG13)+(1/BH13))),"")</f>
        <v/>
      </c>
      <c r="BK13" s="5" t="str">
        <f t="shared" ref="BK13:BK15" si="36">IF(AND(ISNUMBER(BG13),ISNUMBER(BH13),ISNUMBER(BI13)),EXP(LOG(BI13)+1.96*SQRT((1/BG13)+(1/BH13))),"")</f>
        <v/>
      </c>
      <c r="BN13" s="5"/>
      <c r="BO13" s="5" t="str">
        <f t="shared" ref="BO13:BO15" si="37">IF(AND(ISNUMBER(BL13),ISNUMBER(BM13),ISNUMBER(BN13)),EXP(LOG(BN13)-1.96*SQRT((1/BL13)+(1/BM13))),"")</f>
        <v/>
      </c>
      <c r="BP13" s="5" t="str">
        <f t="shared" ref="BP13:BP15" si="38">IF(AND(ISNUMBER(BL13),ISNUMBER(BM13),ISNUMBER(BN13)),EXP(LOG(BN13)+1.96*SQRT((1/BL13)+(1/BM13))),"")</f>
        <v/>
      </c>
      <c r="CC13" s="4">
        <f>AF13-AG13</f>
        <v>29</v>
      </c>
      <c r="CG13" s="4">
        <f>ROUND(CC13*(1-0.97),0)</f>
        <v>1</v>
      </c>
      <c r="CV13" s="4" t="s">
        <v>149</v>
      </c>
      <c r="CW13" s="4" t="s">
        <v>150</v>
      </c>
    </row>
    <row r="14" spans="1:103" ht="15.75" customHeight="1">
      <c r="A14" s="4" t="s">
        <v>151</v>
      </c>
      <c r="B14" s="4">
        <v>2006</v>
      </c>
      <c r="C14" s="4" t="s">
        <v>152</v>
      </c>
      <c r="D14" s="4" t="str">
        <f t="shared" si="0"/>
        <v>Ogata M 2006</v>
      </c>
      <c r="E14" s="4" t="str">
        <f t="shared" si="1"/>
        <v>Yes</v>
      </c>
      <c r="F14" s="4">
        <f>24+26</f>
        <v>50</v>
      </c>
      <c r="G14" s="4">
        <v>40.5</v>
      </c>
      <c r="H14" s="4">
        <v>12</v>
      </c>
      <c r="I14" s="4">
        <v>59</v>
      </c>
      <c r="J14" s="4">
        <v>4</v>
      </c>
      <c r="K14" s="4">
        <v>46</v>
      </c>
      <c r="M14" s="4">
        <v>50</v>
      </c>
      <c r="Q14" s="4">
        <v>1</v>
      </c>
      <c r="T14" s="4">
        <v>46</v>
      </c>
      <c r="Y14" s="4">
        <v>3</v>
      </c>
      <c r="AB14" s="4">
        <f>11+31</f>
        <v>42</v>
      </c>
      <c r="AC14" s="4">
        <v>8</v>
      </c>
      <c r="AF14" s="4">
        <f>24+26</f>
        <v>50</v>
      </c>
      <c r="AG14" s="4">
        <v>24</v>
      </c>
      <c r="AH14" s="4" t="s">
        <v>105</v>
      </c>
      <c r="AM14" s="4">
        <v>11</v>
      </c>
      <c r="AN14" s="4">
        <v>11</v>
      </c>
      <c r="AO14" s="4"/>
      <c r="AP14" s="4">
        <v>14</v>
      </c>
      <c r="AQ14" s="4"/>
      <c r="AR14" s="4">
        <v>27</v>
      </c>
      <c r="AS14" s="4"/>
      <c r="AT14" s="4"/>
      <c r="AU14" s="4"/>
      <c r="AV14" s="4"/>
      <c r="AW14" s="4"/>
      <c r="AX14" s="4"/>
      <c r="AY14" s="4"/>
      <c r="AZ14" s="4"/>
      <c r="BA14" s="5">
        <f t="shared" ref="BA14:BC14" si="39">IF(ISNUMBER(BQ14),BQ14,IF(AND(ISNUMBER($BJ14),ISNUMBER($BK14)),BI14,""))</f>
        <v>1.0357142857142858</v>
      </c>
      <c r="BB14" s="5">
        <f t="shared" si="39"/>
        <v>0.58299551817996687</v>
      </c>
      <c r="BC14" s="5">
        <f t="shared" si="39"/>
        <v>1.7683655701488807</v>
      </c>
      <c r="BD14" s="5" t="str">
        <f t="shared" ref="BD14:BF14" si="40">IF(ISNUMBER(BT14),BT14,IF(AND(ISNUMBER($BO14),ISNUMBER($BP14)),BN14,""))</f>
        <v/>
      </c>
      <c r="BE14" s="5" t="str">
        <f t="shared" si="40"/>
        <v/>
      </c>
      <c r="BF14" s="5" t="str">
        <f t="shared" si="40"/>
        <v/>
      </c>
      <c r="BG14" s="4">
        <f>AG14</f>
        <v>24</v>
      </c>
      <c r="BH14" s="4">
        <f>CC14</f>
        <v>26</v>
      </c>
      <c r="BI14" s="5">
        <f>CK14/AP14</f>
        <v>1.0357142857142858</v>
      </c>
      <c r="BJ14" s="5">
        <f t="shared" si="35"/>
        <v>0.58299551817996687</v>
      </c>
      <c r="BK14" s="5">
        <f t="shared" si="36"/>
        <v>1.7683655701488807</v>
      </c>
      <c r="BL14" s="4"/>
      <c r="BM14" s="4"/>
      <c r="BN14" s="5"/>
      <c r="BO14" s="5" t="str">
        <f t="shared" si="37"/>
        <v/>
      </c>
      <c r="BP14" s="5" t="str">
        <f t="shared" si="38"/>
        <v/>
      </c>
      <c r="BQ14" s="4"/>
      <c r="BR14" s="4"/>
      <c r="BS14" s="4"/>
      <c r="BT14" s="4"/>
      <c r="BU14" s="4"/>
      <c r="BV14" s="4"/>
      <c r="CC14" s="4">
        <v>26</v>
      </c>
      <c r="CH14" s="4">
        <v>8</v>
      </c>
      <c r="CI14" s="4">
        <v>11</v>
      </c>
      <c r="CK14" s="4">
        <v>14.5</v>
      </c>
      <c r="CM14" s="4">
        <v>25</v>
      </c>
      <c r="CV14" s="4" t="s">
        <v>153</v>
      </c>
      <c r="CW14" s="4" t="s">
        <v>154</v>
      </c>
    </row>
    <row r="15" spans="1:103" ht="15.75" customHeight="1">
      <c r="A15" s="4" t="s">
        <v>155</v>
      </c>
      <c r="B15" s="4">
        <v>2000</v>
      </c>
      <c r="C15" s="4" t="s">
        <v>156</v>
      </c>
      <c r="D15" s="4" t="str">
        <f t="shared" si="0"/>
        <v>Ohyashiki JH 2000</v>
      </c>
      <c r="E15" s="4" t="str">
        <f t="shared" si="1"/>
        <v>Yes</v>
      </c>
      <c r="F15" s="4">
        <v>5</v>
      </c>
      <c r="G15" s="4">
        <f>MEDIAN(18,45,26,22,28)</f>
        <v>26</v>
      </c>
      <c r="H15" s="4">
        <f>MIN(18,45,26,22,28)</f>
        <v>18</v>
      </c>
      <c r="I15" s="4">
        <f>MAX(18,45,26,22,28)</f>
        <v>45</v>
      </c>
      <c r="L15" s="4">
        <f>F15</f>
        <v>5</v>
      </c>
      <c r="P15" s="4">
        <f>F15</f>
        <v>5</v>
      </c>
      <c r="AA15" s="4">
        <f>F15</f>
        <v>5</v>
      </c>
      <c r="AB15" s="4">
        <v>5</v>
      </c>
      <c r="AF15" s="4">
        <v>5</v>
      </c>
      <c r="AG15" s="4">
        <v>3</v>
      </c>
      <c r="AH15" s="4">
        <v>0</v>
      </c>
      <c r="AM15" s="4">
        <v>1</v>
      </c>
      <c r="AN15" s="4"/>
      <c r="AO15" s="4"/>
      <c r="AP15" s="4"/>
      <c r="AQ15" s="4"/>
      <c r="AR15" s="4"/>
      <c r="AS15" s="4"/>
      <c r="AT15" s="4"/>
      <c r="AU15" s="4"/>
      <c r="AV15" s="4"/>
      <c r="AW15" s="4"/>
      <c r="AX15" s="4"/>
      <c r="AY15" s="4"/>
      <c r="AZ15" s="4"/>
      <c r="BA15" s="5" t="str">
        <f t="shared" ref="BA15:BC15" si="41">IF(ISNUMBER(BQ15),BQ15,IF(AND(ISNUMBER($BJ15),ISNUMBER($BK15)),BI15,""))</f>
        <v/>
      </c>
      <c r="BB15" s="5" t="str">
        <f t="shared" si="41"/>
        <v/>
      </c>
      <c r="BC15" s="5" t="str">
        <f t="shared" si="41"/>
        <v/>
      </c>
      <c r="BD15" s="5" t="str">
        <f t="shared" ref="BD15:BF15" si="42">IF(ISNUMBER(BT15),BT15,IF(AND(ISNUMBER($BO15),ISNUMBER($BP15)),BN15,""))</f>
        <v/>
      </c>
      <c r="BE15" s="5" t="str">
        <f t="shared" si="42"/>
        <v/>
      </c>
      <c r="BF15" s="5" t="str">
        <f t="shared" si="42"/>
        <v/>
      </c>
      <c r="BG15" s="4"/>
      <c r="BH15" s="4"/>
      <c r="BI15" s="5"/>
      <c r="BJ15" s="5" t="str">
        <f t="shared" si="35"/>
        <v/>
      </c>
      <c r="BK15" s="5" t="str">
        <f t="shared" si="36"/>
        <v/>
      </c>
      <c r="BL15" s="4"/>
      <c r="BM15" s="4"/>
      <c r="BN15" s="5"/>
      <c r="BO15" s="5" t="str">
        <f t="shared" si="37"/>
        <v/>
      </c>
      <c r="BP15" s="5" t="str">
        <f t="shared" si="38"/>
        <v/>
      </c>
      <c r="BQ15" s="4"/>
      <c r="BR15" s="4"/>
      <c r="BS15" s="4"/>
      <c r="BT15" s="4"/>
      <c r="BU15" s="4"/>
      <c r="BV15" s="4"/>
      <c r="CC15" s="4">
        <v>2</v>
      </c>
      <c r="CH15" s="4">
        <v>0</v>
      </c>
      <c r="CV15" s="4" t="s">
        <v>157</v>
      </c>
    </row>
    <row r="16" spans="1:103" ht="15.75" customHeight="1">
      <c r="A16" s="4" t="s">
        <v>158</v>
      </c>
      <c r="B16" s="4">
        <v>2024</v>
      </c>
      <c r="C16" s="4" t="s">
        <v>159</v>
      </c>
      <c r="D16" s="4" t="str">
        <f t="shared" si="0"/>
        <v>Paviglianiti A 2024</v>
      </c>
      <c r="E16" s="4" t="str">
        <f t="shared" si="1"/>
        <v>Yes</v>
      </c>
      <c r="F16" s="4">
        <f>31+25+19+25</f>
        <v>100</v>
      </c>
      <c r="G16" s="4" t="s">
        <v>110</v>
      </c>
      <c r="H16" s="4" t="s">
        <v>110</v>
      </c>
      <c r="I16" s="4" t="s">
        <v>110</v>
      </c>
      <c r="J16" s="4">
        <f>16+14</f>
        <v>30</v>
      </c>
      <c r="K16" s="4">
        <f>17+10</f>
        <v>27</v>
      </c>
      <c r="L16" s="4">
        <f>23+20</f>
        <v>43</v>
      </c>
      <c r="M16" s="4">
        <f>F16</f>
        <v>100</v>
      </c>
      <c r="V16" s="4">
        <f>F16</f>
        <v>100</v>
      </c>
      <c r="AB16" s="4">
        <f>16+8</f>
        <v>24</v>
      </c>
      <c r="AC16" s="4">
        <f>40+36</f>
        <v>76</v>
      </c>
      <c r="AF16" s="4">
        <f>31+25+19+25</f>
        <v>100</v>
      </c>
      <c r="AG16" s="4">
        <f>31+25</f>
        <v>56</v>
      </c>
      <c r="AH16" s="4"/>
      <c r="AL16" s="4">
        <f>ROUND(AG16*(1-0.91),0)</f>
        <v>5</v>
      </c>
      <c r="AM16" s="4">
        <f>ROUND(AG16*(1-0.73),0)</f>
        <v>15</v>
      </c>
      <c r="AN16" s="4"/>
      <c r="AP16" s="4"/>
      <c r="AR16" s="4"/>
      <c r="BA16" s="5">
        <f t="shared" ref="BA16:BC16" si="43">IF(ISNUMBER(BQ16),BQ16,IF(AND(ISNUMBER($BJ16),ISNUMBER($BK16)),BI16,""))</f>
        <v>1.08</v>
      </c>
      <c r="BB16" s="5">
        <f t="shared" si="43"/>
        <v>0.6</v>
      </c>
      <c r="BC16" s="5">
        <f t="shared" si="43"/>
        <v>1.94</v>
      </c>
      <c r="BD16" s="5">
        <f t="shared" ref="BD16:BF16" si="44">IF(ISNUMBER(BT16),BT16,IF(AND(ISNUMBER($BO16),ISNUMBER($BP16)),BN16,""))</f>
        <v>1.81</v>
      </c>
      <c r="BE16" s="5">
        <f t="shared" si="44"/>
        <v>1.07</v>
      </c>
      <c r="BF16" s="5">
        <f t="shared" si="44"/>
        <v>3.05</v>
      </c>
      <c r="BG16" s="4"/>
      <c r="BH16" s="4"/>
      <c r="BI16" s="5"/>
      <c r="BJ16" s="5"/>
      <c r="BK16" s="5"/>
      <c r="BL16" s="4"/>
      <c r="BM16" s="4"/>
      <c r="BN16" s="5"/>
      <c r="BO16" s="5"/>
      <c r="BP16" s="5"/>
      <c r="BQ16" s="4">
        <v>1.08</v>
      </c>
      <c r="BR16" s="4">
        <v>0.6</v>
      </c>
      <c r="BS16" s="4">
        <v>1.94</v>
      </c>
      <c r="BT16" s="4">
        <v>1.81</v>
      </c>
      <c r="BU16" s="4">
        <v>1.07</v>
      </c>
      <c r="BV16" s="4">
        <v>3.05</v>
      </c>
      <c r="CC16" s="4">
        <f>19+25</f>
        <v>44</v>
      </c>
      <c r="CG16" s="4">
        <f>ROUND(CC16*(1-0.96),0)</f>
        <v>2</v>
      </c>
      <c r="CH16" s="4">
        <f>ROUND(CC16*(1-0.82),0)</f>
        <v>8</v>
      </c>
      <c r="CI16" s="4"/>
      <c r="CK16" s="4"/>
      <c r="CM16" s="4"/>
      <c r="CV16" s="4" t="s">
        <v>160</v>
      </c>
      <c r="CW16" s="4" t="s">
        <v>161</v>
      </c>
      <c r="CX16" s="4" t="s">
        <v>162</v>
      </c>
    </row>
    <row r="17" spans="1:103" ht="15.75" customHeight="1">
      <c r="A17" s="4" t="s">
        <v>163</v>
      </c>
      <c r="B17" s="4">
        <v>2023</v>
      </c>
      <c r="C17" s="4" t="s">
        <v>164</v>
      </c>
      <c r="D17" s="4" t="str">
        <f t="shared" si="0"/>
        <v>Raouf MME 2023</v>
      </c>
      <c r="E17" s="4" t="str">
        <f t="shared" si="1"/>
        <v>Yes</v>
      </c>
      <c r="F17" s="4">
        <f>25+15</f>
        <v>40</v>
      </c>
      <c r="G17" s="4" t="s">
        <v>165</v>
      </c>
      <c r="H17" s="4">
        <v>19</v>
      </c>
      <c r="I17" s="4">
        <v>72</v>
      </c>
      <c r="J17" s="4">
        <f>1+11+17</f>
        <v>29</v>
      </c>
      <c r="K17" s="4">
        <f>11</f>
        <v>11</v>
      </c>
      <c r="M17" s="4">
        <f>12+28</f>
        <v>40</v>
      </c>
      <c r="T17" s="4">
        <f>12</f>
        <v>12</v>
      </c>
      <c r="AC17" s="4">
        <f>12+28</f>
        <v>40</v>
      </c>
      <c r="AF17" s="4">
        <f>25+15</f>
        <v>40</v>
      </c>
      <c r="AG17" s="4">
        <v>15</v>
      </c>
      <c r="AH17" s="4" t="s">
        <v>105</v>
      </c>
      <c r="AI17" s="4">
        <v>6</v>
      </c>
      <c r="AL17" s="4">
        <v>6</v>
      </c>
      <c r="AN17" s="4">
        <v>9</v>
      </c>
      <c r="AO17" s="4">
        <v>10</v>
      </c>
      <c r="AP17" s="4">
        <v>12</v>
      </c>
      <c r="AQ17" s="4">
        <v>15.5</v>
      </c>
      <c r="AR17" s="4">
        <v>28</v>
      </c>
      <c r="AS17" s="4">
        <v>8</v>
      </c>
      <c r="AT17" s="4">
        <v>10</v>
      </c>
      <c r="AU17" s="4">
        <v>11</v>
      </c>
      <c r="AV17" s="4">
        <v>12</v>
      </c>
      <c r="AW17" s="4">
        <v>13</v>
      </c>
      <c r="AX17" s="4"/>
      <c r="AY17" s="4"/>
      <c r="AZ17" s="4"/>
      <c r="BA17" s="5" t="str">
        <f t="shared" ref="BA17:BC17" si="45">IF(ISNUMBER(BQ17),BQ17,IF(AND(ISNUMBER($BJ17),ISNUMBER($BK17)),BI17,""))</f>
        <v/>
      </c>
      <c r="BB17" s="5" t="str">
        <f t="shared" si="45"/>
        <v/>
      </c>
      <c r="BC17" s="5" t="str">
        <f t="shared" si="45"/>
        <v/>
      </c>
      <c r="BD17" s="5" t="str">
        <f t="shared" ref="BD17:BF17" si="46">IF(ISNUMBER(BT17),BT17,IF(AND(ISNUMBER($BO17),ISNUMBER($BP17)),BN17,""))</f>
        <v/>
      </c>
      <c r="BE17" s="5" t="str">
        <f t="shared" si="46"/>
        <v/>
      </c>
      <c r="BF17" s="5" t="str">
        <f t="shared" si="46"/>
        <v/>
      </c>
      <c r="BG17" s="4" t="s">
        <v>110</v>
      </c>
      <c r="BH17" s="4" t="s">
        <v>110</v>
      </c>
      <c r="BI17" s="5">
        <f>CK17/AP17</f>
        <v>1</v>
      </c>
      <c r="BJ17" s="5" t="str">
        <f t="shared" ref="BJ17:BJ80" si="47">IF(AND(ISNUMBER(BG17),ISNUMBER(BH17),ISNUMBER(BI17)),EXP(LOG(BI17)-1.96*SQRT((1/BG17)+(1/BH17))),"")</f>
        <v/>
      </c>
      <c r="BK17" s="5" t="str">
        <f t="shared" ref="BK17:BK80" si="48">IF(AND(ISNUMBER(BG17),ISNUMBER(BH17),ISNUMBER(BI17)),EXP(LOG(BI17)+1.96*SQRT((1/BG17)+(1/BH17))),"")</f>
        <v/>
      </c>
      <c r="BL17" s="4" t="s">
        <v>110</v>
      </c>
      <c r="BM17" s="4" t="s">
        <v>110</v>
      </c>
      <c r="BN17" s="5">
        <f>CP17/AU17</f>
        <v>1.0909090909090908</v>
      </c>
      <c r="BO17" s="5" t="str">
        <f t="shared" ref="BO17:BO80" si="49">IF(AND(ISNUMBER(BL17),ISNUMBER(BM17),ISNUMBER(BN17)),EXP(LOG(BN17)-1.96*SQRT((1/BL17)+(1/BM17))),"")</f>
        <v/>
      </c>
      <c r="BP17" s="5" t="str">
        <f t="shared" ref="BP17:BP80" si="50">IF(AND(ISNUMBER(BL17),ISNUMBER(BM17),ISNUMBER(BN17)),EXP(LOG(BN17)+1.96*SQRT((1/BL17)+(1/BM17))),"")</f>
        <v/>
      </c>
      <c r="BQ17" s="4" t="s">
        <v>166</v>
      </c>
      <c r="BR17" s="4" t="s">
        <v>166</v>
      </c>
      <c r="BS17" s="4" t="s">
        <v>166</v>
      </c>
      <c r="BT17" s="4"/>
      <c r="BU17" s="4"/>
      <c r="BV17" s="4"/>
      <c r="CC17" s="4">
        <v>25</v>
      </c>
      <c r="CD17" s="4">
        <v>4</v>
      </c>
      <c r="CG17" s="4">
        <v>4</v>
      </c>
      <c r="CI17" s="4">
        <v>7</v>
      </c>
      <c r="CJ17" s="4">
        <v>11</v>
      </c>
      <c r="CK17" s="4">
        <v>12</v>
      </c>
      <c r="CL17" s="4">
        <v>13</v>
      </c>
      <c r="CM17" s="4">
        <v>24</v>
      </c>
      <c r="CN17" s="4">
        <v>5</v>
      </c>
      <c r="CO17" s="4">
        <v>11</v>
      </c>
      <c r="CP17" s="4">
        <v>12</v>
      </c>
      <c r="CQ17" s="4">
        <v>14</v>
      </c>
      <c r="CR17" s="4">
        <v>22</v>
      </c>
      <c r="CS17" s="4"/>
      <c r="CT17" s="4"/>
      <c r="CU17" s="4"/>
      <c r="CV17" s="4" t="s">
        <v>157</v>
      </c>
      <c r="CW17" s="4"/>
      <c r="CX17" s="4" t="s">
        <v>167</v>
      </c>
    </row>
    <row r="18" spans="1:103" ht="15.75" customHeight="1">
      <c r="A18" s="4" t="s">
        <v>168</v>
      </c>
      <c r="B18" s="4">
        <v>2002</v>
      </c>
      <c r="C18" s="4" t="s">
        <v>169</v>
      </c>
      <c r="D18" s="4" t="str">
        <f t="shared" si="0"/>
        <v>Rapaport D 2002</v>
      </c>
      <c r="E18" s="4" t="str">
        <f t="shared" si="1"/>
        <v>Yes</v>
      </c>
      <c r="F18" s="4">
        <v>14</v>
      </c>
      <c r="G18" s="4">
        <f>MEDIAN(21,17,36,40,12,35,40,21,11,48,36,18,29,23)</f>
        <v>26</v>
      </c>
      <c r="H18" s="4">
        <f>MIN(21,17,36,40,12,35,40,21,11,48,36,18,29,23)</f>
        <v>11</v>
      </c>
      <c r="I18" s="4">
        <f>MAX(21,17,36,40,12,35,40,21,11,48,36,18,29,23)</f>
        <v>48</v>
      </c>
      <c r="L18" s="4">
        <f>F18</f>
        <v>14</v>
      </c>
      <c r="M18" s="4">
        <f>F18</f>
        <v>14</v>
      </c>
      <c r="T18" s="4">
        <v>5</v>
      </c>
      <c r="Z18" s="4">
        <v>8</v>
      </c>
      <c r="AG18" s="4">
        <v>3</v>
      </c>
      <c r="AH18" s="4">
        <v>0</v>
      </c>
      <c r="AI18" s="4">
        <v>1</v>
      </c>
      <c r="AL18" s="4">
        <v>1</v>
      </c>
      <c r="BA18" s="5" t="str">
        <f t="shared" ref="BA18:BC18" si="51">IF(ISNUMBER(BQ18),BQ18,IF(AND(ISNUMBER($BJ18),ISNUMBER($BK18)),BI18,""))</f>
        <v/>
      </c>
      <c r="BB18" s="5" t="str">
        <f t="shared" si="51"/>
        <v/>
      </c>
      <c r="BC18" s="5" t="str">
        <f t="shared" si="51"/>
        <v/>
      </c>
      <c r="BD18" s="5" t="str">
        <f t="shared" ref="BD18:BF18" si="52">IF(ISNUMBER(BT18),BT18,IF(AND(ISNUMBER($BO18),ISNUMBER($BP18)),BN18,""))</f>
        <v/>
      </c>
      <c r="BE18" s="5" t="str">
        <f t="shared" si="52"/>
        <v/>
      </c>
      <c r="BF18" s="5" t="str">
        <f t="shared" si="52"/>
        <v/>
      </c>
      <c r="BI18" s="5"/>
      <c r="BJ18" s="5" t="str">
        <f t="shared" si="47"/>
        <v/>
      </c>
      <c r="BK18" s="5" t="str">
        <f t="shared" si="48"/>
        <v/>
      </c>
      <c r="BN18" s="5"/>
      <c r="BO18" s="5" t="str">
        <f t="shared" si="49"/>
        <v/>
      </c>
      <c r="BP18" s="5" t="str">
        <f t="shared" si="50"/>
        <v/>
      </c>
      <c r="CC18" s="4">
        <f>14-3</f>
        <v>11</v>
      </c>
      <c r="CD18" s="4">
        <v>5</v>
      </c>
      <c r="CG18" s="4">
        <v>5</v>
      </c>
      <c r="CI18" s="4"/>
      <c r="CJ18" s="4"/>
      <c r="CK18" s="4"/>
      <c r="CL18" s="4"/>
      <c r="CM18" s="4"/>
      <c r="CN18" s="4"/>
      <c r="CO18" s="4"/>
      <c r="CP18" s="4"/>
      <c r="CQ18" s="4"/>
      <c r="CR18" s="4"/>
      <c r="CS18" s="4"/>
      <c r="CT18" s="4"/>
      <c r="CU18" s="4"/>
      <c r="CV18" s="4" t="s">
        <v>170</v>
      </c>
      <c r="CW18" s="4"/>
      <c r="CX18" s="4" t="s">
        <v>107</v>
      </c>
    </row>
    <row r="19" spans="1:103" ht="15.75" customHeight="1">
      <c r="A19" s="4" t="s">
        <v>171</v>
      </c>
      <c r="B19" s="4">
        <v>2005</v>
      </c>
      <c r="C19" s="4" t="s">
        <v>172</v>
      </c>
      <c r="D19" s="4" t="str">
        <f t="shared" si="0"/>
        <v>Savolainen H 2005</v>
      </c>
      <c r="E19" s="4" t="str">
        <f t="shared" si="1"/>
        <v>Yes</v>
      </c>
      <c r="F19" s="4">
        <v>60</v>
      </c>
      <c r="G19" s="4" t="s">
        <v>165</v>
      </c>
      <c r="H19" s="4">
        <v>2</v>
      </c>
      <c r="I19" s="4">
        <v>20</v>
      </c>
      <c r="J19" s="4">
        <f>16+3</f>
        <v>19</v>
      </c>
      <c r="K19" s="4">
        <f>5+34+2+3</f>
        <v>44</v>
      </c>
      <c r="P19" s="4">
        <f>F19</f>
        <v>60</v>
      </c>
      <c r="AA19" s="4">
        <f t="shared" ref="AA19:AA20" si="53">F19</f>
        <v>60</v>
      </c>
      <c r="AB19" s="4">
        <f>7+37</f>
        <v>44</v>
      </c>
      <c r="AC19" s="4">
        <f>14+2</f>
        <v>16</v>
      </c>
      <c r="AG19" s="4">
        <v>45</v>
      </c>
      <c r="AH19" s="4">
        <v>0</v>
      </c>
      <c r="AI19" s="4">
        <v>1</v>
      </c>
      <c r="AL19" s="4">
        <v>1</v>
      </c>
      <c r="AP19" s="4">
        <v>20</v>
      </c>
      <c r="AU19" s="4">
        <v>44</v>
      </c>
      <c r="BA19" s="5">
        <f t="shared" ref="BA19:BC19" si="54">IF(ISNUMBER(BQ19),BQ19,IF(AND(ISNUMBER($BJ19),ISNUMBER($BK19)),BI19,""))</f>
        <v>0.7</v>
      </c>
      <c r="BB19" s="5">
        <f t="shared" si="54"/>
        <v>0.47667573612432257</v>
      </c>
      <c r="BC19" s="5">
        <f t="shared" si="54"/>
        <v>1.5389723642940525</v>
      </c>
      <c r="BD19" s="5">
        <f t="shared" ref="BD19:BF19" si="55">IF(ISNUMBER(BT19),BT19,IF(AND(ISNUMBER($BO19),ISNUMBER($BP19)),BN19,""))</f>
        <v>0.5</v>
      </c>
      <c r="BE19" s="5">
        <f t="shared" si="55"/>
        <v>0.4118702718273774</v>
      </c>
      <c r="BF19" s="5">
        <f t="shared" si="55"/>
        <v>1.3297445579468214</v>
      </c>
      <c r="BG19" s="4">
        <f>AG19-1</f>
        <v>44</v>
      </c>
      <c r="BH19" s="4">
        <f>CC19</f>
        <v>15</v>
      </c>
      <c r="BI19" s="5">
        <f>CK19/AP19</f>
        <v>0.7</v>
      </c>
      <c r="BJ19" s="5">
        <f t="shared" si="47"/>
        <v>0.47667573612432257</v>
      </c>
      <c r="BK19" s="5">
        <f t="shared" si="48"/>
        <v>1.5389723642940525</v>
      </c>
      <c r="BL19" s="4">
        <f>AG19-1</f>
        <v>44</v>
      </c>
      <c r="BM19" s="4">
        <f>CC19</f>
        <v>15</v>
      </c>
      <c r="BN19" s="5">
        <f>CP19/AU19</f>
        <v>0.5</v>
      </c>
      <c r="BO19" s="5">
        <f t="shared" si="49"/>
        <v>0.4118702718273774</v>
      </c>
      <c r="BP19" s="5">
        <f t="shared" si="50"/>
        <v>1.3297445579468214</v>
      </c>
      <c r="CC19" s="4">
        <f>F19-AG19</f>
        <v>15</v>
      </c>
      <c r="CD19" s="4">
        <v>0</v>
      </c>
      <c r="CG19" s="4">
        <v>0</v>
      </c>
      <c r="CI19" s="4"/>
      <c r="CJ19" s="4"/>
      <c r="CK19" s="4">
        <v>14</v>
      </c>
      <c r="CL19" s="4"/>
      <c r="CM19" s="4"/>
      <c r="CN19" s="4"/>
      <c r="CO19" s="4"/>
      <c r="CP19" s="4">
        <v>22</v>
      </c>
      <c r="CQ19" s="4"/>
      <c r="CR19" s="4"/>
      <c r="CS19" s="4"/>
      <c r="CT19" s="4"/>
      <c r="CU19" s="4"/>
      <c r="CV19" s="4"/>
      <c r="CW19" s="4"/>
      <c r="CX19" s="4" t="s">
        <v>107</v>
      </c>
    </row>
    <row r="20" spans="1:103" ht="15.75" customHeight="1">
      <c r="A20" s="4" t="s">
        <v>173</v>
      </c>
      <c r="B20" s="4">
        <v>2015</v>
      </c>
      <c r="C20" s="4" t="s">
        <v>174</v>
      </c>
      <c r="D20" s="4" t="str">
        <f t="shared" si="0"/>
        <v>Violago L 2015</v>
      </c>
      <c r="E20" s="4" t="str">
        <f t="shared" si="1"/>
        <v>Yes</v>
      </c>
      <c r="F20" s="4">
        <v>100</v>
      </c>
      <c r="G20" s="4">
        <v>9</v>
      </c>
      <c r="H20" s="4">
        <v>0.25</v>
      </c>
      <c r="I20" s="4">
        <v>22</v>
      </c>
      <c r="J20" s="4">
        <f>35+22</f>
        <v>57</v>
      </c>
      <c r="K20" s="4">
        <v>43</v>
      </c>
      <c r="M20" s="4">
        <f>F20</f>
        <v>100</v>
      </c>
      <c r="AA20" s="4">
        <f t="shared" si="53"/>
        <v>100</v>
      </c>
      <c r="AB20" s="4">
        <v>49</v>
      </c>
      <c r="AC20" s="4">
        <v>30</v>
      </c>
      <c r="AD20" s="4">
        <v>21</v>
      </c>
      <c r="AF20" s="4">
        <v>100</v>
      </c>
      <c r="AG20" s="4">
        <v>19</v>
      </c>
      <c r="AH20" s="4" t="s">
        <v>105</v>
      </c>
      <c r="AL20" s="4">
        <f>ROUND(AG20*(1-0.85),0)</f>
        <v>3</v>
      </c>
      <c r="AM20" s="4">
        <f>ROUND(AG20*(1-0.58),0)</f>
        <v>8</v>
      </c>
      <c r="AN20" s="4"/>
      <c r="AO20" s="4"/>
      <c r="AP20" s="4"/>
      <c r="AQ20" s="4"/>
      <c r="AR20" s="4"/>
      <c r="AS20" s="4"/>
      <c r="AT20" s="4"/>
      <c r="AU20" s="4"/>
      <c r="AV20" s="4"/>
      <c r="AW20" s="4"/>
      <c r="AX20" s="4"/>
      <c r="AY20" s="4"/>
      <c r="AZ20" s="4"/>
      <c r="BA20" s="5" t="str">
        <f t="shared" ref="BA20:BC20" si="56">IF(ISNUMBER(BQ20),BQ20,IF(AND(ISNUMBER($BJ20),ISNUMBER($BK20)),BI20,""))</f>
        <v/>
      </c>
      <c r="BB20" s="5" t="str">
        <f t="shared" si="56"/>
        <v/>
      </c>
      <c r="BC20" s="5" t="str">
        <f t="shared" si="56"/>
        <v/>
      </c>
      <c r="BD20" s="5">
        <f t="shared" ref="BD20:BF20" si="57">IF(ISNUMBER(BT20),BT20,IF(AND(ISNUMBER($BO20),ISNUMBER($BP20)),BN20,""))</f>
        <v>0.91</v>
      </c>
      <c r="BE20" s="5">
        <f t="shared" si="57"/>
        <v>0.44700000000000001</v>
      </c>
      <c r="BF20" s="5">
        <f t="shared" si="57"/>
        <v>1.8520000000000001</v>
      </c>
      <c r="BI20" s="5"/>
      <c r="BJ20" s="5" t="str">
        <f t="shared" si="47"/>
        <v/>
      </c>
      <c r="BK20" s="5" t="str">
        <f t="shared" si="48"/>
        <v/>
      </c>
      <c r="BN20" s="5"/>
      <c r="BO20" s="5" t="str">
        <f t="shared" si="49"/>
        <v/>
      </c>
      <c r="BP20" s="5" t="str">
        <f t="shared" si="50"/>
        <v/>
      </c>
      <c r="BT20" s="4">
        <v>0.91</v>
      </c>
      <c r="BU20" s="4">
        <v>0.44700000000000001</v>
      </c>
      <c r="BV20" s="4">
        <v>1.8520000000000001</v>
      </c>
      <c r="CC20" s="4">
        <v>81</v>
      </c>
      <c r="CG20" s="4">
        <f>ROUND(CC20*(1-0.74),0)</f>
        <v>21</v>
      </c>
      <c r="CH20" s="4">
        <f>ROUND(CC20*(1-0.82),0)</f>
        <v>15</v>
      </c>
    </row>
    <row r="21" spans="1:103" ht="15.75" customHeight="1">
      <c r="A21" s="4" t="s">
        <v>175</v>
      </c>
      <c r="B21" s="4">
        <v>1996</v>
      </c>
      <c r="C21" s="4" t="s">
        <v>176</v>
      </c>
      <c r="D21" s="4" t="str">
        <f t="shared" si="0"/>
        <v>Wang FZ 1996</v>
      </c>
      <c r="E21" s="4" t="str">
        <f t="shared" si="1"/>
        <v>Yes</v>
      </c>
      <c r="AG21" s="4">
        <v>8</v>
      </c>
      <c r="AH21" s="4" t="s">
        <v>105</v>
      </c>
      <c r="AL21" s="4">
        <f>1+2+1+1</f>
        <v>5</v>
      </c>
      <c r="BA21" s="5" t="str">
        <f t="shared" ref="BA21:BC21" si="58">IF(ISNUMBER(BQ21),BQ21,IF(AND(ISNUMBER($BJ21),ISNUMBER($BK21)),BI21,""))</f>
        <v/>
      </c>
      <c r="BB21" s="5" t="str">
        <f t="shared" si="58"/>
        <v/>
      </c>
      <c r="BC21" s="5" t="str">
        <f t="shared" si="58"/>
        <v/>
      </c>
      <c r="BD21" s="5" t="str">
        <f t="shared" ref="BD21:BF21" si="59">IF(ISNUMBER(BT21),BT21,IF(AND(ISNUMBER($BO21),ISNUMBER($BP21)),BN21,""))</f>
        <v/>
      </c>
      <c r="BE21" s="5" t="str">
        <f t="shared" si="59"/>
        <v/>
      </c>
      <c r="BF21" s="5" t="str">
        <f t="shared" si="59"/>
        <v/>
      </c>
      <c r="BI21" s="5"/>
      <c r="BJ21" s="5" t="str">
        <f t="shared" si="47"/>
        <v/>
      </c>
      <c r="BK21" s="5" t="str">
        <f t="shared" si="48"/>
        <v/>
      </c>
      <c r="BN21" s="5"/>
      <c r="BO21" s="5" t="str">
        <f t="shared" si="49"/>
        <v/>
      </c>
      <c r="BP21" s="5" t="str">
        <f t="shared" si="50"/>
        <v/>
      </c>
      <c r="CC21" s="4">
        <f>37-8</f>
        <v>29</v>
      </c>
      <c r="CG21" s="4">
        <v>3</v>
      </c>
    </row>
    <row r="22" spans="1:103" ht="15.75" customHeight="1">
      <c r="A22" s="10" t="s">
        <v>177</v>
      </c>
      <c r="B22" s="10">
        <v>2006</v>
      </c>
      <c r="C22" s="10" t="s">
        <v>178</v>
      </c>
      <c r="D22" s="10" t="str">
        <f t="shared" si="0"/>
        <v>Wang LR 2006</v>
      </c>
      <c r="E22" s="10" t="str">
        <f t="shared" si="1"/>
        <v>Yes</v>
      </c>
      <c r="F22" s="10">
        <v>72</v>
      </c>
      <c r="G22" s="10">
        <v>28</v>
      </c>
      <c r="H22" s="10">
        <v>8</v>
      </c>
      <c r="I22" s="10">
        <v>58</v>
      </c>
      <c r="J22" s="10">
        <v>25</v>
      </c>
      <c r="K22" s="10">
        <v>47</v>
      </c>
      <c r="L22" s="11"/>
      <c r="M22" s="10">
        <f>F22</f>
        <v>72</v>
      </c>
      <c r="N22" s="11"/>
      <c r="O22" s="11"/>
      <c r="P22" s="11"/>
      <c r="Q22" s="11"/>
      <c r="R22" s="11"/>
      <c r="S22" s="10">
        <f>F22</f>
        <v>72</v>
      </c>
      <c r="T22" s="11"/>
      <c r="U22" s="11"/>
      <c r="V22" s="11"/>
      <c r="W22" s="11"/>
      <c r="X22" s="11"/>
      <c r="Y22" s="11"/>
      <c r="Z22" s="11"/>
      <c r="AA22" s="11"/>
      <c r="AB22" s="10">
        <f>F22</f>
        <v>72</v>
      </c>
      <c r="AC22" s="11"/>
      <c r="AD22" s="11"/>
      <c r="AE22" s="11"/>
      <c r="AF22" s="10">
        <v>72</v>
      </c>
      <c r="AG22" s="10">
        <v>27</v>
      </c>
      <c r="AH22" s="10" t="s">
        <v>105</v>
      </c>
      <c r="AI22" s="11"/>
      <c r="AJ22" s="11"/>
      <c r="AK22" s="11"/>
      <c r="AL22" s="10">
        <v>0</v>
      </c>
      <c r="AM22" s="10">
        <v>4</v>
      </c>
      <c r="AN22" s="11"/>
      <c r="AO22" s="11"/>
      <c r="AP22" s="11"/>
      <c r="AQ22" s="11"/>
      <c r="AR22" s="11"/>
      <c r="AS22" s="11"/>
      <c r="AT22" s="11"/>
      <c r="AU22" s="11"/>
      <c r="AV22" s="11"/>
      <c r="AW22" s="11"/>
      <c r="AX22" s="11"/>
      <c r="AY22" s="11"/>
      <c r="AZ22" s="11"/>
      <c r="BA22" s="12">
        <f t="shared" ref="BA22:BC22" si="60">IF(ISNUMBER(BQ22),BQ22,IF(AND(ISNUMBER($BJ22),ISNUMBER($BK22)),BI22,""))</f>
        <v>2.2799999999999998</v>
      </c>
      <c r="BB22" s="12">
        <f t="shared" si="60"/>
        <v>0.86</v>
      </c>
      <c r="BC22" s="12">
        <f t="shared" si="60"/>
        <v>6.06</v>
      </c>
      <c r="BD22" s="12">
        <f t="shared" ref="BD22:BF22" si="61">IF(ISNUMBER(BT22),BT22,IF(AND(ISNUMBER($BO22),ISNUMBER($BP22)),BN22,""))</f>
        <v>1.02</v>
      </c>
      <c r="BE22" s="12">
        <f t="shared" si="61"/>
        <v>0.47</v>
      </c>
      <c r="BF22" s="12">
        <f t="shared" si="61"/>
        <v>2.19</v>
      </c>
      <c r="BG22" s="10"/>
      <c r="BH22" s="10"/>
      <c r="BI22" s="12"/>
      <c r="BJ22" s="12" t="str">
        <f t="shared" si="47"/>
        <v/>
      </c>
      <c r="BK22" s="12" t="str">
        <f t="shared" si="48"/>
        <v/>
      </c>
      <c r="BL22" s="10"/>
      <c r="BM22" s="10"/>
      <c r="BN22" s="12"/>
      <c r="BO22" s="12" t="str">
        <f t="shared" si="49"/>
        <v/>
      </c>
      <c r="BP22" s="12" t="str">
        <f t="shared" si="50"/>
        <v/>
      </c>
      <c r="BQ22" s="10">
        <v>2.2799999999999998</v>
      </c>
      <c r="BR22" s="10">
        <v>0.86</v>
      </c>
      <c r="BS22" s="10">
        <v>6.06</v>
      </c>
      <c r="BT22" s="10">
        <v>1.02</v>
      </c>
      <c r="BU22" s="10">
        <v>0.47</v>
      </c>
      <c r="BV22" s="10">
        <v>2.19</v>
      </c>
      <c r="BW22" s="11"/>
      <c r="BX22" s="11"/>
      <c r="BY22" s="11"/>
      <c r="BZ22" s="11"/>
      <c r="CA22" s="11"/>
      <c r="CB22" s="11"/>
      <c r="CC22" s="10">
        <f>AF22-AG22</f>
        <v>45</v>
      </c>
      <c r="CD22" s="11"/>
      <c r="CE22" s="11"/>
      <c r="CF22" s="11"/>
      <c r="CG22" s="10">
        <v>1</v>
      </c>
      <c r="CH22" s="10">
        <f>45-31</f>
        <v>14</v>
      </c>
      <c r="CI22" s="11"/>
      <c r="CJ22" s="11"/>
      <c r="CK22" s="11"/>
      <c r="CL22" s="11"/>
      <c r="CM22" s="11"/>
      <c r="CN22" s="11"/>
      <c r="CO22" s="11"/>
      <c r="CP22" s="11"/>
      <c r="CQ22" s="11"/>
      <c r="CR22" s="11"/>
      <c r="CS22" s="11"/>
      <c r="CT22" s="11"/>
      <c r="CU22" s="11"/>
      <c r="CV22" s="10"/>
      <c r="CW22" s="10"/>
      <c r="CX22" s="10" t="s">
        <v>179</v>
      </c>
      <c r="CY22" s="11"/>
    </row>
    <row r="23" spans="1:103" ht="15.75" customHeight="1">
      <c r="A23" s="4" t="s">
        <v>180</v>
      </c>
      <c r="B23" s="4">
        <v>2019</v>
      </c>
      <c r="C23" s="4" t="s">
        <v>181</v>
      </c>
      <c r="D23" s="4" t="str">
        <f t="shared" si="0"/>
        <v>Balsat M 2019</v>
      </c>
      <c r="E23" s="4" t="str">
        <f t="shared" si="1"/>
        <v>No</v>
      </c>
      <c r="AG23" s="4">
        <v>22</v>
      </c>
      <c r="AH23" s="4" t="s">
        <v>105</v>
      </c>
      <c r="AN23" s="4"/>
      <c r="AO23" s="4">
        <v>8</v>
      </c>
      <c r="AP23" s="4">
        <v>10</v>
      </c>
      <c r="AQ23" s="4">
        <v>14</v>
      </c>
      <c r="AR23" s="4"/>
      <c r="AS23" s="4"/>
      <c r="AT23" s="4"/>
      <c r="AU23" s="4"/>
      <c r="AV23" s="4"/>
      <c r="AW23" s="4"/>
      <c r="AX23" s="4"/>
      <c r="AY23" s="4"/>
      <c r="AZ23" s="4"/>
      <c r="BA23" s="5">
        <f t="shared" ref="BA23:BC23" si="62">IF(ISNUMBER(BQ23),BQ23,IF(AND(ISNUMBER($BJ23),ISNUMBER($BK23)),BI23,""))</f>
        <v>0.8</v>
      </c>
      <c r="BB23" s="5">
        <f t="shared" si="62"/>
        <v>0.58250667922983834</v>
      </c>
      <c r="BC23" s="5">
        <f t="shared" si="62"/>
        <v>1.4142432764760151</v>
      </c>
      <c r="BD23" s="5" t="str">
        <f t="shared" ref="BD23:BF23" si="63">IF(ISNUMBER(BT23),BT23,IF(AND(ISNUMBER($BO23),ISNUMBER($BP23)),BN23,""))</f>
        <v/>
      </c>
      <c r="BE23" s="5" t="str">
        <f t="shared" si="63"/>
        <v/>
      </c>
      <c r="BF23" s="5" t="str">
        <f t="shared" si="63"/>
        <v/>
      </c>
      <c r="BG23" s="4">
        <f>AG23*1</f>
        <v>22</v>
      </c>
      <c r="BH23" s="4">
        <f>CC23*1</f>
        <v>174</v>
      </c>
      <c r="BI23" s="5">
        <f t="shared" ref="BI23:BI27" si="64">CK23/AP23</f>
        <v>0.8</v>
      </c>
      <c r="BJ23" s="5">
        <f t="shared" si="47"/>
        <v>0.58250667922983834</v>
      </c>
      <c r="BK23" s="5">
        <f t="shared" si="48"/>
        <v>1.4142432764760151</v>
      </c>
      <c r="BL23" s="4"/>
      <c r="BM23" s="4"/>
      <c r="BN23" s="5"/>
      <c r="BO23" s="5" t="str">
        <f t="shared" si="49"/>
        <v/>
      </c>
      <c r="BP23" s="5" t="str">
        <f t="shared" si="50"/>
        <v/>
      </c>
      <c r="BQ23" s="4"/>
      <c r="BR23" s="4"/>
      <c r="BS23" s="4"/>
      <c r="BT23" s="4"/>
      <c r="BU23" s="4"/>
      <c r="BV23" s="4"/>
      <c r="CC23" s="4">
        <v>174</v>
      </c>
      <c r="CI23" s="4"/>
      <c r="CJ23" s="4">
        <v>6</v>
      </c>
      <c r="CK23" s="4">
        <v>8</v>
      </c>
      <c r="CL23" s="4">
        <v>11</v>
      </c>
      <c r="CM23" s="4"/>
      <c r="CV23" s="4" t="s">
        <v>182</v>
      </c>
      <c r="CW23" s="4" t="s">
        <v>183</v>
      </c>
    </row>
    <row r="24" spans="1:103" ht="15.75" customHeight="1">
      <c r="A24" s="4" t="s">
        <v>184</v>
      </c>
      <c r="B24" s="4">
        <v>2017</v>
      </c>
      <c r="C24" s="4" t="s">
        <v>185</v>
      </c>
      <c r="D24" s="4" t="str">
        <f t="shared" si="0"/>
        <v>Inazawa N 2017</v>
      </c>
      <c r="E24" s="4" t="str">
        <f t="shared" si="1"/>
        <v>No</v>
      </c>
      <c r="AG24" s="4">
        <v>9</v>
      </c>
      <c r="AH24" s="4" t="s">
        <v>105</v>
      </c>
      <c r="AN24" s="4">
        <v>8</v>
      </c>
      <c r="AO24" s="4"/>
      <c r="AP24" s="4">
        <v>11</v>
      </c>
      <c r="AR24" s="4">
        <v>15</v>
      </c>
      <c r="AZ24" s="4"/>
      <c r="BA24" s="5">
        <f t="shared" ref="BA24:BC24" si="65">IF(ISNUMBER(BQ24),BQ24,IF(AND(ISNUMBER($BJ24),ISNUMBER($BK24)),BI24,""))</f>
        <v>1.0909090909090908</v>
      </c>
      <c r="BB24" s="5">
        <f t="shared" si="65"/>
        <v>0.44391398789257597</v>
      </c>
      <c r="BC24" s="5">
        <f t="shared" si="65"/>
        <v>2.4295391230245511</v>
      </c>
      <c r="BD24" s="5" t="str">
        <f t="shared" ref="BD24:BF24" si="66">IF(ISNUMBER(BT24),BT24,IF(AND(ISNUMBER($BO24),ISNUMBER($BP24)),BN24,""))</f>
        <v/>
      </c>
      <c r="BE24" s="5" t="str">
        <f t="shared" si="66"/>
        <v/>
      </c>
      <c r="BF24" s="5" t="str">
        <f t="shared" si="66"/>
        <v/>
      </c>
      <c r="BG24" s="4">
        <v>9</v>
      </c>
      <c r="BH24" s="4">
        <v>13</v>
      </c>
      <c r="BI24" s="5">
        <f t="shared" si="64"/>
        <v>1.0909090909090908</v>
      </c>
      <c r="BJ24" s="5">
        <f t="shared" si="47"/>
        <v>0.44391398789257597</v>
      </c>
      <c r="BK24" s="5">
        <f t="shared" si="48"/>
        <v>2.4295391230245511</v>
      </c>
      <c r="BL24" s="4"/>
      <c r="BM24" s="4"/>
      <c r="BN24" s="5"/>
      <c r="BO24" s="5" t="str">
        <f t="shared" si="49"/>
        <v/>
      </c>
      <c r="BP24" s="5" t="str">
        <f t="shared" si="50"/>
        <v/>
      </c>
      <c r="BQ24" s="4"/>
      <c r="BR24" s="4"/>
      <c r="BS24" s="4"/>
      <c r="BT24" s="4"/>
      <c r="BU24" s="4"/>
      <c r="BV24" s="4"/>
      <c r="CC24" s="4">
        <v>13</v>
      </c>
      <c r="CI24" s="4">
        <v>5</v>
      </c>
      <c r="CJ24" s="4"/>
      <c r="CK24" s="4">
        <v>12</v>
      </c>
      <c r="CM24" s="4">
        <v>20</v>
      </c>
      <c r="CV24" s="4" t="s">
        <v>157</v>
      </c>
    </row>
    <row r="25" spans="1:103" ht="15.75" customHeight="1">
      <c r="A25" s="4" t="s">
        <v>186</v>
      </c>
      <c r="B25" s="4">
        <v>2011</v>
      </c>
      <c r="C25" s="4" t="s">
        <v>187</v>
      </c>
      <c r="D25" s="4" t="str">
        <f t="shared" si="0"/>
        <v>Ishiyama K 2011</v>
      </c>
      <c r="E25" s="4" t="str">
        <f t="shared" si="1"/>
        <v>No</v>
      </c>
      <c r="AG25" s="4">
        <v>12</v>
      </c>
      <c r="AH25" s="4" t="s">
        <v>105</v>
      </c>
      <c r="AN25" s="4"/>
      <c r="AO25" s="4"/>
      <c r="AP25" s="4">
        <v>27</v>
      </c>
      <c r="AZ25" s="4"/>
      <c r="BA25" s="5">
        <f t="shared" ref="BA25:BC25" si="67">IF(ISNUMBER(BQ25),BQ25,IF(AND(ISNUMBER($BJ25),ISNUMBER($BK25)),BI25,""))</f>
        <v>0.92592592592592593</v>
      </c>
      <c r="BB25" s="5">
        <f t="shared" si="67"/>
        <v>0.27291406454221695</v>
      </c>
      <c r="BC25" s="5">
        <f t="shared" si="67"/>
        <v>3.4272246862202653</v>
      </c>
      <c r="BD25" s="5" t="str">
        <f t="shared" ref="BD25:BF25" si="68">IF(ISNUMBER(BT25),BT25,IF(AND(ISNUMBER($BO25),ISNUMBER($BP25)),BN25,""))</f>
        <v/>
      </c>
      <c r="BE25" s="5" t="str">
        <f t="shared" si="68"/>
        <v/>
      </c>
      <c r="BF25" s="5" t="str">
        <f t="shared" si="68"/>
        <v/>
      </c>
      <c r="BG25" s="4">
        <v>12</v>
      </c>
      <c r="BH25" s="4">
        <v>3</v>
      </c>
      <c r="BI25" s="5">
        <f t="shared" si="64"/>
        <v>0.92592592592592593</v>
      </c>
      <c r="BJ25" s="5">
        <f t="shared" si="47"/>
        <v>0.27291406454221695</v>
      </c>
      <c r="BK25" s="5">
        <f t="shared" si="48"/>
        <v>3.4272246862202653</v>
      </c>
      <c r="BL25" s="4"/>
      <c r="BM25" s="4"/>
      <c r="BN25" s="5"/>
      <c r="BO25" s="5" t="str">
        <f t="shared" si="49"/>
        <v/>
      </c>
      <c r="BP25" s="5" t="str">
        <f t="shared" si="50"/>
        <v/>
      </c>
      <c r="BQ25" s="4"/>
      <c r="BR25" s="4"/>
      <c r="BS25" s="4"/>
      <c r="BT25" s="4"/>
      <c r="BU25" s="4"/>
      <c r="BV25" s="4"/>
      <c r="CC25" s="4">
        <v>3</v>
      </c>
      <c r="CI25" s="4"/>
      <c r="CJ25" s="4"/>
      <c r="CK25" s="4">
        <v>25</v>
      </c>
      <c r="CV25" s="4" t="s">
        <v>188</v>
      </c>
    </row>
    <row r="26" spans="1:103" ht="15.75" customHeight="1">
      <c r="A26" s="4" t="s">
        <v>189</v>
      </c>
      <c r="B26" s="4">
        <v>2014</v>
      </c>
      <c r="C26" s="4" t="s">
        <v>190</v>
      </c>
      <c r="D26" s="4" t="str">
        <f t="shared" si="0"/>
        <v>Olson AL 2014</v>
      </c>
      <c r="E26" s="4" t="str">
        <f t="shared" si="1"/>
        <v>No</v>
      </c>
      <c r="AG26" s="4">
        <v>51</v>
      </c>
      <c r="AH26" s="4" t="s">
        <v>105</v>
      </c>
      <c r="AN26" s="4">
        <v>7</v>
      </c>
      <c r="AP26" s="4">
        <v>22</v>
      </c>
      <c r="AR26" s="4">
        <v>38</v>
      </c>
      <c r="AS26" s="4">
        <v>32</v>
      </c>
      <c r="AU26" s="4">
        <v>48</v>
      </c>
      <c r="AW26" s="4">
        <v>99</v>
      </c>
      <c r="BA26" s="5">
        <f t="shared" ref="BA26:BC26" si="69">IF(ISNUMBER(BQ26),BQ26,IF(AND(ISNUMBER($BJ26),ISNUMBER($BK26)),BI26,""))</f>
        <v>0.98</v>
      </c>
      <c r="BB26" s="5">
        <f t="shared" si="69"/>
        <v>0.68</v>
      </c>
      <c r="BC26" s="5">
        <f t="shared" si="69"/>
        <v>1.41</v>
      </c>
      <c r="BD26" s="5">
        <f t="shared" ref="BD26:BF26" si="70">IF(ISNUMBER(BT26),BT26,IF(AND(ISNUMBER($BO26),ISNUMBER($BP26)),BN26,""))</f>
        <v>1.01</v>
      </c>
      <c r="BE26" s="5">
        <f t="shared" si="70"/>
        <v>0.68</v>
      </c>
      <c r="BF26" s="5">
        <f t="shared" si="70"/>
        <v>1.5</v>
      </c>
      <c r="BG26" s="4" t="s">
        <v>110</v>
      </c>
      <c r="BH26" s="4" t="s">
        <v>110</v>
      </c>
      <c r="BI26" s="5">
        <f t="shared" si="64"/>
        <v>0.95454545454545459</v>
      </c>
      <c r="BJ26" s="5" t="str">
        <f t="shared" si="47"/>
        <v/>
      </c>
      <c r="BK26" s="5" t="str">
        <f t="shared" si="48"/>
        <v/>
      </c>
      <c r="BL26" s="4" t="s">
        <v>110</v>
      </c>
      <c r="BM26" s="4" t="s">
        <v>110</v>
      </c>
      <c r="BN26" s="5">
        <f>CP26/AU26</f>
        <v>0.95833333333333337</v>
      </c>
      <c r="BO26" s="5" t="str">
        <f t="shared" si="49"/>
        <v/>
      </c>
      <c r="BP26" s="5" t="str">
        <f t="shared" si="50"/>
        <v/>
      </c>
      <c r="BQ26" s="4">
        <v>0.98</v>
      </c>
      <c r="BR26" s="4">
        <v>0.68</v>
      </c>
      <c r="BS26" s="4">
        <v>1.41</v>
      </c>
      <c r="BT26" s="4">
        <v>1.01</v>
      </c>
      <c r="BU26" s="4">
        <v>0.68</v>
      </c>
      <c r="BV26" s="4">
        <v>1.5</v>
      </c>
      <c r="CC26" s="4">
        <v>74</v>
      </c>
      <c r="CI26" s="4">
        <v>7</v>
      </c>
      <c r="CK26" s="4">
        <v>21</v>
      </c>
      <c r="CM26" s="4">
        <v>43</v>
      </c>
      <c r="CN26" s="4">
        <v>21</v>
      </c>
      <c r="CP26" s="4">
        <v>46</v>
      </c>
      <c r="CR26" s="4">
        <v>90</v>
      </c>
      <c r="CV26" s="4" t="s">
        <v>157</v>
      </c>
    </row>
    <row r="27" spans="1:103" ht="15.75" customHeight="1">
      <c r="A27" s="4" t="s">
        <v>191</v>
      </c>
      <c r="B27" s="4">
        <v>2016</v>
      </c>
      <c r="C27" s="4" t="s">
        <v>192</v>
      </c>
      <c r="D27" s="4" t="str">
        <f t="shared" si="0"/>
        <v>Quintela A 2016</v>
      </c>
      <c r="E27" s="4" t="str">
        <f t="shared" si="1"/>
        <v>No</v>
      </c>
      <c r="AG27" s="4">
        <v>75</v>
      </c>
      <c r="AH27" s="4" t="s">
        <v>115</v>
      </c>
      <c r="AN27" s="4">
        <v>8</v>
      </c>
      <c r="AP27" s="4">
        <v>24</v>
      </c>
      <c r="AR27" s="4">
        <v>43</v>
      </c>
      <c r="BA27" s="5" t="str">
        <f t="shared" ref="BA27:BC27" si="71">IF(ISNUMBER(BQ27),BQ27,IF(AND(ISNUMBER($BJ27),ISNUMBER($BK27)),BI27,""))</f>
        <v/>
      </c>
      <c r="BB27" s="5" t="str">
        <f t="shared" si="71"/>
        <v/>
      </c>
      <c r="BC27" s="5" t="str">
        <f t="shared" si="71"/>
        <v/>
      </c>
      <c r="BD27" s="5" t="str">
        <f t="shared" ref="BD27:BF27" si="72">IF(ISNUMBER(BT27),BT27,IF(AND(ISNUMBER($BO27),ISNUMBER($BP27)),BN27,""))</f>
        <v/>
      </c>
      <c r="BE27" s="5" t="str">
        <f t="shared" si="72"/>
        <v/>
      </c>
      <c r="BF27" s="5" t="str">
        <f t="shared" si="72"/>
        <v/>
      </c>
      <c r="BG27" s="4" t="s">
        <v>110</v>
      </c>
      <c r="BH27" s="4" t="s">
        <v>110</v>
      </c>
      <c r="BI27" s="5">
        <f t="shared" si="64"/>
        <v>0.83333333333333337</v>
      </c>
      <c r="BJ27" s="5" t="str">
        <f t="shared" si="47"/>
        <v/>
      </c>
      <c r="BK27" s="5" t="str">
        <f t="shared" si="48"/>
        <v/>
      </c>
      <c r="BL27" s="4"/>
      <c r="BM27" s="4"/>
      <c r="BN27" s="5"/>
      <c r="BO27" s="5" t="str">
        <f t="shared" si="49"/>
        <v/>
      </c>
      <c r="BP27" s="5" t="str">
        <f t="shared" si="50"/>
        <v/>
      </c>
      <c r="BQ27" s="4"/>
      <c r="BR27" s="4"/>
      <c r="BS27" s="4"/>
      <c r="BT27" s="4"/>
      <c r="BU27" s="4"/>
      <c r="BV27" s="4"/>
      <c r="CC27" s="4">
        <v>291</v>
      </c>
      <c r="CI27" s="4">
        <v>2</v>
      </c>
      <c r="CK27" s="4">
        <v>20</v>
      </c>
      <c r="CM27" s="4">
        <v>48</v>
      </c>
      <c r="CV27" s="4" t="s">
        <v>157</v>
      </c>
    </row>
    <row r="28" spans="1:103" ht="15.75" customHeight="1">
      <c r="A28" s="4" t="s">
        <v>193</v>
      </c>
      <c r="B28" s="4">
        <v>2010</v>
      </c>
      <c r="C28" s="4" t="s">
        <v>194</v>
      </c>
      <c r="D28" s="4" t="str">
        <f t="shared" si="0"/>
        <v>Tormo N 2010</v>
      </c>
      <c r="E28" s="4" t="str">
        <f t="shared" si="1"/>
        <v>No</v>
      </c>
      <c r="AH28" s="4" t="s">
        <v>115</v>
      </c>
      <c r="BA28" s="5">
        <f t="shared" ref="BA28:BC28" si="73">IF(ISNUMBER(BQ28),BQ28,IF(AND(ISNUMBER($BJ28),ISNUMBER($BK28)),BI28,""))</f>
        <v>1</v>
      </c>
      <c r="BB28" s="5">
        <f t="shared" si="73"/>
        <v>0.8</v>
      </c>
      <c r="BC28" s="5">
        <f t="shared" si="73"/>
        <v>1.7</v>
      </c>
      <c r="BD28" s="5">
        <f t="shared" ref="BD28:BF28" si="74">IF(ISNUMBER(BT28),BT28,IF(AND(ISNUMBER($BO28),ISNUMBER($BP28)),BN28,""))</f>
        <v>0.9</v>
      </c>
      <c r="BE28" s="5">
        <f t="shared" si="74"/>
        <v>0.7</v>
      </c>
      <c r="BF28" s="5">
        <f t="shared" si="74"/>
        <v>2.1</v>
      </c>
      <c r="BG28" s="4"/>
      <c r="BH28" s="4"/>
      <c r="BI28" s="5"/>
      <c r="BJ28" s="5" t="str">
        <f t="shared" si="47"/>
        <v/>
      </c>
      <c r="BK28" s="5" t="str">
        <f t="shared" si="48"/>
        <v/>
      </c>
      <c r="BL28" s="4"/>
      <c r="BM28" s="4"/>
      <c r="BN28" s="5"/>
      <c r="BO28" s="5" t="str">
        <f t="shared" si="49"/>
        <v/>
      </c>
      <c r="BP28" s="5" t="str">
        <f t="shared" si="50"/>
        <v/>
      </c>
      <c r="BQ28" s="4">
        <v>1</v>
      </c>
      <c r="BR28" s="4">
        <v>0.8</v>
      </c>
      <c r="BS28" s="4">
        <v>1.7</v>
      </c>
      <c r="BT28" s="4">
        <v>0.9</v>
      </c>
      <c r="BU28" s="4">
        <v>0.7</v>
      </c>
      <c r="BV28" s="4">
        <v>2.1</v>
      </c>
    </row>
    <row r="29" spans="1:103" ht="15.75" customHeight="1">
      <c r="A29" s="4" t="s">
        <v>195</v>
      </c>
      <c r="B29" s="4">
        <v>2002</v>
      </c>
      <c r="C29" s="4" t="s">
        <v>196</v>
      </c>
      <c r="D29" s="4" t="str">
        <f t="shared" si="0"/>
        <v>Yoshikawa T 2002</v>
      </c>
      <c r="E29" s="4" t="str">
        <f t="shared" si="1"/>
        <v>No</v>
      </c>
      <c r="AG29" s="4">
        <v>31</v>
      </c>
      <c r="AH29" s="4" t="s">
        <v>105</v>
      </c>
      <c r="AN29" s="4">
        <v>10</v>
      </c>
      <c r="AP29" s="4">
        <v>17.3</v>
      </c>
      <c r="AR29" s="4">
        <v>38</v>
      </c>
      <c r="AS29" s="4">
        <v>16</v>
      </c>
      <c r="AU29" s="4">
        <v>31</v>
      </c>
      <c r="AW29" s="4">
        <v>60</v>
      </c>
      <c r="BA29" s="5" t="str">
        <f t="shared" ref="BA29:BC29" si="75">IF(ISNUMBER(BQ29),BQ29,IF(AND(ISNUMBER($BJ29),ISNUMBER($BK29)),BI29,""))</f>
        <v/>
      </c>
      <c r="BB29" s="5" t="str">
        <f t="shared" si="75"/>
        <v/>
      </c>
      <c r="BC29" s="5" t="str">
        <f t="shared" si="75"/>
        <v/>
      </c>
      <c r="BD29" s="5" t="str">
        <f t="shared" ref="BD29:BF29" si="76">IF(ISNUMBER(BT29),BT29,IF(AND(ISNUMBER($BO29),ISNUMBER($BP29)),BN29,""))</f>
        <v/>
      </c>
      <c r="BE29" s="5" t="str">
        <f t="shared" si="76"/>
        <v/>
      </c>
      <c r="BF29" s="5" t="str">
        <f t="shared" si="76"/>
        <v/>
      </c>
      <c r="BG29" s="4" t="s">
        <v>110</v>
      </c>
      <c r="BH29" s="4" t="s">
        <v>110</v>
      </c>
      <c r="BI29" s="5">
        <f>CK29/AP29</f>
        <v>1.0115606936416184</v>
      </c>
      <c r="BJ29" s="5" t="str">
        <f t="shared" si="47"/>
        <v/>
      </c>
      <c r="BK29" s="5" t="str">
        <f t="shared" si="48"/>
        <v/>
      </c>
      <c r="BL29" s="4" t="s">
        <v>110</v>
      </c>
      <c r="BM29" s="4" t="s">
        <v>110</v>
      </c>
      <c r="BN29" s="5">
        <f>CP29/AU29</f>
        <v>0.83870967741935487</v>
      </c>
      <c r="BO29" s="5" t="str">
        <f t="shared" si="49"/>
        <v/>
      </c>
      <c r="BP29" s="5" t="str">
        <f t="shared" si="50"/>
        <v/>
      </c>
      <c r="BR29" s="4"/>
      <c r="BS29" s="4"/>
      <c r="BU29" s="4"/>
      <c r="BV29" s="4"/>
      <c r="CC29" s="4">
        <v>51</v>
      </c>
      <c r="CI29" s="4">
        <v>12</v>
      </c>
      <c r="CK29" s="4">
        <v>17.5</v>
      </c>
      <c r="CM29" s="4">
        <v>60</v>
      </c>
      <c r="CN29" s="4">
        <v>8</v>
      </c>
      <c r="CP29" s="4">
        <v>26</v>
      </c>
      <c r="CR29" s="4">
        <v>60</v>
      </c>
    </row>
    <row r="30" spans="1:103" ht="15.75" customHeight="1">
      <c r="A30" s="4" t="s">
        <v>197</v>
      </c>
      <c r="B30" s="4">
        <v>2005</v>
      </c>
      <c r="C30" s="4" t="s">
        <v>198</v>
      </c>
      <c r="D30" s="4" t="str">
        <f t="shared" si="0"/>
        <v>Zerr DM 2005</v>
      </c>
      <c r="E30" s="4" t="str">
        <f t="shared" si="1"/>
        <v>No</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t="s">
        <v>105</v>
      </c>
      <c r="AI30" s="4"/>
      <c r="AJ30" s="4"/>
      <c r="AK30" s="4"/>
      <c r="AL30" s="4"/>
      <c r="AM30" s="4"/>
      <c r="AN30" s="4"/>
      <c r="AO30" s="4"/>
      <c r="AP30" s="4"/>
      <c r="AQ30" s="4"/>
      <c r="AR30" s="4"/>
      <c r="AS30" s="4"/>
      <c r="AT30" s="4"/>
      <c r="AU30" s="4"/>
      <c r="AV30" s="4"/>
      <c r="AW30" s="4"/>
      <c r="AX30" s="4"/>
      <c r="AY30" s="4"/>
      <c r="AZ30" s="4"/>
      <c r="BA30" s="5">
        <f t="shared" ref="BA30:BC30" si="77">IF(ISNUMBER(BQ30),BQ30,IF(AND(ISNUMBER($BJ30),ISNUMBER($BK30)),BI30,""))</f>
        <v>1</v>
      </c>
      <c r="BB30" s="5">
        <f t="shared" si="77"/>
        <v>0.46</v>
      </c>
      <c r="BC30" s="5">
        <f t="shared" si="77"/>
        <v>1.7</v>
      </c>
      <c r="BD30" s="5">
        <f t="shared" ref="BD30:BF30" si="78">IF(ISNUMBER(BT30),BT30,IF(AND(ISNUMBER($BO30),ISNUMBER($BP30)),BN30,""))</f>
        <v>0.43</v>
      </c>
      <c r="BE30" s="5">
        <f t="shared" si="78"/>
        <v>0.19</v>
      </c>
      <c r="BF30" s="5">
        <f t="shared" si="78"/>
        <v>0.97</v>
      </c>
      <c r="BG30" s="4"/>
      <c r="BH30" s="4"/>
      <c r="BI30" s="5"/>
      <c r="BJ30" s="5" t="str">
        <f t="shared" si="47"/>
        <v/>
      </c>
      <c r="BK30" s="5" t="str">
        <f t="shared" si="48"/>
        <v/>
      </c>
      <c r="BL30" s="4"/>
      <c r="BM30" s="4"/>
      <c r="BN30" s="5"/>
      <c r="BO30" s="5" t="str">
        <f t="shared" si="49"/>
        <v/>
      </c>
      <c r="BP30" s="5" t="str">
        <f t="shared" si="50"/>
        <v/>
      </c>
      <c r="BQ30" s="4">
        <v>1</v>
      </c>
      <c r="BR30" s="4">
        <v>0.46</v>
      </c>
      <c r="BS30" s="4">
        <v>1.7</v>
      </c>
      <c r="BT30" s="4">
        <v>0.43</v>
      </c>
      <c r="BU30" s="4">
        <v>0.19</v>
      </c>
      <c r="BV30" s="4">
        <v>0.97</v>
      </c>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t="s">
        <v>199</v>
      </c>
    </row>
    <row r="31" spans="1:103" ht="15.75" customHeight="1">
      <c r="A31" s="4" t="s">
        <v>200</v>
      </c>
      <c r="B31" s="4">
        <v>2010</v>
      </c>
      <c r="C31" s="4" t="s">
        <v>201</v>
      </c>
      <c r="D31" s="4" t="str">
        <f t="shared" si="0"/>
        <v>Chevallier P 2010</v>
      </c>
      <c r="E31" s="4" t="str">
        <f t="shared" ref="E31:E80" si="79">IF(OR(AND(ISNUMBER(AL31),ISNUMBER(CG31)),AND(ISNUMBER(AM31),ISNUMBER(CH31)),AND(ISNUMBER(AP31),ISNUMBER(AN31),ISNUMBER(AR31),ISNUMBER(CK31),ISNUMBER(CI31),ISNUMBER(CM31)),AND(ISNUMBER(AU31),ISNUMBER(AS31),ISNUMBER(AW31),ISNUMBER(CP31),ISNUMBER(CN31),ISNUMBER(CR31)),AND(ISNUMBER(BB31),ISNUMBER(BC31))),"Yes","No")</f>
        <v>No</v>
      </c>
      <c r="F31" s="1"/>
      <c r="G31" s="1"/>
      <c r="AG31" s="4">
        <f>12+17</f>
        <v>29</v>
      </c>
      <c r="AN31" s="4"/>
      <c r="AO31" s="4"/>
      <c r="AP31" s="4">
        <v>37.5</v>
      </c>
      <c r="AQ31" s="4"/>
      <c r="AR31" s="4"/>
      <c r="AS31" s="4"/>
      <c r="AT31" s="4"/>
      <c r="AU31" s="4">
        <v>98.5</v>
      </c>
      <c r="BA31" s="5" t="str">
        <f t="shared" ref="BA31:BC31" si="80">IF(ISNUMBER(BQ31),BQ31,IF(AND(ISNUMBER($BJ31),ISNUMBER($BK31)),BI31,""))</f>
        <v/>
      </c>
      <c r="BB31" s="5" t="str">
        <f t="shared" si="80"/>
        <v/>
      </c>
      <c r="BC31" s="5" t="str">
        <f t="shared" si="80"/>
        <v/>
      </c>
      <c r="BD31" s="5" t="str">
        <f t="shared" ref="BD31:BF31" si="81">IF(ISNUMBER(BT31),BT31,IF(AND(ISNUMBER($BO31),ISNUMBER($BP31)),BN31,""))</f>
        <v/>
      </c>
      <c r="BE31" s="5" t="str">
        <f t="shared" si="81"/>
        <v/>
      </c>
      <c r="BF31" s="5" t="str">
        <f t="shared" si="81"/>
        <v/>
      </c>
      <c r="BG31" s="4" t="s">
        <v>110</v>
      </c>
      <c r="BH31" s="4" t="s">
        <v>110</v>
      </c>
      <c r="BI31" s="5">
        <f t="shared" ref="BI31:BI32" si="82">CK31/AP31</f>
        <v>0.44</v>
      </c>
      <c r="BJ31" s="5" t="str">
        <f t="shared" si="47"/>
        <v/>
      </c>
      <c r="BK31" s="5" t="str">
        <f t="shared" si="48"/>
        <v/>
      </c>
      <c r="BL31" s="4" t="s">
        <v>110</v>
      </c>
      <c r="BM31" s="4" t="s">
        <v>110</v>
      </c>
      <c r="BN31" s="5">
        <f t="shared" ref="BN31:BN32" si="83">CP31/AU31</f>
        <v>0.12690355329949238</v>
      </c>
      <c r="BO31" s="5" t="str">
        <f t="shared" si="49"/>
        <v/>
      </c>
      <c r="BP31" s="5" t="str">
        <f t="shared" si="50"/>
        <v/>
      </c>
      <c r="CC31" s="4">
        <f>15+40</f>
        <v>55</v>
      </c>
      <c r="CI31" s="4"/>
      <c r="CJ31" s="4"/>
      <c r="CK31" s="4">
        <v>16.5</v>
      </c>
      <c r="CL31" s="4"/>
      <c r="CM31" s="4"/>
      <c r="CN31" s="4"/>
      <c r="CO31" s="4"/>
      <c r="CP31" s="4">
        <v>12.5</v>
      </c>
      <c r="CQ31" s="4"/>
      <c r="CR31" s="4"/>
    </row>
    <row r="32" spans="1:103" ht="15.75" customHeight="1">
      <c r="A32" s="4" t="s">
        <v>202</v>
      </c>
      <c r="B32" s="4">
        <v>2016</v>
      </c>
      <c r="C32" s="4" t="s">
        <v>203</v>
      </c>
      <c r="D32" s="4" t="str">
        <f t="shared" si="0"/>
        <v>Cirrone F 2016</v>
      </c>
      <c r="E32" s="4" t="str">
        <f t="shared" si="79"/>
        <v>No</v>
      </c>
      <c r="AG32" s="4">
        <v>60</v>
      </c>
      <c r="AN32" s="4"/>
      <c r="AO32" s="4"/>
      <c r="AP32" s="4">
        <v>14</v>
      </c>
      <c r="AQ32" s="4"/>
      <c r="AR32" s="4"/>
      <c r="AS32" s="4"/>
      <c r="AT32" s="4"/>
      <c r="AU32" s="4">
        <v>20</v>
      </c>
      <c r="BA32" s="5" t="str">
        <f t="shared" ref="BA32:BC32" si="84">IF(ISNUMBER(BQ32),BQ32,IF(AND(ISNUMBER($BJ32),ISNUMBER($BK32)),BI32,""))</f>
        <v/>
      </c>
      <c r="BB32" s="5" t="str">
        <f t="shared" si="84"/>
        <v/>
      </c>
      <c r="BC32" s="5" t="str">
        <f t="shared" si="84"/>
        <v/>
      </c>
      <c r="BD32" s="5" t="str">
        <f t="shared" ref="BD32:BF32" si="85">IF(ISNUMBER(BT32),BT32,IF(AND(ISNUMBER($BO32),ISNUMBER($BP32)),BN32,""))</f>
        <v/>
      </c>
      <c r="BE32" s="5" t="str">
        <f t="shared" si="85"/>
        <v/>
      </c>
      <c r="BF32" s="5" t="str">
        <f t="shared" si="85"/>
        <v/>
      </c>
      <c r="BG32" s="4" t="s">
        <v>110</v>
      </c>
      <c r="BH32" s="4" t="s">
        <v>110</v>
      </c>
      <c r="BI32" s="5">
        <f t="shared" si="82"/>
        <v>1</v>
      </c>
      <c r="BJ32" s="5" t="str">
        <f t="shared" si="47"/>
        <v/>
      </c>
      <c r="BK32" s="5" t="str">
        <f t="shared" si="48"/>
        <v/>
      </c>
      <c r="BL32" s="4" t="s">
        <v>110</v>
      </c>
      <c r="BM32" s="4" t="s">
        <v>110</v>
      </c>
      <c r="BN32" s="5">
        <f t="shared" si="83"/>
        <v>1.1499999999999999</v>
      </c>
      <c r="BO32" s="5" t="str">
        <f t="shared" si="49"/>
        <v/>
      </c>
      <c r="BP32" s="5" t="str">
        <f t="shared" si="50"/>
        <v/>
      </c>
      <c r="CC32" s="4">
        <f>92-60</f>
        <v>32</v>
      </c>
      <c r="CI32" s="4"/>
      <c r="CJ32" s="4"/>
      <c r="CK32" s="4">
        <v>14</v>
      </c>
      <c r="CL32" s="4"/>
      <c r="CM32" s="4"/>
      <c r="CN32" s="4"/>
      <c r="CO32" s="4"/>
      <c r="CP32" s="4">
        <v>23</v>
      </c>
      <c r="CQ32" s="4"/>
      <c r="CR32" s="4"/>
    </row>
    <row r="33" spans="1:102" ht="15.75" customHeight="1">
      <c r="A33" s="4" t="s">
        <v>204</v>
      </c>
      <c r="B33" s="4">
        <v>2018</v>
      </c>
      <c r="C33" s="4" t="s">
        <v>205</v>
      </c>
      <c r="D33" s="4" t="str">
        <f t="shared" si="0"/>
        <v>de Koning C 2018</v>
      </c>
      <c r="E33" s="4" t="str">
        <f t="shared" si="79"/>
        <v>No</v>
      </c>
      <c r="AG33" s="4">
        <v>79</v>
      </c>
      <c r="AV33" s="4"/>
      <c r="AW33" s="4"/>
      <c r="AX33" s="4"/>
      <c r="AY33" s="4">
        <v>84</v>
      </c>
      <c r="BA33" s="5" t="str">
        <f t="shared" ref="BA33:BC33" si="86">IF(ISNUMBER(BQ33),BQ33,IF(AND(ISNUMBER($BJ33),ISNUMBER($BK33)),BI33,""))</f>
        <v/>
      </c>
      <c r="BB33" s="5" t="str">
        <f t="shared" si="86"/>
        <v/>
      </c>
      <c r="BC33" s="5" t="str">
        <f t="shared" si="86"/>
        <v/>
      </c>
      <c r="BD33" s="5" t="str">
        <f t="shared" ref="BD33:BF33" si="87">IF(ISNUMBER(BT33),BT33,IF(AND(ISNUMBER($BO33),ISNUMBER($BP33)),BN33,""))</f>
        <v/>
      </c>
      <c r="BE33" s="5" t="str">
        <f t="shared" si="87"/>
        <v/>
      </c>
      <c r="BF33" s="5" t="str">
        <f t="shared" si="87"/>
        <v/>
      </c>
      <c r="BI33" s="5"/>
      <c r="BJ33" s="5" t="str">
        <f t="shared" si="47"/>
        <v/>
      </c>
      <c r="BK33" s="5" t="str">
        <f t="shared" si="48"/>
        <v/>
      </c>
      <c r="BN33" s="5"/>
      <c r="BO33" s="5" t="str">
        <f t="shared" si="49"/>
        <v/>
      </c>
      <c r="BP33" s="5" t="str">
        <f t="shared" si="50"/>
        <v/>
      </c>
      <c r="BW33" s="4">
        <v>0.91300000000000003</v>
      </c>
      <c r="BX33" s="4">
        <v>0.89200000000000002</v>
      </c>
      <c r="BY33" s="4">
        <v>0.93400000000000005</v>
      </c>
      <c r="BZ33" s="4">
        <v>0.91200000000000003</v>
      </c>
      <c r="CA33" s="4">
        <v>0.89100000000000001</v>
      </c>
      <c r="CB33" s="4">
        <v>0.93300000000000005</v>
      </c>
      <c r="CC33" s="4">
        <f>273-AG33</f>
        <v>194</v>
      </c>
      <c r="CS33" s="4"/>
      <c r="CT33" s="4">
        <v>78</v>
      </c>
      <c r="CU33" s="4"/>
    </row>
    <row r="34" spans="1:102" ht="15.75" customHeight="1">
      <c r="A34" s="4" t="s">
        <v>206</v>
      </c>
      <c r="B34" s="4">
        <v>2012</v>
      </c>
      <c r="C34" s="4" t="s">
        <v>207</v>
      </c>
      <c r="D34" s="4" t="str">
        <f t="shared" si="0"/>
        <v>de Pagter AP 2012</v>
      </c>
      <c r="E34" s="4" t="str">
        <f t="shared" si="79"/>
        <v>No</v>
      </c>
      <c r="BA34" s="5" t="str">
        <f t="shared" ref="BA34:BC34" si="88">IF(ISNUMBER(BQ34),BQ34,IF(AND(ISNUMBER($BJ34),ISNUMBER($BK34)),BI34,""))</f>
        <v/>
      </c>
      <c r="BB34" s="5" t="str">
        <f t="shared" si="88"/>
        <v/>
      </c>
      <c r="BC34" s="5" t="str">
        <f t="shared" si="88"/>
        <v/>
      </c>
      <c r="BD34" s="5" t="str">
        <f t="shared" ref="BD34:BF34" si="89">IF(ISNUMBER(BT34),BT34,IF(AND(ISNUMBER($BO34),ISNUMBER($BP34)),BN34,""))</f>
        <v/>
      </c>
      <c r="BE34" s="5" t="str">
        <f t="shared" si="89"/>
        <v/>
      </c>
      <c r="BF34" s="5" t="str">
        <f t="shared" si="89"/>
        <v/>
      </c>
      <c r="BI34" s="5"/>
      <c r="BJ34" s="5" t="str">
        <f t="shared" si="47"/>
        <v/>
      </c>
      <c r="BK34" s="5" t="str">
        <f t="shared" si="48"/>
        <v/>
      </c>
      <c r="BN34" s="5"/>
      <c r="BO34" s="5" t="str">
        <f t="shared" si="49"/>
        <v/>
      </c>
      <c r="BP34" s="5" t="str">
        <f t="shared" si="50"/>
        <v/>
      </c>
    </row>
    <row r="35" spans="1:102" ht="15.75" customHeight="1">
      <c r="A35" s="4" t="s">
        <v>208</v>
      </c>
      <c r="B35" s="4">
        <v>2012</v>
      </c>
      <c r="C35" s="4" t="s">
        <v>209</v>
      </c>
      <c r="D35" s="4" t="str">
        <f t="shared" si="0"/>
        <v>Dulery R 2012</v>
      </c>
      <c r="E35" s="4" t="str">
        <f t="shared" si="79"/>
        <v>No</v>
      </c>
      <c r="AG35" s="4">
        <v>112</v>
      </c>
      <c r="AQ35" s="4"/>
      <c r="AR35" s="4"/>
      <c r="AS35" s="4"/>
      <c r="AT35" s="4"/>
      <c r="AU35" s="4">
        <v>29</v>
      </c>
      <c r="AZ35" s="4"/>
      <c r="BA35" s="5" t="str">
        <f t="shared" ref="BA35:BC35" si="90">IF(ISNUMBER(BQ35),BQ35,IF(AND(ISNUMBER($BJ35),ISNUMBER($BK35)),BI35,""))</f>
        <v/>
      </c>
      <c r="BB35" s="5" t="str">
        <f t="shared" si="90"/>
        <v/>
      </c>
      <c r="BC35" s="5" t="str">
        <f t="shared" si="90"/>
        <v/>
      </c>
      <c r="BD35" s="5" t="str">
        <f t="shared" ref="BD35:BF35" si="91">IF(ISNUMBER(BT35),BT35,IF(AND(ISNUMBER($BO35),ISNUMBER($BP35)),BN35,""))</f>
        <v/>
      </c>
      <c r="BE35" s="5" t="str">
        <f t="shared" si="91"/>
        <v/>
      </c>
      <c r="BF35" s="5" t="str">
        <f t="shared" si="91"/>
        <v/>
      </c>
      <c r="BI35" s="5"/>
      <c r="BJ35" s="5" t="str">
        <f t="shared" si="47"/>
        <v/>
      </c>
      <c r="BK35" s="5" t="str">
        <f t="shared" si="48"/>
        <v/>
      </c>
      <c r="BL35" s="4" t="s">
        <v>110</v>
      </c>
      <c r="BM35" s="4" t="s">
        <v>110</v>
      </c>
      <c r="BN35" s="5">
        <f>CP35/AU35</f>
        <v>0.75862068965517238</v>
      </c>
      <c r="BO35" s="5" t="str">
        <f t="shared" si="49"/>
        <v/>
      </c>
      <c r="BP35" s="5" t="str">
        <f t="shared" si="50"/>
        <v/>
      </c>
      <c r="BT35" s="4" t="s">
        <v>166</v>
      </c>
      <c r="BU35" s="4" t="s">
        <v>210</v>
      </c>
      <c r="BV35" s="4" t="s">
        <v>210</v>
      </c>
      <c r="CC35" s="4">
        <v>123</v>
      </c>
      <c r="CL35" s="4"/>
      <c r="CM35" s="4"/>
      <c r="CN35" s="4"/>
      <c r="CO35" s="4"/>
      <c r="CP35" s="4">
        <v>22</v>
      </c>
      <c r="CQ35" s="4"/>
      <c r="CR35" s="4"/>
      <c r="CV35" s="4"/>
      <c r="CW35" s="4"/>
      <c r="CX35" s="4" t="s">
        <v>211</v>
      </c>
    </row>
    <row r="36" spans="1:102" ht="15.75" customHeight="1">
      <c r="A36" s="4" t="s">
        <v>212</v>
      </c>
      <c r="B36" s="4">
        <v>2014</v>
      </c>
      <c r="C36" s="4" t="s">
        <v>213</v>
      </c>
      <c r="D36" s="4" t="str">
        <f t="shared" si="0"/>
        <v>Fule Robles JD 2014</v>
      </c>
      <c r="E36" s="4" t="str">
        <f t="shared" si="79"/>
        <v>No</v>
      </c>
      <c r="BA36" s="5" t="str">
        <f t="shared" ref="BA36:BC36" si="92">IF(ISNUMBER(BQ36),BQ36,IF(AND(ISNUMBER($BJ36),ISNUMBER($BK36)),BI36,""))</f>
        <v/>
      </c>
      <c r="BB36" s="5" t="str">
        <f t="shared" si="92"/>
        <v/>
      </c>
      <c r="BC36" s="5" t="str">
        <f t="shared" si="92"/>
        <v/>
      </c>
      <c r="BD36" s="5" t="str">
        <f t="shared" ref="BD36:BF36" si="93">IF(ISNUMBER(BT36),BT36,IF(AND(ISNUMBER($BO36),ISNUMBER($BP36)),BN36,""))</f>
        <v/>
      </c>
      <c r="BE36" s="5" t="str">
        <f t="shared" si="93"/>
        <v/>
      </c>
      <c r="BF36" s="5" t="str">
        <f t="shared" si="93"/>
        <v/>
      </c>
      <c r="BI36" s="5"/>
      <c r="BJ36" s="5" t="str">
        <f t="shared" si="47"/>
        <v/>
      </c>
      <c r="BK36" s="5" t="str">
        <f t="shared" si="48"/>
        <v/>
      </c>
      <c r="BN36" s="5"/>
      <c r="BO36" s="5" t="str">
        <f t="shared" si="49"/>
        <v/>
      </c>
      <c r="BP36" s="5" t="str">
        <f t="shared" si="50"/>
        <v/>
      </c>
    </row>
    <row r="37" spans="1:102" ht="15.75" customHeight="1">
      <c r="A37" s="4" t="s">
        <v>214</v>
      </c>
      <c r="B37" s="4">
        <v>2021</v>
      </c>
      <c r="C37" s="4" t="s">
        <v>215</v>
      </c>
      <c r="D37" s="4" t="str">
        <f t="shared" si="0"/>
        <v>Gasior M 2021</v>
      </c>
      <c r="E37" s="4" t="str">
        <f t="shared" si="79"/>
        <v>No</v>
      </c>
      <c r="BA37" s="5" t="str">
        <f t="shared" ref="BA37:BC37" si="94">IF(ISNUMBER(BQ37),BQ37,IF(AND(ISNUMBER($BJ37),ISNUMBER($BK37)),BI37,""))</f>
        <v/>
      </c>
      <c r="BB37" s="5" t="str">
        <f t="shared" si="94"/>
        <v/>
      </c>
      <c r="BC37" s="5" t="str">
        <f t="shared" si="94"/>
        <v/>
      </c>
      <c r="BD37" s="5" t="str">
        <f t="shared" ref="BD37:BF37" si="95">IF(ISNUMBER(BT37),BT37,IF(AND(ISNUMBER($BO37),ISNUMBER($BP37)),BN37,""))</f>
        <v/>
      </c>
      <c r="BE37" s="5" t="str">
        <f t="shared" si="95"/>
        <v/>
      </c>
      <c r="BF37" s="5" t="str">
        <f t="shared" si="95"/>
        <v/>
      </c>
      <c r="BI37" s="5"/>
      <c r="BJ37" s="5" t="str">
        <f t="shared" si="47"/>
        <v/>
      </c>
      <c r="BK37" s="5" t="str">
        <f t="shared" si="48"/>
        <v/>
      </c>
      <c r="BN37" s="5"/>
      <c r="BO37" s="5" t="str">
        <f t="shared" si="49"/>
        <v/>
      </c>
      <c r="BP37" s="5" t="str">
        <f t="shared" si="50"/>
        <v/>
      </c>
    </row>
    <row r="38" spans="1:102" ht="15.75" customHeight="1">
      <c r="A38" s="4" t="s">
        <v>216</v>
      </c>
      <c r="B38" s="4">
        <v>2014</v>
      </c>
      <c r="C38" s="4" t="s">
        <v>217</v>
      </c>
      <c r="D38" s="4" t="str">
        <f t="shared" si="0"/>
        <v>Gotoh M 2014</v>
      </c>
      <c r="E38" s="4" t="str">
        <f t="shared" si="79"/>
        <v>No</v>
      </c>
      <c r="F38" s="4">
        <v>49</v>
      </c>
      <c r="M38" s="4">
        <v>31</v>
      </c>
      <c r="N38" s="4">
        <v>10</v>
      </c>
      <c r="O38" s="4">
        <v>8</v>
      </c>
      <c r="AF38" s="4">
        <v>49</v>
      </c>
      <c r="AG38" s="4">
        <v>26</v>
      </c>
      <c r="AL38" s="4" t="s">
        <v>218</v>
      </c>
      <c r="BA38" s="5" t="str">
        <f t="shared" ref="BA38:BC38" si="96">IF(ISNUMBER(BQ38),BQ38,IF(AND(ISNUMBER($BJ38),ISNUMBER($BK38)),BI38,""))</f>
        <v/>
      </c>
      <c r="BB38" s="5" t="str">
        <f t="shared" si="96"/>
        <v/>
      </c>
      <c r="BC38" s="5" t="str">
        <f t="shared" si="96"/>
        <v/>
      </c>
      <c r="BD38" s="5" t="str">
        <f t="shared" ref="BD38:BF38" si="97">IF(ISNUMBER(BT38),BT38,IF(AND(ISNUMBER($BO38),ISNUMBER($BP38)),BN38,""))</f>
        <v/>
      </c>
      <c r="BE38" s="5" t="str">
        <f t="shared" si="97"/>
        <v/>
      </c>
      <c r="BF38" s="5" t="str">
        <f t="shared" si="97"/>
        <v/>
      </c>
      <c r="BI38" s="5"/>
      <c r="BJ38" s="5" t="str">
        <f t="shared" si="47"/>
        <v/>
      </c>
      <c r="BK38" s="5" t="str">
        <f t="shared" si="48"/>
        <v/>
      </c>
      <c r="BN38" s="5"/>
      <c r="BO38" s="5" t="str">
        <f t="shared" si="49"/>
        <v/>
      </c>
      <c r="BP38" s="5" t="str">
        <f t="shared" si="50"/>
        <v/>
      </c>
      <c r="CC38" s="4">
        <f>AF38-AG38</f>
        <v>23</v>
      </c>
      <c r="CG38" s="4" t="s">
        <v>218</v>
      </c>
    </row>
    <row r="39" spans="1:102" ht="15.75" customHeight="1">
      <c r="A39" s="4" t="s">
        <v>219</v>
      </c>
      <c r="B39" s="4">
        <v>2016</v>
      </c>
      <c r="C39" s="4" t="s">
        <v>220</v>
      </c>
      <c r="D39" s="4" t="str">
        <f t="shared" si="0"/>
        <v>Greco R 2016</v>
      </c>
      <c r="E39" s="4" t="str">
        <f t="shared" si="79"/>
        <v>No</v>
      </c>
      <c r="BA39" s="5" t="str">
        <f t="shared" ref="BA39:BC39" si="98">IF(ISNUMBER(BQ39),BQ39,IF(AND(ISNUMBER($BJ39),ISNUMBER($BK39)),BI39,""))</f>
        <v/>
      </c>
      <c r="BB39" s="5" t="str">
        <f t="shared" si="98"/>
        <v/>
      </c>
      <c r="BC39" s="5" t="str">
        <f t="shared" si="98"/>
        <v/>
      </c>
      <c r="BD39" s="5" t="str">
        <f t="shared" ref="BD39:BF39" si="99">IF(ISNUMBER(BT39),BT39,IF(AND(ISNUMBER($BO39),ISNUMBER($BP39)),BN39,""))</f>
        <v/>
      </c>
      <c r="BE39" s="5" t="str">
        <f t="shared" si="99"/>
        <v/>
      </c>
      <c r="BF39" s="5" t="str">
        <f t="shared" si="99"/>
        <v/>
      </c>
      <c r="BI39" s="5"/>
      <c r="BJ39" s="5" t="str">
        <f t="shared" si="47"/>
        <v/>
      </c>
      <c r="BK39" s="5" t="str">
        <f t="shared" si="48"/>
        <v/>
      </c>
      <c r="BN39" s="5"/>
      <c r="BO39" s="5" t="str">
        <f t="shared" si="49"/>
        <v/>
      </c>
      <c r="BP39" s="5" t="str">
        <f t="shared" si="50"/>
        <v/>
      </c>
    </row>
    <row r="40" spans="1:102" ht="15.75" customHeight="1">
      <c r="A40" s="4" t="s">
        <v>221</v>
      </c>
      <c r="B40" s="4">
        <v>2024</v>
      </c>
      <c r="C40" s="4" t="s">
        <v>222</v>
      </c>
      <c r="D40" s="4" t="str">
        <f t="shared" si="0"/>
        <v>Hill JA 2024</v>
      </c>
      <c r="E40" s="4" t="str">
        <f t="shared" si="79"/>
        <v>No</v>
      </c>
      <c r="BA40" s="5" t="str">
        <f t="shared" ref="BA40:BC40" si="100">IF(ISNUMBER(BQ40),BQ40,IF(AND(ISNUMBER($BJ40),ISNUMBER($BK40)),BI40,""))</f>
        <v/>
      </c>
      <c r="BB40" s="5" t="str">
        <f t="shared" si="100"/>
        <v/>
      </c>
      <c r="BC40" s="5" t="str">
        <f t="shared" si="100"/>
        <v/>
      </c>
      <c r="BD40" s="5" t="str">
        <f t="shared" ref="BD40:BF40" si="101">IF(ISNUMBER(BT40),BT40,IF(AND(ISNUMBER($BO40),ISNUMBER($BP40)),BN40,""))</f>
        <v/>
      </c>
      <c r="BE40" s="5" t="str">
        <f t="shared" si="101"/>
        <v/>
      </c>
      <c r="BF40" s="5" t="str">
        <f t="shared" si="101"/>
        <v/>
      </c>
      <c r="BI40" s="5"/>
      <c r="BJ40" s="5" t="str">
        <f t="shared" si="47"/>
        <v/>
      </c>
      <c r="BK40" s="5" t="str">
        <f t="shared" si="48"/>
        <v/>
      </c>
      <c r="BN40" s="5"/>
      <c r="BO40" s="5" t="str">
        <f t="shared" si="49"/>
        <v/>
      </c>
      <c r="BP40" s="5" t="str">
        <f t="shared" si="50"/>
        <v/>
      </c>
    </row>
    <row r="41" spans="1:102" ht="15.75" customHeight="1">
      <c r="A41" s="4" t="s">
        <v>221</v>
      </c>
      <c r="B41" s="4">
        <v>2018</v>
      </c>
      <c r="C41" s="4" t="s">
        <v>223</v>
      </c>
      <c r="D41" s="4" t="str">
        <f t="shared" si="0"/>
        <v>Hill JA 2018</v>
      </c>
      <c r="E41" s="4" t="str">
        <f t="shared" si="79"/>
        <v>No</v>
      </c>
      <c r="BA41" s="5" t="str">
        <f t="shared" ref="BA41:BC41" si="102">IF(ISNUMBER(BQ41),BQ41,IF(AND(ISNUMBER($BJ41),ISNUMBER($BK41)),BI41,""))</f>
        <v/>
      </c>
      <c r="BB41" s="5" t="str">
        <f t="shared" si="102"/>
        <v/>
      </c>
      <c r="BC41" s="5" t="str">
        <f t="shared" si="102"/>
        <v/>
      </c>
      <c r="BD41" s="5" t="str">
        <f t="shared" ref="BD41:BF41" si="103">IF(ISNUMBER(BT41),BT41,IF(AND(ISNUMBER($BO41),ISNUMBER($BP41)),BN41,""))</f>
        <v/>
      </c>
      <c r="BE41" s="5" t="str">
        <f t="shared" si="103"/>
        <v/>
      </c>
      <c r="BF41" s="5" t="str">
        <f t="shared" si="103"/>
        <v/>
      </c>
      <c r="BI41" s="5"/>
      <c r="BJ41" s="5" t="str">
        <f t="shared" si="47"/>
        <v/>
      </c>
      <c r="BK41" s="5" t="str">
        <f t="shared" si="48"/>
        <v/>
      </c>
      <c r="BN41" s="5"/>
      <c r="BO41" s="5" t="str">
        <f t="shared" si="49"/>
        <v/>
      </c>
      <c r="BP41" s="5" t="str">
        <f t="shared" si="50"/>
        <v/>
      </c>
    </row>
    <row r="42" spans="1:102" ht="15.75" customHeight="1">
      <c r="A42" s="4" t="s">
        <v>224</v>
      </c>
      <c r="B42" s="4">
        <v>2018</v>
      </c>
      <c r="C42" s="4" t="s">
        <v>225</v>
      </c>
      <c r="D42" s="4" t="str">
        <f t="shared" si="0"/>
        <v>Iesato K 2018</v>
      </c>
      <c r="E42" s="4" t="str">
        <f t="shared" si="79"/>
        <v>No</v>
      </c>
      <c r="AG42" s="4">
        <v>63</v>
      </c>
      <c r="AN42" s="4"/>
      <c r="AO42" s="4"/>
      <c r="AP42" s="4">
        <v>18</v>
      </c>
      <c r="AQ42" s="4"/>
      <c r="AR42" s="4"/>
      <c r="AS42" s="4"/>
      <c r="AT42" s="4"/>
      <c r="AU42" s="4">
        <v>41</v>
      </c>
      <c r="BA42" s="5" t="str">
        <f t="shared" ref="BA42:BC42" si="104">IF(ISNUMBER(BQ42),BQ42,IF(AND(ISNUMBER($BJ42),ISNUMBER($BK42)),BI42,""))</f>
        <v/>
      </c>
      <c r="BB42" s="5" t="str">
        <f t="shared" si="104"/>
        <v/>
      </c>
      <c r="BC42" s="5" t="str">
        <f t="shared" si="104"/>
        <v/>
      </c>
      <c r="BD42" s="5" t="str">
        <f t="shared" ref="BD42:BF42" si="105">IF(ISNUMBER(BT42),BT42,IF(AND(ISNUMBER($BO42),ISNUMBER($BP42)),BN42,""))</f>
        <v/>
      </c>
      <c r="BE42" s="5" t="str">
        <f t="shared" si="105"/>
        <v/>
      </c>
      <c r="BF42" s="5" t="str">
        <f t="shared" si="105"/>
        <v/>
      </c>
      <c r="BG42" s="4" t="s">
        <v>110</v>
      </c>
      <c r="BH42" s="4" t="s">
        <v>110</v>
      </c>
      <c r="BI42" s="5">
        <f>CK42/AP42</f>
        <v>0.88888888888888884</v>
      </c>
      <c r="BJ42" s="5" t="str">
        <f t="shared" si="47"/>
        <v/>
      </c>
      <c r="BK42" s="5" t="str">
        <f t="shared" si="48"/>
        <v/>
      </c>
      <c r="BL42" s="4" t="s">
        <v>110</v>
      </c>
      <c r="BM42" s="4" t="s">
        <v>110</v>
      </c>
      <c r="BN42" s="5">
        <f>CP42/AU42</f>
        <v>0.87804878048780488</v>
      </c>
      <c r="BO42" s="5" t="str">
        <f t="shared" si="49"/>
        <v/>
      </c>
      <c r="BP42" s="5" t="str">
        <f t="shared" si="50"/>
        <v/>
      </c>
      <c r="CC42" s="4">
        <f>105-AG42</f>
        <v>42</v>
      </c>
      <c r="CI42" s="4"/>
      <c r="CJ42" s="4"/>
      <c r="CK42" s="4">
        <v>16</v>
      </c>
      <c r="CL42" s="4"/>
      <c r="CM42" s="4"/>
      <c r="CN42" s="4"/>
      <c r="CO42" s="4"/>
      <c r="CP42" s="4">
        <v>36</v>
      </c>
      <c r="CQ42" s="4"/>
      <c r="CR42" s="4"/>
      <c r="CV42" s="4"/>
      <c r="CW42" s="4"/>
      <c r="CX42" s="4" t="s">
        <v>138</v>
      </c>
    </row>
    <row r="43" spans="1:102" ht="15.75" customHeight="1">
      <c r="A43" s="4" t="s">
        <v>226</v>
      </c>
      <c r="B43" s="4">
        <v>2021</v>
      </c>
      <c r="C43" s="4" t="s">
        <v>227</v>
      </c>
      <c r="D43" s="4" t="str">
        <f t="shared" si="0"/>
        <v>Iino M 2021</v>
      </c>
      <c r="E43" s="4" t="str">
        <f t="shared" si="79"/>
        <v>No</v>
      </c>
      <c r="BA43" s="5" t="str">
        <f t="shared" ref="BA43:BC43" si="106">IF(ISNUMBER(BQ43),BQ43,IF(AND(ISNUMBER($BJ43),ISNUMBER($BK43)),BI43,""))</f>
        <v/>
      </c>
      <c r="BB43" s="5" t="str">
        <f t="shared" si="106"/>
        <v/>
      </c>
      <c r="BC43" s="5" t="str">
        <f t="shared" si="106"/>
        <v/>
      </c>
      <c r="BD43" s="5" t="str">
        <f t="shared" ref="BD43:BF43" si="107">IF(ISNUMBER(BT43),BT43,IF(AND(ISNUMBER($BO43),ISNUMBER($BP43)),BN43,""))</f>
        <v/>
      </c>
      <c r="BE43" s="5" t="str">
        <f t="shared" si="107"/>
        <v/>
      </c>
      <c r="BF43" s="5" t="str">
        <f t="shared" si="107"/>
        <v/>
      </c>
      <c r="BI43" s="5"/>
      <c r="BJ43" s="5" t="str">
        <f t="shared" si="47"/>
        <v/>
      </c>
      <c r="BK43" s="5" t="str">
        <f t="shared" si="48"/>
        <v/>
      </c>
      <c r="BN43" s="5"/>
      <c r="BO43" s="5" t="str">
        <f t="shared" si="49"/>
        <v/>
      </c>
      <c r="BP43" s="5" t="str">
        <f t="shared" si="50"/>
        <v/>
      </c>
    </row>
    <row r="44" spans="1:102" ht="15.75" customHeight="1">
      <c r="A44" s="4" t="s">
        <v>228</v>
      </c>
      <c r="B44" s="4">
        <v>2014</v>
      </c>
      <c r="C44" s="4" t="s">
        <v>229</v>
      </c>
      <c r="D44" s="4" t="str">
        <f t="shared" si="0"/>
        <v>Illiaquer M 2014</v>
      </c>
      <c r="E44" s="4" t="str">
        <f t="shared" si="79"/>
        <v>No</v>
      </c>
      <c r="BA44" s="5" t="str">
        <f t="shared" ref="BA44:BC44" si="108">IF(ISNUMBER(BQ44),BQ44,IF(AND(ISNUMBER($BJ44),ISNUMBER($BK44)),BI44,""))</f>
        <v/>
      </c>
      <c r="BB44" s="5" t="str">
        <f t="shared" si="108"/>
        <v/>
      </c>
      <c r="BC44" s="5" t="str">
        <f t="shared" si="108"/>
        <v/>
      </c>
      <c r="BD44" s="5" t="str">
        <f t="shared" ref="BD44:BF44" si="109">IF(ISNUMBER(BT44),BT44,IF(AND(ISNUMBER($BO44),ISNUMBER($BP44)),BN44,""))</f>
        <v/>
      </c>
      <c r="BE44" s="5" t="str">
        <f t="shared" si="109"/>
        <v/>
      </c>
      <c r="BF44" s="5" t="str">
        <f t="shared" si="109"/>
        <v/>
      </c>
      <c r="BI44" s="5"/>
      <c r="BJ44" s="5" t="str">
        <f t="shared" si="47"/>
        <v/>
      </c>
      <c r="BK44" s="5" t="str">
        <f t="shared" si="48"/>
        <v/>
      </c>
      <c r="BN44" s="5"/>
      <c r="BO44" s="5" t="str">
        <f t="shared" si="49"/>
        <v/>
      </c>
      <c r="BP44" s="5" t="str">
        <f t="shared" si="50"/>
        <v/>
      </c>
    </row>
    <row r="45" spans="1:102" ht="15.75" customHeight="1">
      <c r="A45" s="4" t="s">
        <v>228</v>
      </c>
      <c r="B45" s="4">
        <v>2017</v>
      </c>
      <c r="C45" s="4" t="s">
        <v>230</v>
      </c>
      <c r="D45" s="4" t="str">
        <f t="shared" si="0"/>
        <v>Illiaquer M 2017</v>
      </c>
      <c r="E45" s="4" t="str">
        <f t="shared" si="79"/>
        <v>No</v>
      </c>
      <c r="BA45" s="5" t="str">
        <f t="shared" ref="BA45:BC45" si="110">IF(ISNUMBER(BQ45),BQ45,IF(AND(ISNUMBER($BJ45),ISNUMBER($BK45)),BI45,""))</f>
        <v/>
      </c>
      <c r="BB45" s="5" t="str">
        <f t="shared" si="110"/>
        <v/>
      </c>
      <c r="BC45" s="5" t="str">
        <f t="shared" si="110"/>
        <v/>
      </c>
      <c r="BD45" s="5" t="str">
        <f t="shared" ref="BD45:BF45" si="111">IF(ISNUMBER(BT45),BT45,IF(AND(ISNUMBER($BO45),ISNUMBER($BP45)),BN45,""))</f>
        <v/>
      </c>
      <c r="BE45" s="5" t="str">
        <f t="shared" si="111"/>
        <v/>
      </c>
      <c r="BF45" s="5" t="str">
        <f t="shared" si="111"/>
        <v/>
      </c>
      <c r="BI45" s="5"/>
      <c r="BJ45" s="5" t="str">
        <f t="shared" si="47"/>
        <v/>
      </c>
      <c r="BK45" s="5" t="str">
        <f t="shared" si="48"/>
        <v/>
      </c>
      <c r="BN45" s="5"/>
      <c r="BO45" s="5" t="str">
        <f t="shared" si="49"/>
        <v/>
      </c>
      <c r="BP45" s="5" t="str">
        <f t="shared" si="50"/>
        <v/>
      </c>
    </row>
    <row r="46" spans="1:102" ht="15.75" customHeight="1">
      <c r="A46" s="4" t="s">
        <v>231</v>
      </c>
      <c r="B46" s="4">
        <v>2000</v>
      </c>
      <c r="C46" s="4" t="s">
        <v>232</v>
      </c>
      <c r="D46" s="4" t="str">
        <f t="shared" si="0"/>
        <v>Imbert-Marcille BM 2000</v>
      </c>
      <c r="E46" s="4" t="str">
        <f t="shared" si="79"/>
        <v>No</v>
      </c>
      <c r="AG46" s="4">
        <v>39</v>
      </c>
      <c r="AN46" s="4"/>
      <c r="AO46" s="4"/>
      <c r="AQ46" s="4"/>
      <c r="AR46" s="4"/>
      <c r="AS46" s="4"/>
      <c r="AT46" s="4"/>
      <c r="AZ46" s="4"/>
      <c r="BA46" s="5" t="str">
        <f t="shared" ref="BA46:BC46" si="112">IF(ISNUMBER(BQ46),BQ46,IF(AND(ISNUMBER($BJ46),ISNUMBER($BK46)),BI46,""))</f>
        <v/>
      </c>
      <c r="BB46" s="5" t="str">
        <f t="shared" si="112"/>
        <v/>
      </c>
      <c r="BC46" s="5" t="str">
        <f t="shared" si="112"/>
        <v/>
      </c>
      <c r="BD46" s="5" t="str">
        <f t="shared" ref="BD46:BF46" si="113">IF(ISNUMBER(BT46),BT46,IF(AND(ISNUMBER($BO46),ISNUMBER($BP46)),BN46,""))</f>
        <v/>
      </c>
      <c r="BE46" s="5" t="str">
        <f t="shared" si="113"/>
        <v/>
      </c>
      <c r="BF46" s="5" t="str">
        <f t="shared" si="113"/>
        <v/>
      </c>
      <c r="BG46" s="4"/>
      <c r="BH46" s="4"/>
      <c r="BI46" s="5"/>
      <c r="BJ46" s="5" t="str">
        <f t="shared" si="47"/>
        <v/>
      </c>
      <c r="BK46" s="5" t="str">
        <f t="shared" si="48"/>
        <v/>
      </c>
      <c r="BL46" s="4"/>
      <c r="BM46" s="4"/>
      <c r="BN46" s="5"/>
      <c r="BO46" s="5" t="str">
        <f t="shared" si="49"/>
        <v/>
      </c>
      <c r="BP46" s="5" t="str">
        <f t="shared" si="50"/>
        <v/>
      </c>
      <c r="BQ46" s="4"/>
      <c r="BR46" s="4"/>
      <c r="BS46" s="4"/>
      <c r="BT46" s="4"/>
      <c r="BU46" s="4"/>
      <c r="BV46" s="4"/>
      <c r="CC46" s="4">
        <v>53</v>
      </c>
      <c r="CI46" s="4"/>
      <c r="CJ46" s="4"/>
      <c r="CL46" s="4"/>
      <c r="CM46" s="4"/>
      <c r="CN46" s="4"/>
      <c r="CO46" s="4"/>
      <c r="CQ46" s="4"/>
      <c r="CR46" s="4"/>
    </row>
    <row r="47" spans="1:102" ht="15.75" customHeight="1">
      <c r="A47" s="4" t="s">
        <v>233</v>
      </c>
      <c r="B47" s="4">
        <v>2013</v>
      </c>
      <c r="C47" s="4" t="s">
        <v>234</v>
      </c>
      <c r="D47" s="4" t="str">
        <f t="shared" si="0"/>
        <v>Jeulin H 2013</v>
      </c>
      <c r="E47" s="4" t="str">
        <f t="shared" si="79"/>
        <v>No</v>
      </c>
      <c r="BA47" s="5" t="str">
        <f t="shared" ref="BA47:BC47" si="114">IF(ISNUMBER(BQ47),BQ47,IF(AND(ISNUMBER($BJ47),ISNUMBER($BK47)),BI47,""))</f>
        <v/>
      </c>
      <c r="BB47" s="5" t="str">
        <f t="shared" si="114"/>
        <v/>
      </c>
      <c r="BC47" s="5" t="str">
        <f t="shared" si="114"/>
        <v/>
      </c>
      <c r="BD47" s="5" t="str">
        <f t="shared" ref="BD47:BF47" si="115">IF(ISNUMBER(BT47),BT47,IF(AND(ISNUMBER($BO47),ISNUMBER($BP47)),BN47,""))</f>
        <v/>
      </c>
      <c r="BE47" s="5" t="str">
        <f t="shared" si="115"/>
        <v/>
      </c>
      <c r="BF47" s="5" t="str">
        <f t="shared" si="115"/>
        <v/>
      </c>
      <c r="BI47" s="5"/>
      <c r="BJ47" s="5" t="str">
        <f t="shared" si="47"/>
        <v/>
      </c>
      <c r="BK47" s="5" t="str">
        <f t="shared" si="48"/>
        <v/>
      </c>
      <c r="BN47" s="5"/>
      <c r="BO47" s="5" t="str">
        <f t="shared" si="49"/>
        <v/>
      </c>
      <c r="BP47" s="5" t="str">
        <f t="shared" si="50"/>
        <v/>
      </c>
    </row>
    <row r="48" spans="1:102" ht="15.75" customHeight="1">
      <c r="A48" s="4" t="s">
        <v>235</v>
      </c>
      <c r="B48" s="4">
        <v>1996</v>
      </c>
      <c r="C48" s="4" t="s">
        <v>236</v>
      </c>
      <c r="D48" s="4" t="str">
        <f t="shared" si="0"/>
        <v>Kadakia MP 1996</v>
      </c>
      <c r="E48" s="4" t="str">
        <f t="shared" si="79"/>
        <v>No</v>
      </c>
      <c r="AG48" s="4">
        <v>12</v>
      </c>
      <c r="AN48" s="4"/>
      <c r="AO48" s="4"/>
      <c r="AP48" s="4">
        <v>17</v>
      </c>
      <c r="AQ48" s="4"/>
      <c r="AR48" s="4"/>
      <c r="AS48" s="4"/>
      <c r="AT48" s="4"/>
      <c r="AU48" s="4">
        <v>58</v>
      </c>
      <c r="BA48" s="5" t="str">
        <f t="shared" ref="BA48:BC48" si="116">IF(ISNUMBER(BQ48),BQ48,IF(AND(ISNUMBER($BJ48),ISNUMBER($BK48)),BI48,""))</f>
        <v/>
      </c>
      <c r="BB48" s="5" t="str">
        <f t="shared" si="116"/>
        <v/>
      </c>
      <c r="BC48" s="5" t="str">
        <f t="shared" si="116"/>
        <v/>
      </c>
      <c r="BD48" s="5" t="str">
        <f t="shared" ref="BD48:BF48" si="117">IF(ISNUMBER(BT48),BT48,IF(AND(ISNUMBER($BO48),ISNUMBER($BP48)),BN48,""))</f>
        <v/>
      </c>
      <c r="BE48" s="5" t="str">
        <f t="shared" si="117"/>
        <v/>
      </c>
      <c r="BF48" s="5" t="str">
        <f t="shared" si="117"/>
        <v/>
      </c>
      <c r="BG48" s="4" t="s">
        <v>110</v>
      </c>
      <c r="BH48" s="4" t="s">
        <v>110</v>
      </c>
      <c r="BI48" s="5">
        <f>CK48/AP48</f>
        <v>0.94117647058823528</v>
      </c>
      <c r="BJ48" s="5" t="str">
        <f t="shared" si="47"/>
        <v/>
      </c>
      <c r="BK48" s="5" t="str">
        <f t="shared" si="48"/>
        <v/>
      </c>
      <c r="BL48" s="4" t="s">
        <v>110</v>
      </c>
      <c r="BM48" s="4" t="s">
        <v>110</v>
      </c>
      <c r="BN48" s="5">
        <f>CP48/AU48</f>
        <v>0.51724137931034486</v>
      </c>
      <c r="BO48" s="5" t="str">
        <f t="shared" si="49"/>
        <v/>
      </c>
      <c r="BP48" s="5" t="str">
        <f t="shared" si="50"/>
        <v/>
      </c>
      <c r="CC48" s="4">
        <f>26-AG48</f>
        <v>14</v>
      </c>
      <c r="CI48" s="4"/>
      <c r="CJ48" s="4"/>
      <c r="CK48" s="4">
        <v>16</v>
      </c>
      <c r="CL48" s="4"/>
      <c r="CM48" s="4"/>
      <c r="CN48" s="4"/>
      <c r="CO48" s="4"/>
      <c r="CP48" s="4">
        <v>30</v>
      </c>
      <c r="CQ48" s="4"/>
      <c r="CR48" s="4"/>
    </row>
    <row r="49" spans="1:102" ht="15.75" customHeight="1">
      <c r="A49" s="4" t="s">
        <v>237</v>
      </c>
      <c r="B49" s="4">
        <v>2021</v>
      </c>
      <c r="C49" s="4" t="s">
        <v>238</v>
      </c>
      <c r="D49" s="4" t="str">
        <f t="shared" si="0"/>
        <v>Kageyama K 2021</v>
      </c>
      <c r="E49" s="4" t="str">
        <f t="shared" si="79"/>
        <v>No</v>
      </c>
      <c r="BA49" s="5" t="str">
        <f t="shared" ref="BA49:BC49" si="118">IF(ISNUMBER(BQ49),BQ49,IF(AND(ISNUMBER($BJ49),ISNUMBER($BK49)),BI49,""))</f>
        <v/>
      </c>
      <c r="BB49" s="5" t="str">
        <f t="shared" si="118"/>
        <v/>
      </c>
      <c r="BC49" s="5" t="str">
        <f t="shared" si="118"/>
        <v/>
      </c>
      <c r="BD49" s="5" t="str">
        <f t="shared" ref="BD49:BF49" si="119">IF(ISNUMBER(BT49),BT49,IF(AND(ISNUMBER($BO49),ISNUMBER($BP49)),BN49,""))</f>
        <v/>
      </c>
      <c r="BE49" s="5" t="str">
        <f t="shared" si="119"/>
        <v/>
      </c>
      <c r="BF49" s="5" t="str">
        <f t="shared" si="119"/>
        <v/>
      </c>
      <c r="BI49" s="5"/>
      <c r="BJ49" s="5" t="str">
        <f t="shared" si="47"/>
        <v/>
      </c>
      <c r="BK49" s="5" t="str">
        <f t="shared" si="48"/>
        <v/>
      </c>
      <c r="BN49" s="5"/>
      <c r="BO49" s="5" t="str">
        <f t="shared" si="49"/>
        <v/>
      </c>
      <c r="BP49" s="5" t="str">
        <f t="shared" si="50"/>
        <v/>
      </c>
    </row>
    <row r="50" spans="1:102" ht="15.75" customHeight="1">
      <c r="A50" s="4" t="s">
        <v>239</v>
      </c>
      <c r="B50" s="4">
        <v>2021</v>
      </c>
      <c r="C50" s="4" t="s">
        <v>240</v>
      </c>
      <c r="D50" s="4" t="str">
        <f t="shared" si="0"/>
        <v>Khimani F 2021</v>
      </c>
      <c r="E50" s="4" t="str">
        <f t="shared" si="79"/>
        <v>No</v>
      </c>
      <c r="BA50" s="5" t="str">
        <f t="shared" ref="BA50:BC50" si="120">IF(ISNUMBER(BQ50),BQ50,IF(AND(ISNUMBER($BJ50),ISNUMBER($BK50)),BI50,""))</f>
        <v/>
      </c>
      <c r="BB50" s="5" t="str">
        <f t="shared" si="120"/>
        <v/>
      </c>
      <c r="BC50" s="5" t="str">
        <f t="shared" si="120"/>
        <v/>
      </c>
      <c r="BD50" s="5" t="str">
        <f t="shared" ref="BD50:BF50" si="121">IF(ISNUMBER(BT50),BT50,IF(AND(ISNUMBER($BO50),ISNUMBER($BP50)),BN50,""))</f>
        <v/>
      </c>
      <c r="BE50" s="5" t="str">
        <f t="shared" si="121"/>
        <v/>
      </c>
      <c r="BF50" s="5" t="str">
        <f t="shared" si="121"/>
        <v/>
      </c>
      <c r="BI50" s="5"/>
      <c r="BJ50" s="5" t="str">
        <f t="shared" si="47"/>
        <v/>
      </c>
      <c r="BK50" s="5" t="str">
        <f t="shared" si="48"/>
        <v/>
      </c>
      <c r="BN50" s="5"/>
      <c r="BO50" s="5" t="str">
        <f t="shared" si="49"/>
        <v/>
      </c>
      <c r="BP50" s="5" t="str">
        <f t="shared" si="50"/>
        <v/>
      </c>
    </row>
    <row r="51" spans="1:102" ht="15.75" customHeight="1">
      <c r="A51" s="4" t="s">
        <v>241</v>
      </c>
      <c r="B51" s="4">
        <v>2013</v>
      </c>
      <c r="C51" s="4" t="s">
        <v>242</v>
      </c>
      <c r="D51" s="4" t="str">
        <f t="shared" si="0"/>
        <v>Laskin BL 2013</v>
      </c>
      <c r="E51" s="4" t="str">
        <f t="shared" si="79"/>
        <v>No</v>
      </c>
      <c r="BA51" s="5" t="str">
        <f t="shared" ref="BA51:BC51" si="122">IF(ISNUMBER(BQ51),BQ51,IF(AND(ISNUMBER($BJ51),ISNUMBER($BK51)),BI51,""))</f>
        <v/>
      </c>
      <c r="BB51" s="5" t="str">
        <f t="shared" si="122"/>
        <v/>
      </c>
      <c r="BC51" s="5" t="str">
        <f t="shared" si="122"/>
        <v/>
      </c>
      <c r="BD51" s="5" t="str">
        <f t="shared" ref="BD51:BF51" si="123">IF(ISNUMBER(BT51),BT51,IF(AND(ISNUMBER($BO51),ISNUMBER($BP51)),BN51,""))</f>
        <v/>
      </c>
      <c r="BE51" s="5" t="str">
        <f t="shared" si="123"/>
        <v/>
      </c>
      <c r="BF51" s="5" t="str">
        <f t="shared" si="123"/>
        <v/>
      </c>
      <c r="BI51" s="5"/>
      <c r="BJ51" s="5" t="str">
        <f t="shared" si="47"/>
        <v/>
      </c>
      <c r="BK51" s="5" t="str">
        <f t="shared" si="48"/>
        <v/>
      </c>
      <c r="BN51" s="5"/>
      <c r="BO51" s="5" t="str">
        <f t="shared" si="49"/>
        <v/>
      </c>
      <c r="BP51" s="5" t="str">
        <f t="shared" si="50"/>
        <v/>
      </c>
    </row>
    <row r="52" spans="1:102" ht="15.75" customHeight="1">
      <c r="A52" s="4" t="s">
        <v>243</v>
      </c>
      <c r="B52" s="4">
        <v>2003</v>
      </c>
      <c r="C52" s="4" t="s">
        <v>244</v>
      </c>
      <c r="D52" s="4" t="str">
        <f t="shared" si="0"/>
        <v>Lee DG 2003</v>
      </c>
      <c r="E52" s="4" t="str">
        <f t="shared" si="79"/>
        <v>No</v>
      </c>
      <c r="BA52" s="5" t="str">
        <f t="shared" ref="BA52:BC52" si="124">IF(ISNUMBER(BQ52),BQ52,IF(AND(ISNUMBER($BJ52),ISNUMBER($BK52)),BI52,""))</f>
        <v/>
      </c>
      <c r="BB52" s="5" t="str">
        <f t="shared" si="124"/>
        <v/>
      </c>
      <c r="BC52" s="5" t="str">
        <f t="shared" si="124"/>
        <v/>
      </c>
      <c r="BD52" s="5" t="str">
        <f t="shared" ref="BD52:BF52" si="125">IF(ISNUMBER(BT52),BT52,IF(AND(ISNUMBER($BO52),ISNUMBER($BP52)),BN52,""))</f>
        <v/>
      </c>
      <c r="BE52" s="5" t="str">
        <f t="shared" si="125"/>
        <v/>
      </c>
      <c r="BF52" s="5" t="str">
        <f t="shared" si="125"/>
        <v/>
      </c>
      <c r="BI52" s="5"/>
      <c r="BJ52" s="5" t="str">
        <f t="shared" si="47"/>
        <v/>
      </c>
      <c r="BK52" s="5" t="str">
        <f t="shared" si="48"/>
        <v/>
      </c>
      <c r="BN52" s="5"/>
      <c r="BO52" s="5" t="str">
        <f t="shared" si="49"/>
        <v/>
      </c>
      <c r="BP52" s="5" t="str">
        <f t="shared" si="50"/>
        <v/>
      </c>
    </row>
    <row r="53" spans="1:102" ht="15.75" customHeight="1">
      <c r="A53" s="4" t="s">
        <v>245</v>
      </c>
      <c r="B53" s="4">
        <v>2022</v>
      </c>
      <c r="C53" s="4" t="s">
        <v>246</v>
      </c>
      <c r="D53" s="4" t="str">
        <f t="shared" si="0"/>
        <v>Lee YJ 2022</v>
      </c>
      <c r="E53" s="4" t="str">
        <f t="shared" si="79"/>
        <v>No</v>
      </c>
      <c r="AG53" s="4">
        <v>83</v>
      </c>
      <c r="AN53" s="4"/>
      <c r="AO53" s="4">
        <v>10</v>
      </c>
      <c r="AP53" s="4">
        <v>11</v>
      </c>
      <c r="AQ53" s="4">
        <v>11</v>
      </c>
      <c r="AR53" s="4"/>
      <c r="AS53" s="4"/>
      <c r="AT53" s="4">
        <v>15</v>
      </c>
      <c r="AU53" s="4">
        <v>17</v>
      </c>
      <c r="AV53" s="4">
        <v>20</v>
      </c>
      <c r="AZ53" s="4"/>
      <c r="BA53" s="5" t="str">
        <f t="shared" ref="BA53:BC53" si="126">IF(ISNUMBER(BQ53),BQ53,IF(AND(ISNUMBER($BJ53),ISNUMBER($BK53)),BI53,""))</f>
        <v/>
      </c>
      <c r="BB53" s="5" t="str">
        <f t="shared" si="126"/>
        <v/>
      </c>
      <c r="BC53" s="5" t="str">
        <f t="shared" si="126"/>
        <v/>
      </c>
      <c r="BD53" s="5" t="str">
        <f t="shared" ref="BD53:BF53" si="127">IF(ISNUMBER(BT53),BT53,IF(AND(ISNUMBER($BO53),ISNUMBER($BP53)),BN53,""))</f>
        <v/>
      </c>
      <c r="BE53" s="5" t="str">
        <f t="shared" si="127"/>
        <v/>
      </c>
      <c r="BF53" s="5" t="str">
        <f t="shared" si="127"/>
        <v/>
      </c>
      <c r="BG53" s="4" t="s">
        <v>110</v>
      </c>
      <c r="BH53" s="4" t="s">
        <v>110</v>
      </c>
      <c r="BI53" s="5">
        <f>CK53/AP53</f>
        <v>0.90909090909090906</v>
      </c>
      <c r="BJ53" s="5" t="str">
        <f t="shared" si="47"/>
        <v/>
      </c>
      <c r="BK53" s="5" t="str">
        <f t="shared" si="48"/>
        <v/>
      </c>
      <c r="BL53" s="4" t="s">
        <v>110</v>
      </c>
      <c r="BM53" s="4" t="s">
        <v>110</v>
      </c>
      <c r="BN53" s="5">
        <f>CP53/AU53</f>
        <v>1.0588235294117647</v>
      </c>
      <c r="BO53" s="5" t="str">
        <f t="shared" si="49"/>
        <v/>
      </c>
      <c r="BP53" s="5" t="str">
        <f t="shared" si="50"/>
        <v/>
      </c>
      <c r="BQ53" s="4"/>
      <c r="BR53" s="4"/>
      <c r="BS53" s="4"/>
      <c r="BT53" s="4"/>
      <c r="BU53" s="4"/>
      <c r="BV53" s="4"/>
      <c r="CC53" s="4">
        <v>229</v>
      </c>
      <c r="CI53" s="4"/>
      <c r="CJ53" s="4">
        <v>10</v>
      </c>
      <c r="CK53" s="4">
        <v>10</v>
      </c>
      <c r="CL53" s="4">
        <v>11</v>
      </c>
      <c r="CM53" s="4"/>
      <c r="CN53" s="4"/>
      <c r="CO53" s="4">
        <v>6</v>
      </c>
      <c r="CP53" s="4">
        <v>18</v>
      </c>
      <c r="CQ53" s="4">
        <v>23</v>
      </c>
      <c r="CR53" s="4"/>
    </row>
    <row r="54" spans="1:102" ht="15.75" customHeight="1">
      <c r="A54" s="4" t="s">
        <v>247</v>
      </c>
      <c r="B54" s="4">
        <v>2019</v>
      </c>
      <c r="C54" s="4" t="s">
        <v>248</v>
      </c>
      <c r="D54" s="4" t="str">
        <f t="shared" si="0"/>
        <v>Linder KA 2019</v>
      </c>
      <c r="E54" s="4" t="str">
        <f t="shared" si="79"/>
        <v>No</v>
      </c>
      <c r="BA54" s="5" t="str">
        <f t="shared" ref="BA54:BC54" si="128">IF(ISNUMBER(BQ54),BQ54,IF(AND(ISNUMBER($BJ54),ISNUMBER($BK54)),BI54,""))</f>
        <v/>
      </c>
      <c r="BB54" s="5" t="str">
        <f t="shared" si="128"/>
        <v/>
      </c>
      <c r="BC54" s="5" t="str">
        <f t="shared" si="128"/>
        <v/>
      </c>
      <c r="BD54" s="5" t="str">
        <f t="shared" ref="BD54:BF54" si="129">IF(ISNUMBER(BT54),BT54,IF(AND(ISNUMBER($BO54),ISNUMBER($BP54)),BN54,""))</f>
        <v/>
      </c>
      <c r="BE54" s="5" t="str">
        <f t="shared" si="129"/>
        <v/>
      </c>
      <c r="BF54" s="5" t="str">
        <f t="shared" si="129"/>
        <v/>
      </c>
      <c r="BI54" s="5"/>
      <c r="BJ54" s="5" t="str">
        <f t="shared" si="47"/>
        <v/>
      </c>
      <c r="BK54" s="5" t="str">
        <f t="shared" si="48"/>
        <v/>
      </c>
      <c r="BN54" s="5"/>
      <c r="BO54" s="5" t="str">
        <f t="shared" si="49"/>
        <v/>
      </c>
      <c r="BP54" s="5" t="str">
        <f t="shared" si="50"/>
        <v/>
      </c>
      <c r="CV54" s="4"/>
      <c r="CW54" s="4"/>
      <c r="CX54" s="4"/>
    </row>
    <row r="55" spans="1:102" ht="15.75" customHeight="1">
      <c r="A55" s="4" t="s">
        <v>249</v>
      </c>
      <c r="B55" s="4">
        <v>2000</v>
      </c>
      <c r="C55" s="4" t="s">
        <v>250</v>
      </c>
      <c r="D55" s="4" t="str">
        <f t="shared" si="0"/>
        <v>Ljungman P 2000</v>
      </c>
      <c r="E55" s="4" t="str">
        <f t="shared" si="79"/>
        <v>No</v>
      </c>
      <c r="BA55" s="5" t="str">
        <f t="shared" ref="BA55:BC55" si="130">IF(ISNUMBER(BQ55),BQ55,IF(AND(ISNUMBER($BJ55),ISNUMBER($BK55)),BI55,""))</f>
        <v/>
      </c>
      <c r="BB55" s="5" t="str">
        <f t="shared" si="130"/>
        <v/>
      </c>
      <c r="BC55" s="5" t="str">
        <f t="shared" si="130"/>
        <v/>
      </c>
      <c r="BD55" s="5" t="str">
        <f t="shared" ref="BD55:BF55" si="131">IF(ISNUMBER(BT55),BT55,IF(AND(ISNUMBER($BO55),ISNUMBER($BP55)),BN55,""))</f>
        <v/>
      </c>
      <c r="BE55" s="5" t="str">
        <f t="shared" si="131"/>
        <v/>
      </c>
      <c r="BF55" s="5" t="str">
        <f t="shared" si="131"/>
        <v/>
      </c>
      <c r="BI55" s="5"/>
      <c r="BJ55" s="5" t="str">
        <f t="shared" si="47"/>
        <v/>
      </c>
      <c r="BK55" s="5" t="str">
        <f t="shared" si="48"/>
        <v/>
      </c>
      <c r="BN55" s="5"/>
      <c r="BO55" s="5" t="str">
        <f t="shared" si="49"/>
        <v/>
      </c>
      <c r="BP55" s="5" t="str">
        <f t="shared" si="50"/>
        <v/>
      </c>
      <c r="CV55" s="4"/>
      <c r="CW55" s="4"/>
      <c r="CX55" s="4" t="s">
        <v>251</v>
      </c>
    </row>
    <row r="56" spans="1:102" ht="15.75" customHeight="1">
      <c r="A56" s="4" t="s">
        <v>252</v>
      </c>
      <c r="B56" s="4">
        <v>2001</v>
      </c>
      <c r="C56" s="4" t="s">
        <v>253</v>
      </c>
      <c r="D56" s="4" t="str">
        <f t="shared" si="0"/>
        <v>Ma XT 2001</v>
      </c>
      <c r="E56" s="4" t="str">
        <f t="shared" si="79"/>
        <v>No</v>
      </c>
      <c r="BA56" s="5" t="str">
        <f t="shared" ref="BA56:BC56" si="132">IF(ISNUMBER(BQ56),BQ56,IF(AND(ISNUMBER($BJ56),ISNUMBER($BK56)),BI56,""))</f>
        <v/>
      </c>
      <c r="BB56" s="5" t="str">
        <f t="shared" si="132"/>
        <v/>
      </c>
      <c r="BC56" s="5" t="str">
        <f t="shared" si="132"/>
        <v/>
      </c>
      <c r="BD56" s="5" t="str">
        <f t="shared" ref="BD56:BF56" si="133">IF(ISNUMBER(BT56),BT56,IF(AND(ISNUMBER($BO56),ISNUMBER($BP56)),BN56,""))</f>
        <v/>
      </c>
      <c r="BE56" s="5" t="str">
        <f t="shared" si="133"/>
        <v/>
      </c>
      <c r="BF56" s="5" t="str">
        <f t="shared" si="133"/>
        <v/>
      </c>
      <c r="BI56" s="5"/>
      <c r="BJ56" s="5" t="str">
        <f t="shared" si="47"/>
        <v/>
      </c>
      <c r="BK56" s="5" t="str">
        <f t="shared" si="48"/>
        <v/>
      </c>
      <c r="BN56" s="5"/>
      <c r="BO56" s="5" t="str">
        <f t="shared" si="49"/>
        <v/>
      </c>
      <c r="BP56" s="5" t="str">
        <f t="shared" si="50"/>
        <v/>
      </c>
    </row>
    <row r="57" spans="1:102" ht="15.75" customHeight="1">
      <c r="A57" s="4" t="s">
        <v>254</v>
      </c>
      <c r="B57" s="4">
        <v>1999</v>
      </c>
      <c r="C57" s="4" t="s">
        <v>255</v>
      </c>
      <c r="D57" s="4" t="str">
        <f t="shared" si="0"/>
        <v>Maeda Y 1999</v>
      </c>
      <c r="E57" s="4" t="str">
        <f t="shared" si="79"/>
        <v>No</v>
      </c>
      <c r="BA57" s="5" t="str">
        <f t="shared" ref="BA57:BC57" si="134">IF(ISNUMBER(BQ57),BQ57,IF(AND(ISNUMBER($BJ57),ISNUMBER($BK57)),BI57,""))</f>
        <v/>
      </c>
      <c r="BB57" s="5" t="str">
        <f t="shared" si="134"/>
        <v/>
      </c>
      <c r="BC57" s="5" t="str">
        <f t="shared" si="134"/>
        <v/>
      </c>
      <c r="BD57" s="5" t="str">
        <f t="shared" ref="BD57:BF57" si="135">IF(ISNUMBER(BT57),BT57,IF(AND(ISNUMBER($BO57),ISNUMBER($BP57)),BN57,""))</f>
        <v/>
      </c>
      <c r="BE57" s="5" t="str">
        <f t="shared" si="135"/>
        <v/>
      </c>
      <c r="BF57" s="5" t="str">
        <f t="shared" si="135"/>
        <v/>
      </c>
      <c r="BI57" s="5"/>
      <c r="BJ57" s="5" t="str">
        <f t="shared" si="47"/>
        <v/>
      </c>
      <c r="BK57" s="5" t="str">
        <f t="shared" si="48"/>
        <v/>
      </c>
      <c r="BN57" s="5"/>
      <c r="BO57" s="5" t="str">
        <f t="shared" si="49"/>
        <v/>
      </c>
      <c r="BP57" s="5" t="str">
        <f t="shared" si="50"/>
        <v/>
      </c>
    </row>
    <row r="58" spans="1:102" ht="15.75" customHeight="1">
      <c r="A58" s="4" t="s">
        <v>256</v>
      </c>
      <c r="B58" s="4">
        <v>2015</v>
      </c>
      <c r="C58" s="4" t="s">
        <v>257</v>
      </c>
      <c r="D58" s="4" t="str">
        <f t="shared" si="0"/>
        <v>Miura H 2015</v>
      </c>
      <c r="E58" s="4" t="str">
        <f t="shared" si="79"/>
        <v>No</v>
      </c>
      <c r="BA58" s="5" t="str">
        <f t="shared" ref="BA58:BC58" si="136">IF(ISNUMBER(BQ58),BQ58,IF(AND(ISNUMBER($BJ58),ISNUMBER($BK58)),BI58,""))</f>
        <v/>
      </c>
      <c r="BB58" s="5" t="str">
        <f t="shared" si="136"/>
        <v/>
      </c>
      <c r="BC58" s="5" t="str">
        <f t="shared" si="136"/>
        <v/>
      </c>
      <c r="BD58" s="5" t="str">
        <f t="shared" ref="BD58:BF58" si="137">IF(ISNUMBER(BT58),BT58,IF(AND(ISNUMBER($BO58),ISNUMBER($BP58)),BN58,""))</f>
        <v/>
      </c>
      <c r="BE58" s="5" t="str">
        <f t="shared" si="137"/>
        <v/>
      </c>
      <c r="BF58" s="5" t="str">
        <f t="shared" si="137"/>
        <v/>
      </c>
      <c r="BI58" s="5"/>
      <c r="BJ58" s="5" t="str">
        <f t="shared" si="47"/>
        <v/>
      </c>
      <c r="BK58" s="5" t="str">
        <f t="shared" si="48"/>
        <v/>
      </c>
      <c r="BN58" s="5"/>
      <c r="BO58" s="5" t="str">
        <f t="shared" si="49"/>
        <v/>
      </c>
      <c r="BP58" s="5" t="str">
        <f t="shared" si="50"/>
        <v/>
      </c>
    </row>
    <row r="59" spans="1:102" ht="15.75" customHeight="1">
      <c r="A59" s="4" t="s">
        <v>258</v>
      </c>
      <c r="B59" s="4">
        <v>2020</v>
      </c>
      <c r="C59" s="4" t="s">
        <v>259</v>
      </c>
      <c r="D59" s="4" t="str">
        <f t="shared" si="0"/>
        <v>Muranushi H 2020</v>
      </c>
      <c r="E59" s="4" t="str">
        <f t="shared" si="79"/>
        <v>No</v>
      </c>
      <c r="BA59" s="5" t="str">
        <f t="shared" ref="BA59:BC59" si="138">IF(ISNUMBER(BQ59),BQ59,IF(AND(ISNUMBER($BJ59),ISNUMBER($BK59)),BI59,""))</f>
        <v/>
      </c>
      <c r="BB59" s="5" t="str">
        <f t="shared" si="138"/>
        <v/>
      </c>
      <c r="BC59" s="5" t="str">
        <f t="shared" si="138"/>
        <v/>
      </c>
      <c r="BD59" s="5" t="str">
        <f t="shared" ref="BD59:BF59" si="139">IF(ISNUMBER(BT59),BT59,IF(AND(ISNUMBER($BO59),ISNUMBER($BP59)),BN59,""))</f>
        <v/>
      </c>
      <c r="BE59" s="5" t="str">
        <f t="shared" si="139"/>
        <v/>
      </c>
      <c r="BF59" s="5" t="str">
        <f t="shared" si="139"/>
        <v/>
      </c>
      <c r="BI59" s="5"/>
      <c r="BJ59" s="5" t="str">
        <f t="shared" si="47"/>
        <v/>
      </c>
      <c r="BK59" s="5" t="str">
        <f t="shared" si="48"/>
        <v/>
      </c>
      <c r="BN59" s="5"/>
      <c r="BO59" s="5" t="str">
        <f t="shared" si="49"/>
        <v/>
      </c>
      <c r="BP59" s="5" t="str">
        <f t="shared" si="50"/>
        <v/>
      </c>
    </row>
    <row r="60" spans="1:102" ht="15.75" customHeight="1">
      <c r="A60" s="4" t="s">
        <v>260</v>
      </c>
      <c r="B60" s="4">
        <v>2014</v>
      </c>
      <c r="C60" s="4" t="s">
        <v>261</v>
      </c>
      <c r="D60" s="4" t="str">
        <f t="shared" si="0"/>
        <v>Mutlu D 2014</v>
      </c>
      <c r="E60" s="4" t="str">
        <f t="shared" si="79"/>
        <v>No</v>
      </c>
      <c r="BA60" s="5" t="str">
        <f t="shared" ref="BA60:BC60" si="140">IF(ISNUMBER(BQ60),BQ60,IF(AND(ISNUMBER($BJ60),ISNUMBER($BK60)),BI60,""))</f>
        <v/>
      </c>
      <c r="BB60" s="5" t="str">
        <f t="shared" si="140"/>
        <v/>
      </c>
      <c r="BC60" s="5" t="str">
        <f t="shared" si="140"/>
        <v/>
      </c>
      <c r="BD60" s="5" t="str">
        <f t="shared" ref="BD60:BF60" si="141">IF(ISNUMBER(BT60),BT60,IF(AND(ISNUMBER($BO60),ISNUMBER($BP60)),BN60,""))</f>
        <v/>
      </c>
      <c r="BE60" s="5" t="str">
        <f t="shared" si="141"/>
        <v/>
      </c>
      <c r="BF60" s="5" t="str">
        <f t="shared" si="141"/>
        <v/>
      </c>
      <c r="BI60" s="5"/>
      <c r="BJ60" s="5" t="str">
        <f t="shared" si="47"/>
        <v/>
      </c>
      <c r="BK60" s="5" t="str">
        <f t="shared" si="48"/>
        <v/>
      </c>
      <c r="BN60" s="5"/>
      <c r="BO60" s="5" t="str">
        <f t="shared" si="49"/>
        <v/>
      </c>
      <c r="BP60" s="5" t="str">
        <f t="shared" si="50"/>
        <v/>
      </c>
    </row>
    <row r="61" spans="1:102" ht="15.75" customHeight="1">
      <c r="A61" s="4" t="s">
        <v>262</v>
      </c>
      <c r="B61" s="4">
        <v>2023</v>
      </c>
      <c r="C61" s="4" t="s">
        <v>263</v>
      </c>
      <c r="D61" s="4" t="str">
        <f t="shared" si="0"/>
        <v>Noviello M 2023</v>
      </c>
      <c r="E61" s="4" t="str">
        <f t="shared" si="79"/>
        <v>No</v>
      </c>
      <c r="BA61" s="5" t="str">
        <f t="shared" ref="BA61:BC61" si="142">IF(ISNUMBER(BQ61),BQ61,IF(AND(ISNUMBER($BJ61),ISNUMBER($BK61)),BI61,""))</f>
        <v/>
      </c>
      <c r="BB61" s="5" t="str">
        <f t="shared" si="142"/>
        <v/>
      </c>
      <c r="BC61" s="5" t="str">
        <f t="shared" si="142"/>
        <v/>
      </c>
      <c r="BD61" s="5" t="str">
        <f t="shared" ref="BD61:BF61" si="143">IF(ISNUMBER(BT61),BT61,IF(AND(ISNUMBER($BO61),ISNUMBER($BP61)),BN61,""))</f>
        <v/>
      </c>
      <c r="BE61" s="5" t="str">
        <f t="shared" si="143"/>
        <v/>
      </c>
      <c r="BF61" s="5" t="str">
        <f t="shared" si="143"/>
        <v/>
      </c>
      <c r="BI61" s="5"/>
      <c r="BJ61" s="5" t="str">
        <f t="shared" si="47"/>
        <v/>
      </c>
      <c r="BK61" s="5" t="str">
        <f t="shared" si="48"/>
        <v/>
      </c>
      <c r="BN61" s="5"/>
      <c r="BO61" s="5" t="str">
        <f t="shared" si="49"/>
        <v/>
      </c>
      <c r="BP61" s="5" t="str">
        <f t="shared" si="50"/>
        <v/>
      </c>
    </row>
    <row r="62" spans="1:102" ht="15.75" customHeight="1">
      <c r="A62" s="4" t="s">
        <v>151</v>
      </c>
      <c r="B62" s="4">
        <v>2018</v>
      </c>
      <c r="C62" s="4" t="s">
        <v>264</v>
      </c>
      <c r="D62" s="4" t="str">
        <f t="shared" si="0"/>
        <v>Ogata M 2018</v>
      </c>
      <c r="E62" s="4" t="str">
        <f t="shared" si="79"/>
        <v>No</v>
      </c>
      <c r="BA62" s="5" t="str">
        <f t="shared" ref="BA62:BC62" si="144">IF(ISNUMBER(BQ62),BQ62,IF(AND(ISNUMBER($BJ62),ISNUMBER($BK62)),BI62,""))</f>
        <v/>
      </c>
      <c r="BB62" s="5" t="str">
        <f t="shared" si="144"/>
        <v/>
      </c>
      <c r="BC62" s="5" t="str">
        <f t="shared" si="144"/>
        <v/>
      </c>
      <c r="BD62" s="5" t="str">
        <f t="shared" ref="BD62:BF62" si="145">IF(ISNUMBER(BT62),BT62,IF(AND(ISNUMBER($BO62),ISNUMBER($BP62)),BN62,""))</f>
        <v/>
      </c>
      <c r="BE62" s="5" t="str">
        <f t="shared" si="145"/>
        <v/>
      </c>
      <c r="BF62" s="5" t="str">
        <f t="shared" si="145"/>
        <v/>
      </c>
      <c r="BI62" s="5"/>
      <c r="BJ62" s="5" t="str">
        <f t="shared" si="47"/>
        <v/>
      </c>
      <c r="BK62" s="5" t="str">
        <f t="shared" si="48"/>
        <v/>
      </c>
      <c r="BN62" s="5"/>
      <c r="BO62" s="5" t="str">
        <f t="shared" si="49"/>
        <v/>
      </c>
      <c r="BP62" s="5" t="str">
        <f t="shared" si="50"/>
        <v/>
      </c>
    </row>
    <row r="63" spans="1:102" ht="15.75" customHeight="1">
      <c r="A63" s="4" t="s">
        <v>265</v>
      </c>
      <c r="B63" s="4">
        <v>2020</v>
      </c>
      <c r="C63" s="4" t="s">
        <v>266</v>
      </c>
      <c r="D63" s="4" t="str">
        <f t="shared" si="0"/>
        <v>Oltolini C 2020</v>
      </c>
      <c r="E63" s="4" t="str">
        <f t="shared" si="79"/>
        <v>No</v>
      </c>
      <c r="BA63" s="5" t="str">
        <f t="shared" ref="BA63:BC63" si="146">IF(ISNUMBER(BQ63),BQ63,IF(AND(ISNUMBER($BJ63),ISNUMBER($BK63)),BI63,""))</f>
        <v/>
      </c>
      <c r="BB63" s="5" t="str">
        <f t="shared" si="146"/>
        <v/>
      </c>
      <c r="BC63" s="5" t="str">
        <f t="shared" si="146"/>
        <v/>
      </c>
      <c r="BD63" s="5" t="str">
        <f t="shared" ref="BD63:BF63" si="147">IF(ISNUMBER(BT63),BT63,IF(AND(ISNUMBER($BO63),ISNUMBER($BP63)),BN63,""))</f>
        <v/>
      </c>
      <c r="BE63" s="5" t="str">
        <f t="shared" si="147"/>
        <v/>
      </c>
      <c r="BF63" s="5" t="str">
        <f t="shared" si="147"/>
        <v/>
      </c>
      <c r="BI63" s="5"/>
      <c r="BJ63" s="5" t="str">
        <f t="shared" si="47"/>
        <v/>
      </c>
      <c r="BK63" s="5" t="str">
        <f t="shared" si="48"/>
        <v/>
      </c>
      <c r="BN63" s="5"/>
      <c r="BO63" s="5" t="str">
        <f t="shared" si="49"/>
        <v/>
      </c>
      <c r="BP63" s="5" t="str">
        <f t="shared" si="50"/>
        <v/>
      </c>
    </row>
    <row r="64" spans="1:102" ht="15.75" customHeight="1">
      <c r="A64" s="4" t="s">
        <v>267</v>
      </c>
      <c r="B64" s="4">
        <v>2021</v>
      </c>
      <c r="C64" s="4" t="s">
        <v>268</v>
      </c>
      <c r="D64" s="4" t="str">
        <f t="shared" si="0"/>
        <v>Pawlowska AB 2021</v>
      </c>
      <c r="E64" s="4" t="str">
        <f t="shared" si="79"/>
        <v>No</v>
      </c>
      <c r="BA64" s="5" t="str">
        <f t="shared" ref="BA64:BC64" si="148">IF(ISNUMBER(BQ64),BQ64,IF(AND(ISNUMBER($BJ64),ISNUMBER($BK64)),BI64,""))</f>
        <v/>
      </c>
      <c r="BB64" s="5" t="str">
        <f t="shared" si="148"/>
        <v/>
      </c>
      <c r="BC64" s="5" t="str">
        <f t="shared" si="148"/>
        <v/>
      </c>
      <c r="BD64" s="5" t="str">
        <f t="shared" ref="BD64:BF64" si="149">IF(ISNUMBER(BT64),BT64,IF(AND(ISNUMBER($BO64),ISNUMBER($BP64)),BN64,""))</f>
        <v/>
      </c>
      <c r="BE64" s="5" t="str">
        <f t="shared" si="149"/>
        <v/>
      </c>
      <c r="BF64" s="5" t="str">
        <f t="shared" si="149"/>
        <v/>
      </c>
      <c r="BI64" s="5"/>
      <c r="BJ64" s="5" t="str">
        <f t="shared" si="47"/>
        <v/>
      </c>
      <c r="BK64" s="5" t="str">
        <f t="shared" si="48"/>
        <v/>
      </c>
      <c r="BN64" s="5"/>
      <c r="BO64" s="5" t="str">
        <f t="shared" si="49"/>
        <v/>
      </c>
      <c r="BP64" s="5" t="str">
        <f t="shared" si="50"/>
        <v/>
      </c>
    </row>
    <row r="65" spans="1:102" ht="15.75" customHeight="1">
      <c r="A65" s="4" t="s">
        <v>269</v>
      </c>
      <c r="B65" s="4">
        <v>2015</v>
      </c>
      <c r="C65" s="4" t="s">
        <v>270</v>
      </c>
      <c r="D65" s="4" t="str">
        <f t="shared" si="0"/>
        <v>Perissinotti AJ 2015</v>
      </c>
      <c r="E65" s="4" t="str">
        <f t="shared" si="79"/>
        <v>No</v>
      </c>
      <c r="BA65" s="5" t="str">
        <f t="shared" ref="BA65:BC65" si="150">IF(ISNUMBER(BQ65),BQ65,IF(AND(ISNUMBER($BJ65),ISNUMBER($BK65)),BI65,""))</f>
        <v/>
      </c>
      <c r="BB65" s="5" t="str">
        <f t="shared" si="150"/>
        <v/>
      </c>
      <c r="BC65" s="5" t="str">
        <f t="shared" si="150"/>
        <v/>
      </c>
      <c r="BD65" s="5" t="str">
        <f t="shared" ref="BD65:BF65" si="151">IF(ISNUMBER(BT65),BT65,IF(AND(ISNUMBER($BO65),ISNUMBER($BP65)),BN65,""))</f>
        <v/>
      </c>
      <c r="BE65" s="5" t="str">
        <f t="shared" si="151"/>
        <v/>
      </c>
      <c r="BF65" s="5" t="str">
        <f t="shared" si="151"/>
        <v/>
      </c>
      <c r="BI65" s="5"/>
      <c r="BJ65" s="5" t="str">
        <f t="shared" si="47"/>
        <v/>
      </c>
      <c r="BK65" s="5" t="str">
        <f t="shared" si="48"/>
        <v/>
      </c>
      <c r="BN65" s="5"/>
      <c r="BO65" s="5" t="str">
        <f t="shared" si="49"/>
        <v/>
      </c>
      <c r="BP65" s="5" t="str">
        <f t="shared" si="50"/>
        <v/>
      </c>
    </row>
    <row r="66" spans="1:102" ht="15.75" customHeight="1">
      <c r="A66" s="4" t="s">
        <v>271</v>
      </c>
      <c r="B66" s="4">
        <v>2018</v>
      </c>
      <c r="C66" s="4" t="s">
        <v>272</v>
      </c>
      <c r="D66" s="4" t="str">
        <f t="shared" si="0"/>
        <v>Perruccio K 2018</v>
      </c>
      <c r="E66" s="4" t="str">
        <f t="shared" si="79"/>
        <v>No</v>
      </c>
      <c r="BA66" s="5" t="str">
        <f t="shared" ref="BA66:BC66" si="152">IF(ISNUMBER(BQ66),BQ66,IF(AND(ISNUMBER($BJ66),ISNUMBER($BK66)),BI66,""))</f>
        <v/>
      </c>
      <c r="BB66" s="5" t="str">
        <f t="shared" si="152"/>
        <v/>
      </c>
      <c r="BC66" s="5" t="str">
        <f t="shared" si="152"/>
        <v/>
      </c>
      <c r="BD66" s="5" t="str">
        <f t="shared" ref="BD66:BF66" si="153">IF(ISNUMBER(BT66),BT66,IF(AND(ISNUMBER($BO66),ISNUMBER($BP66)),BN66,""))</f>
        <v/>
      </c>
      <c r="BE66" s="5" t="str">
        <f t="shared" si="153"/>
        <v/>
      </c>
      <c r="BF66" s="5" t="str">
        <f t="shared" si="153"/>
        <v/>
      </c>
      <c r="BI66" s="5"/>
      <c r="BJ66" s="5" t="str">
        <f t="shared" si="47"/>
        <v/>
      </c>
      <c r="BK66" s="5" t="str">
        <f t="shared" si="48"/>
        <v/>
      </c>
      <c r="BN66" s="5"/>
      <c r="BO66" s="5" t="str">
        <f t="shared" si="49"/>
        <v/>
      </c>
      <c r="BP66" s="5" t="str">
        <f t="shared" si="50"/>
        <v/>
      </c>
    </row>
    <row r="67" spans="1:102" ht="15.75" customHeight="1">
      <c r="A67" s="4" t="s">
        <v>273</v>
      </c>
      <c r="B67" s="4">
        <v>2009</v>
      </c>
      <c r="C67" s="4" t="s">
        <v>274</v>
      </c>
      <c r="D67" s="4" t="str">
        <f t="shared" si="0"/>
        <v>Potenza L 2009</v>
      </c>
      <c r="E67" s="4" t="str">
        <f t="shared" si="79"/>
        <v>No</v>
      </c>
      <c r="BA67" s="5" t="str">
        <f t="shared" ref="BA67:BC67" si="154">IF(ISNUMBER(BQ67),BQ67,IF(AND(ISNUMBER($BJ67),ISNUMBER($BK67)),BI67,""))</f>
        <v/>
      </c>
      <c r="BB67" s="5" t="str">
        <f t="shared" si="154"/>
        <v/>
      </c>
      <c r="BC67" s="5" t="str">
        <f t="shared" si="154"/>
        <v/>
      </c>
      <c r="BD67" s="5" t="str">
        <f t="shared" ref="BD67:BF67" si="155">IF(ISNUMBER(BT67),BT67,IF(AND(ISNUMBER($BO67),ISNUMBER($BP67)),BN67,""))</f>
        <v/>
      </c>
      <c r="BE67" s="5" t="str">
        <f t="shared" si="155"/>
        <v/>
      </c>
      <c r="BF67" s="5" t="str">
        <f t="shared" si="155"/>
        <v/>
      </c>
      <c r="BI67" s="5"/>
      <c r="BJ67" s="5" t="str">
        <f t="shared" si="47"/>
        <v/>
      </c>
      <c r="BK67" s="5" t="str">
        <f t="shared" si="48"/>
        <v/>
      </c>
      <c r="BN67" s="5"/>
      <c r="BO67" s="5" t="str">
        <f t="shared" si="49"/>
        <v/>
      </c>
      <c r="BP67" s="5" t="str">
        <f t="shared" si="50"/>
        <v/>
      </c>
    </row>
    <row r="68" spans="1:102" ht="15.75" customHeight="1">
      <c r="A68" s="4" t="s">
        <v>275</v>
      </c>
      <c r="B68" s="4">
        <v>2005</v>
      </c>
      <c r="C68" s="4" t="s">
        <v>276</v>
      </c>
      <c r="D68" s="4" t="str">
        <f t="shared" si="0"/>
        <v>Radonić A 2005</v>
      </c>
      <c r="E68" s="4" t="str">
        <f t="shared" si="79"/>
        <v>No</v>
      </c>
      <c r="BA68" s="5" t="str">
        <f t="shared" ref="BA68:BC68" si="156">IF(ISNUMBER(BQ68),BQ68,IF(AND(ISNUMBER($BJ68),ISNUMBER($BK68)),BI68,""))</f>
        <v/>
      </c>
      <c r="BB68" s="5" t="str">
        <f t="shared" si="156"/>
        <v/>
      </c>
      <c r="BC68" s="5" t="str">
        <f t="shared" si="156"/>
        <v/>
      </c>
      <c r="BD68" s="5" t="str">
        <f t="shared" ref="BD68:BF68" si="157">IF(ISNUMBER(BT68),BT68,IF(AND(ISNUMBER($BO68),ISNUMBER($BP68)),BN68,""))</f>
        <v/>
      </c>
      <c r="BE68" s="5" t="str">
        <f t="shared" si="157"/>
        <v/>
      </c>
      <c r="BF68" s="5" t="str">
        <f t="shared" si="157"/>
        <v/>
      </c>
      <c r="BI68" s="5"/>
      <c r="BJ68" s="5" t="str">
        <f t="shared" si="47"/>
        <v/>
      </c>
      <c r="BK68" s="5" t="str">
        <f t="shared" si="48"/>
        <v/>
      </c>
      <c r="BN68" s="5"/>
      <c r="BO68" s="5" t="str">
        <f t="shared" si="49"/>
        <v/>
      </c>
      <c r="BP68" s="5" t="str">
        <f t="shared" si="50"/>
        <v/>
      </c>
      <c r="BT68" s="4" t="s">
        <v>166</v>
      </c>
      <c r="BU68" s="4" t="s">
        <v>166</v>
      </c>
      <c r="BV68" s="4" t="s">
        <v>166</v>
      </c>
      <c r="CV68" s="4"/>
      <c r="CW68" s="4"/>
      <c r="CX68" s="4" t="s">
        <v>277</v>
      </c>
    </row>
    <row r="69" spans="1:102" ht="15.75" customHeight="1">
      <c r="A69" s="4" t="s">
        <v>278</v>
      </c>
      <c r="B69" s="4">
        <v>2010</v>
      </c>
      <c r="C69" s="4" t="s">
        <v>279</v>
      </c>
      <c r="D69" s="4" t="str">
        <f t="shared" si="0"/>
        <v>Schönberger S 2010</v>
      </c>
      <c r="E69" s="4" t="str">
        <f t="shared" si="79"/>
        <v>No</v>
      </c>
      <c r="BA69" s="5" t="str">
        <f t="shared" ref="BA69:BC69" si="158">IF(ISNUMBER(BQ69),BQ69,IF(AND(ISNUMBER($BJ69),ISNUMBER($BK69)),BI69,""))</f>
        <v/>
      </c>
      <c r="BB69" s="5" t="str">
        <f t="shared" si="158"/>
        <v/>
      </c>
      <c r="BC69" s="5" t="str">
        <f t="shared" si="158"/>
        <v/>
      </c>
      <c r="BD69" s="5" t="str">
        <f t="shared" ref="BD69:BF69" si="159">IF(ISNUMBER(BT69),BT69,IF(AND(ISNUMBER($BO69),ISNUMBER($BP69)),BN69,""))</f>
        <v/>
      </c>
      <c r="BE69" s="5" t="str">
        <f t="shared" si="159"/>
        <v/>
      </c>
      <c r="BF69" s="5" t="str">
        <f t="shared" si="159"/>
        <v/>
      </c>
      <c r="BI69" s="5"/>
      <c r="BJ69" s="5" t="str">
        <f t="shared" si="47"/>
        <v/>
      </c>
      <c r="BK69" s="5" t="str">
        <f t="shared" si="48"/>
        <v/>
      </c>
      <c r="BN69" s="5"/>
      <c r="BO69" s="5" t="str">
        <f t="shared" si="49"/>
        <v/>
      </c>
      <c r="BP69" s="5" t="str">
        <f t="shared" si="50"/>
        <v/>
      </c>
    </row>
    <row r="70" spans="1:102" ht="15.75" customHeight="1">
      <c r="A70" s="4" t="s">
        <v>280</v>
      </c>
      <c r="B70" s="4">
        <v>1995</v>
      </c>
      <c r="C70" s="4" t="s">
        <v>281</v>
      </c>
      <c r="D70" s="4" t="str">
        <f t="shared" si="0"/>
        <v>Secchiero P 1995</v>
      </c>
      <c r="E70" s="4" t="str">
        <f t="shared" si="79"/>
        <v>No</v>
      </c>
      <c r="BA70" s="5" t="str">
        <f t="shared" ref="BA70:BC70" si="160">IF(ISNUMBER(BQ70),BQ70,IF(AND(ISNUMBER($BJ70),ISNUMBER($BK70)),BI70,""))</f>
        <v/>
      </c>
      <c r="BB70" s="5" t="str">
        <f t="shared" si="160"/>
        <v/>
      </c>
      <c r="BC70" s="5" t="str">
        <f t="shared" si="160"/>
        <v/>
      </c>
      <c r="BD70" s="5" t="str">
        <f t="shared" ref="BD70:BF70" si="161">IF(ISNUMBER(BT70),BT70,IF(AND(ISNUMBER($BO70),ISNUMBER($BP70)),BN70,""))</f>
        <v/>
      </c>
      <c r="BE70" s="5" t="str">
        <f t="shared" si="161"/>
        <v/>
      </c>
      <c r="BF70" s="5" t="str">
        <f t="shared" si="161"/>
        <v/>
      </c>
      <c r="BI70" s="5"/>
      <c r="BJ70" s="5" t="str">
        <f t="shared" si="47"/>
        <v/>
      </c>
      <c r="BK70" s="5" t="str">
        <f t="shared" si="48"/>
        <v/>
      </c>
      <c r="BN70" s="5"/>
      <c r="BO70" s="5" t="str">
        <f t="shared" si="49"/>
        <v/>
      </c>
      <c r="BP70" s="5" t="str">
        <f t="shared" si="50"/>
        <v/>
      </c>
    </row>
    <row r="71" spans="1:102" ht="15.75" customHeight="1">
      <c r="A71" s="4" t="s">
        <v>282</v>
      </c>
      <c r="B71" s="4">
        <v>2021</v>
      </c>
      <c r="C71" s="4" t="s">
        <v>283</v>
      </c>
      <c r="D71" s="4" t="str">
        <f t="shared" si="0"/>
        <v>Silcock R 2021</v>
      </c>
      <c r="E71" s="4" t="str">
        <f t="shared" si="79"/>
        <v>No</v>
      </c>
      <c r="BA71" s="5" t="str">
        <f t="shared" ref="BA71:BC71" si="162">IF(ISNUMBER(BQ71),BQ71,IF(AND(ISNUMBER($BJ71),ISNUMBER($BK71)),BI71,""))</f>
        <v/>
      </c>
      <c r="BB71" s="5" t="str">
        <f t="shared" si="162"/>
        <v/>
      </c>
      <c r="BC71" s="5" t="str">
        <f t="shared" si="162"/>
        <v/>
      </c>
      <c r="BD71" s="5" t="str">
        <f t="shared" ref="BD71:BF71" si="163">IF(ISNUMBER(BT71),BT71,IF(AND(ISNUMBER($BO71),ISNUMBER($BP71)),BN71,""))</f>
        <v/>
      </c>
      <c r="BE71" s="5" t="str">
        <f t="shared" si="163"/>
        <v/>
      </c>
      <c r="BF71" s="5" t="str">
        <f t="shared" si="163"/>
        <v/>
      </c>
      <c r="BI71" s="5"/>
      <c r="BJ71" s="5" t="str">
        <f t="shared" si="47"/>
        <v/>
      </c>
      <c r="BK71" s="5" t="str">
        <f t="shared" si="48"/>
        <v/>
      </c>
      <c r="BN71" s="5"/>
      <c r="BO71" s="5" t="str">
        <f t="shared" si="49"/>
        <v/>
      </c>
      <c r="BP71" s="5" t="str">
        <f t="shared" si="50"/>
        <v/>
      </c>
    </row>
    <row r="72" spans="1:102" ht="15.75" customHeight="1">
      <c r="A72" s="4" t="s">
        <v>284</v>
      </c>
      <c r="B72" s="4">
        <v>2018</v>
      </c>
      <c r="C72" s="4" t="s">
        <v>285</v>
      </c>
      <c r="D72" s="4" t="str">
        <f t="shared" si="0"/>
        <v>Sisinni L 2018</v>
      </c>
      <c r="E72" s="4" t="str">
        <f t="shared" si="79"/>
        <v>No</v>
      </c>
      <c r="BA72" s="5" t="str">
        <f t="shared" ref="BA72:BC72" si="164">IF(ISNUMBER(BQ72),BQ72,IF(AND(ISNUMBER($BJ72),ISNUMBER($BK72)),BI72,""))</f>
        <v/>
      </c>
      <c r="BB72" s="5" t="str">
        <f t="shared" si="164"/>
        <v/>
      </c>
      <c r="BC72" s="5" t="str">
        <f t="shared" si="164"/>
        <v/>
      </c>
      <c r="BD72" s="5" t="str">
        <f t="shared" ref="BD72:BF72" si="165">IF(ISNUMBER(BT72),BT72,IF(AND(ISNUMBER($BO72),ISNUMBER($BP72)),BN72,""))</f>
        <v/>
      </c>
      <c r="BE72" s="5" t="str">
        <f t="shared" si="165"/>
        <v/>
      </c>
      <c r="BF72" s="5" t="str">
        <f t="shared" si="165"/>
        <v/>
      </c>
      <c r="BI72" s="5"/>
      <c r="BJ72" s="5" t="str">
        <f t="shared" si="47"/>
        <v/>
      </c>
      <c r="BK72" s="5" t="str">
        <f t="shared" si="48"/>
        <v/>
      </c>
      <c r="BN72" s="5"/>
      <c r="BO72" s="5" t="str">
        <f t="shared" si="49"/>
        <v/>
      </c>
      <c r="BP72" s="5" t="str">
        <f t="shared" si="50"/>
        <v/>
      </c>
    </row>
    <row r="73" spans="1:102" ht="15.75" customHeight="1">
      <c r="A73" s="4" t="s">
        <v>286</v>
      </c>
      <c r="B73" s="4">
        <v>2001</v>
      </c>
      <c r="C73" s="4" t="s">
        <v>287</v>
      </c>
      <c r="D73" s="4" t="str">
        <f t="shared" si="0"/>
        <v>Takatsuka H 2001</v>
      </c>
      <c r="E73" s="4" t="str">
        <f t="shared" si="79"/>
        <v>No</v>
      </c>
      <c r="BA73" s="5" t="str">
        <f t="shared" ref="BA73:BC73" si="166">IF(ISNUMBER(BQ73),BQ73,IF(AND(ISNUMBER($BJ73),ISNUMBER($BK73)),BI73,""))</f>
        <v/>
      </c>
      <c r="BB73" s="5" t="str">
        <f t="shared" si="166"/>
        <v/>
      </c>
      <c r="BC73" s="5" t="str">
        <f t="shared" si="166"/>
        <v/>
      </c>
      <c r="BD73" s="5" t="str">
        <f t="shared" ref="BD73:BF73" si="167">IF(ISNUMBER(BT73),BT73,IF(AND(ISNUMBER($BO73),ISNUMBER($BP73)),BN73,""))</f>
        <v/>
      </c>
      <c r="BE73" s="5" t="str">
        <f t="shared" si="167"/>
        <v/>
      </c>
      <c r="BF73" s="5" t="str">
        <f t="shared" si="167"/>
        <v/>
      </c>
      <c r="BI73" s="5"/>
      <c r="BJ73" s="5" t="str">
        <f t="shared" si="47"/>
        <v/>
      </c>
      <c r="BK73" s="5" t="str">
        <f t="shared" si="48"/>
        <v/>
      </c>
      <c r="BN73" s="5"/>
      <c r="BO73" s="5" t="str">
        <f t="shared" si="49"/>
        <v/>
      </c>
      <c r="BP73" s="5" t="str">
        <f t="shared" si="50"/>
        <v/>
      </c>
    </row>
    <row r="74" spans="1:102" ht="15.75" customHeight="1">
      <c r="A74" s="4" t="s">
        <v>288</v>
      </c>
      <c r="B74" s="4">
        <v>2020</v>
      </c>
      <c r="C74" s="4" t="s">
        <v>289</v>
      </c>
      <c r="D74" s="4" t="str">
        <f t="shared" si="0"/>
        <v>Tang FF 2020</v>
      </c>
      <c r="E74" s="4" t="str">
        <f t="shared" si="79"/>
        <v>No</v>
      </c>
      <c r="BA74" s="5" t="str">
        <f t="shared" ref="BA74:BC74" si="168">IF(ISNUMBER(BQ74),BQ74,IF(AND(ISNUMBER($BJ74),ISNUMBER($BK74)),BI74,""))</f>
        <v/>
      </c>
      <c r="BB74" s="5" t="str">
        <f t="shared" si="168"/>
        <v/>
      </c>
      <c r="BC74" s="5" t="str">
        <f t="shared" si="168"/>
        <v/>
      </c>
      <c r="BD74" s="5" t="str">
        <f t="shared" ref="BD74:BF74" si="169">IF(ISNUMBER(BT74),BT74,IF(AND(ISNUMBER($BO74),ISNUMBER($BP74)),BN74,""))</f>
        <v/>
      </c>
      <c r="BE74" s="5" t="str">
        <f t="shared" si="169"/>
        <v/>
      </c>
      <c r="BF74" s="5" t="str">
        <f t="shared" si="169"/>
        <v/>
      </c>
      <c r="BI74" s="5"/>
      <c r="BJ74" s="5" t="str">
        <f t="shared" si="47"/>
        <v/>
      </c>
      <c r="BK74" s="5" t="str">
        <f t="shared" si="48"/>
        <v/>
      </c>
      <c r="BN74" s="5"/>
      <c r="BO74" s="5" t="str">
        <f t="shared" si="49"/>
        <v/>
      </c>
      <c r="BP74" s="5" t="str">
        <f t="shared" si="50"/>
        <v/>
      </c>
    </row>
    <row r="75" spans="1:102" ht="15.75" customHeight="1">
      <c r="A75" s="4" t="s">
        <v>290</v>
      </c>
      <c r="B75" s="4">
        <v>2015</v>
      </c>
      <c r="C75" s="4" t="s">
        <v>291</v>
      </c>
      <c r="D75" s="4" t="str">
        <f t="shared" si="0"/>
        <v>Verhoeven DH 2015</v>
      </c>
      <c r="E75" s="4" t="str">
        <f t="shared" si="79"/>
        <v>No</v>
      </c>
      <c r="BA75" s="5" t="str">
        <f t="shared" ref="BA75:BC75" si="170">IF(ISNUMBER(BQ75),BQ75,IF(AND(ISNUMBER($BJ75),ISNUMBER($BK75)),BI75,""))</f>
        <v/>
      </c>
      <c r="BB75" s="5" t="str">
        <f t="shared" si="170"/>
        <v/>
      </c>
      <c r="BC75" s="5" t="str">
        <f t="shared" si="170"/>
        <v/>
      </c>
      <c r="BD75" s="5" t="str">
        <f t="shared" ref="BD75:BF75" si="171">IF(ISNUMBER(BT75),BT75,IF(AND(ISNUMBER($BO75),ISNUMBER($BP75)),BN75,""))</f>
        <v/>
      </c>
      <c r="BE75" s="5" t="str">
        <f t="shared" si="171"/>
        <v/>
      </c>
      <c r="BF75" s="5" t="str">
        <f t="shared" si="171"/>
        <v/>
      </c>
      <c r="BI75" s="5"/>
      <c r="BJ75" s="5" t="str">
        <f t="shared" si="47"/>
        <v/>
      </c>
      <c r="BK75" s="5" t="str">
        <f t="shared" si="48"/>
        <v/>
      </c>
      <c r="BN75" s="5"/>
      <c r="BO75" s="5" t="str">
        <f t="shared" si="49"/>
        <v/>
      </c>
      <c r="BP75" s="5" t="str">
        <f t="shared" si="50"/>
        <v/>
      </c>
    </row>
    <row r="76" spans="1:102" ht="15.75" customHeight="1">
      <c r="A76" s="4" t="s">
        <v>292</v>
      </c>
      <c r="B76" s="4">
        <v>2023</v>
      </c>
      <c r="C76" s="4" t="s">
        <v>293</v>
      </c>
      <c r="D76" s="4" t="str">
        <f t="shared" si="0"/>
        <v>Vittayawacharin P 2023</v>
      </c>
      <c r="E76" s="4" t="str">
        <f t="shared" si="79"/>
        <v>No</v>
      </c>
      <c r="BA76" s="5" t="str">
        <f t="shared" ref="BA76:BC76" si="172">IF(ISNUMBER(BQ76),BQ76,IF(AND(ISNUMBER($BJ76),ISNUMBER($BK76)),BI76,""))</f>
        <v/>
      </c>
      <c r="BB76" s="5" t="str">
        <f t="shared" si="172"/>
        <v/>
      </c>
      <c r="BC76" s="5" t="str">
        <f t="shared" si="172"/>
        <v/>
      </c>
      <c r="BD76" s="5" t="str">
        <f t="shared" ref="BD76:BF76" si="173">IF(ISNUMBER(BT76),BT76,IF(AND(ISNUMBER($BO76),ISNUMBER($BP76)),BN76,""))</f>
        <v/>
      </c>
      <c r="BE76" s="5" t="str">
        <f t="shared" si="173"/>
        <v/>
      </c>
      <c r="BF76" s="5" t="str">
        <f t="shared" si="173"/>
        <v/>
      </c>
      <c r="BI76" s="5"/>
      <c r="BJ76" s="5" t="str">
        <f t="shared" si="47"/>
        <v/>
      </c>
      <c r="BK76" s="5" t="str">
        <f t="shared" si="48"/>
        <v/>
      </c>
      <c r="BN76" s="5"/>
      <c r="BO76" s="5" t="str">
        <f t="shared" si="49"/>
        <v/>
      </c>
      <c r="BP76" s="5" t="str">
        <f t="shared" si="50"/>
        <v/>
      </c>
    </row>
    <row r="77" spans="1:102" ht="15.75" customHeight="1">
      <c r="A77" s="4" t="s">
        <v>294</v>
      </c>
      <c r="B77" s="4">
        <v>2004</v>
      </c>
      <c r="C77" s="4" t="s">
        <v>295</v>
      </c>
      <c r="D77" s="4" t="str">
        <f t="shared" si="0"/>
        <v>Volin L 2004</v>
      </c>
      <c r="E77" s="4" t="str">
        <f t="shared" si="79"/>
        <v>No</v>
      </c>
      <c r="BA77" s="5" t="str">
        <f t="shared" ref="BA77:BC77" si="174">IF(ISNUMBER(BQ77),BQ77,IF(AND(ISNUMBER($BJ77),ISNUMBER($BK77)),BI77,""))</f>
        <v/>
      </c>
      <c r="BB77" s="5" t="str">
        <f t="shared" si="174"/>
        <v/>
      </c>
      <c r="BC77" s="5" t="str">
        <f t="shared" si="174"/>
        <v/>
      </c>
      <c r="BD77" s="5" t="str">
        <f t="shared" ref="BD77:BF77" si="175">IF(ISNUMBER(BT77),BT77,IF(AND(ISNUMBER($BO77),ISNUMBER($BP77)),BN77,""))</f>
        <v/>
      </c>
      <c r="BE77" s="5" t="str">
        <f t="shared" si="175"/>
        <v/>
      </c>
      <c r="BF77" s="5" t="str">
        <f t="shared" si="175"/>
        <v/>
      </c>
      <c r="BI77" s="5"/>
      <c r="BJ77" s="5" t="str">
        <f t="shared" si="47"/>
        <v/>
      </c>
      <c r="BK77" s="5" t="str">
        <f t="shared" si="48"/>
        <v/>
      </c>
      <c r="BN77" s="5"/>
      <c r="BO77" s="5" t="str">
        <f t="shared" si="49"/>
        <v/>
      </c>
      <c r="BP77" s="5" t="str">
        <f t="shared" si="50"/>
        <v/>
      </c>
      <c r="BT77" s="13"/>
    </row>
    <row r="78" spans="1:102" ht="15.75" customHeight="1">
      <c r="A78" s="4" t="s">
        <v>296</v>
      </c>
      <c r="B78" s="4">
        <v>2007</v>
      </c>
      <c r="C78" s="4" t="s">
        <v>297</v>
      </c>
      <c r="D78" s="4" t="str">
        <f t="shared" si="0"/>
        <v>Vu T 2007</v>
      </c>
      <c r="E78" s="4" t="str">
        <f t="shared" si="79"/>
        <v>No</v>
      </c>
      <c r="BA78" s="5" t="str">
        <f t="shared" ref="BA78:BC78" si="176">IF(ISNUMBER(BQ78),BQ78,IF(AND(ISNUMBER($BJ78),ISNUMBER($BK78)),BI78,""))</f>
        <v/>
      </c>
      <c r="BB78" s="5" t="str">
        <f t="shared" si="176"/>
        <v/>
      </c>
      <c r="BC78" s="5" t="str">
        <f t="shared" si="176"/>
        <v/>
      </c>
      <c r="BD78" s="5" t="str">
        <f t="shared" ref="BD78:BF78" si="177">IF(ISNUMBER(BT78),BT78,IF(AND(ISNUMBER($BO78),ISNUMBER($BP78)),BN78,""))</f>
        <v/>
      </c>
      <c r="BE78" s="5" t="str">
        <f t="shared" si="177"/>
        <v/>
      </c>
      <c r="BF78" s="5" t="str">
        <f t="shared" si="177"/>
        <v/>
      </c>
      <c r="BI78" s="5"/>
      <c r="BJ78" s="5" t="str">
        <f t="shared" si="47"/>
        <v/>
      </c>
      <c r="BK78" s="5" t="str">
        <f t="shared" si="48"/>
        <v/>
      </c>
      <c r="BN78" s="5"/>
      <c r="BO78" s="5" t="str">
        <f t="shared" si="49"/>
        <v/>
      </c>
      <c r="BP78" s="5" t="str">
        <f t="shared" si="50"/>
        <v/>
      </c>
    </row>
    <row r="79" spans="1:102" ht="15.75" customHeight="1">
      <c r="A79" s="4" t="s">
        <v>175</v>
      </c>
      <c r="B79" s="4">
        <v>1999</v>
      </c>
      <c r="C79" s="4" t="s">
        <v>298</v>
      </c>
      <c r="D79" s="4" t="str">
        <f t="shared" si="0"/>
        <v>Wang FZ 1999</v>
      </c>
      <c r="E79" s="4" t="str">
        <f t="shared" si="79"/>
        <v>No</v>
      </c>
      <c r="BA79" s="5" t="str">
        <f t="shared" ref="BA79:BC79" si="178">IF(ISNUMBER(BQ79),BQ79,IF(AND(ISNUMBER($BJ79),ISNUMBER($BK79)),BI79,""))</f>
        <v/>
      </c>
      <c r="BB79" s="5" t="str">
        <f t="shared" si="178"/>
        <v/>
      </c>
      <c r="BC79" s="5" t="str">
        <f t="shared" si="178"/>
        <v/>
      </c>
      <c r="BD79" s="5" t="str">
        <f t="shared" ref="BD79:BF79" si="179">IF(ISNUMBER(BT79),BT79,IF(AND(ISNUMBER($BO79),ISNUMBER($BP79)),BN79,""))</f>
        <v/>
      </c>
      <c r="BE79" s="5" t="str">
        <f t="shared" si="179"/>
        <v/>
      </c>
      <c r="BF79" s="5" t="str">
        <f t="shared" si="179"/>
        <v/>
      </c>
      <c r="BI79" s="5"/>
      <c r="BJ79" s="5" t="str">
        <f t="shared" si="47"/>
        <v/>
      </c>
      <c r="BK79" s="5" t="str">
        <f t="shared" si="48"/>
        <v/>
      </c>
      <c r="BN79" s="5"/>
      <c r="BO79" s="5" t="str">
        <f t="shared" si="49"/>
        <v/>
      </c>
      <c r="BP79" s="5" t="str">
        <f t="shared" si="50"/>
        <v/>
      </c>
      <c r="CV79" s="4"/>
      <c r="CW79" s="4"/>
      <c r="CX79" s="4" t="s">
        <v>299</v>
      </c>
    </row>
    <row r="80" spans="1:102" ht="15.75" customHeight="1">
      <c r="A80" s="4" t="s">
        <v>300</v>
      </c>
      <c r="B80" s="4">
        <v>2018</v>
      </c>
      <c r="C80" s="4" t="s">
        <v>301</v>
      </c>
      <c r="D80" s="4" t="str">
        <f t="shared" si="0"/>
        <v>Winestone LE 2018</v>
      </c>
      <c r="E80" s="4" t="str">
        <f t="shared" si="79"/>
        <v>No</v>
      </c>
      <c r="BA80" s="5" t="str">
        <f t="shared" ref="BA80:BC80" si="180">IF(ISNUMBER(BQ80),BQ80,IF(AND(ISNUMBER($BJ80),ISNUMBER($BK80)),BI80,""))</f>
        <v/>
      </c>
      <c r="BB80" s="5" t="str">
        <f t="shared" si="180"/>
        <v/>
      </c>
      <c r="BC80" s="5" t="str">
        <f t="shared" si="180"/>
        <v/>
      </c>
      <c r="BD80" s="5" t="str">
        <f t="shared" ref="BD80:BF80" si="181">IF(ISNUMBER(BT80),BT80,IF(AND(ISNUMBER($BO80),ISNUMBER($BP80)),BN80,""))</f>
        <v/>
      </c>
      <c r="BE80" s="5" t="str">
        <f t="shared" si="181"/>
        <v/>
      </c>
      <c r="BF80" s="5" t="str">
        <f t="shared" si="181"/>
        <v/>
      </c>
      <c r="BI80" s="5"/>
      <c r="BJ80" s="5" t="str">
        <f t="shared" si="47"/>
        <v/>
      </c>
      <c r="BK80" s="5" t="str">
        <f t="shared" si="48"/>
        <v/>
      </c>
      <c r="BN80" s="5"/>
      <c r="BO80" s="5" t="str">
        <f t="shared" si="49"/>
        <v/>
      </c>
      <c r="BP80" s="5" t="str">
        <f t="shared" si="50"/>
        <v/>
      </c>
    </row>
    <row r="81" spans="1:66" ht="15.75" customHeight="1"/>
    <row r="82" spans="1:66" ht="15.75" customHeight="1">
      <c r="A82" s="4" t="s">
        <v>302</v>
      </c>
      <c r="B82" s="4" t="s">
        <v>302</v>
      </c>
      <c r="BN82" s="5"/>
    </row>
    <row r="83" spans="1:66" ht="15.75" customHeight="1">
      <c r="A83" s="4" t="s">
        <v>302</v>
      </c>
      <c r="B83" s="4" t="s">
        <v>302</v>
      </c>
      <c r="BN83" s="5"/>
    </row>
    <row r="84" spans="1:66" ht="15.75" customHeight="1">
      <c r="A84" s="4" t="s">
        <v>302</v>
      </c>
      <c r="B84" s="4" t="s">
        <v>302</v>
      </c>
      <c r="BN84" s="5"/>
    </row>
    <row r="85" spans="1:66" ht="15.75" customHeight="1">
      <c r="A85" s="4" t="s">
        <v>302</v>
      </c>
      <c r="B85" s="4" t="s">
        <v>302</v>
      </c>
      <c r="BN85" s="5"/>
    </row>
    <row r="86" spans="1:66" ht="15.75" customHeight="1">
      <c r="A86" s="4" t="s">
        <v>302</v>
      </c>
      <c r="B86" s="4" t="s">
        <v>302</v>
      </c>
      <c r="BN86" s="5"/>
    </row>
    <row r="87" spans="1:66" ht="15.75" customHeight="1">
      <c r="A87" s="4" t="s">
        <v>302</v>
      </c>
      <c r="B87" s="4" t="s">
        <v>302</v>
      </c>
      <c r="BN87" s="5"/>
    </row>
    <row r="88" spans="1:66" ht="15.75" customHeight="1">
      <c r="A88" s="4" t="s">
        <v>302</v>
      </c>
      <c r="B88" s="4" t="s">
        <v>302</v>
      </c>
      <c r="BN88" s="5"/>
    </row>
    <row r="89" spans="1:66" ht="15.75" customHeight="1">
      <c r="A89" s="4" t="s">
        <v>302</v>
      </c>
      <c r="B89" s="4" t="s">
        <v>302</v>
      </c>
      <c r="BN89" s="5"/>
    </row>
    <row r="90" spans="1:66" ht="15.75" customHeight="1">
      <c r="A90" s="4" t="s">
        <v>302</v>
      </c>
      <c r="B90" s="4" t="s">
        <v>302</v>
      </c>
      <c r="BN90" s="5"/>
    </row>
    <row r="91" spans="1:66" ht="15.75" customHeight="1">
      <c r="A91" s="4" t="s">
        <v>302</v>
      </c>
      <c r="B91" s="4" t="s">
        <v>302</v>
      </c>
      <c r="BN91" s="5"/>
    </row>
    <row r="92" spans="1:66" ht="15.75" customHeight="1">
      <c r="A92" s="4" t="s">
        <v>302</v>
      </c>
      <c r="B92" s="4" t="s">
        <v>302</v>
      </c>
      <c r="BN92" s="5"/>
    </row>
    <row r="93" spans="1:66" ht="15.75" customHeight="1">
      <c r="A93" s="4" t="s">
        <v>302</v>
      </c>
      <c r="B93" s="4" t="s">
        <v>302</v>
      </c>
      <c r="BN93" s="5"/>
    </row>
    <row r="94" spans="1:66" ht="15.75" customHeight="1">
      <c r="A94" s="4" t="s">
        <v>302</v>
      </c>
      <c r="B94" s="4" t="s">
        <v>302</v>
      </c>
      <c r="BN94" s="5"/>
    </row>
    <row r="95" spans="1:66" ht="15.75" customHeight="1">
      <c r="A95" s="4" t="s">
        <v>302</v>
      </c>
      <c r="B95" s="4" t="s">
        <v>302</v>
      </c>
      <c r="BN95" s="5"/>
    </row>
    <row r="96" spans="1:66" ht="15.75" customHeight="1">
      <c r="A96" s="4" t="s">
        <v>302</v>
      </c>
      <c r="B96" s="4" t="s">
        <v>302</v>
      </c>
      <c r="BN96" s="5"/>
    </row>
    <row r="97" spans="1:66" ht="15.75" customHeight="1">
      <c r="A97" s="4" t="s">
        <v>302</v>
      </c>
      <c r="B97" s="4" t="s">
        <v>302</v>
      </c>
      <c r="BN97" s="5"/>
    </row>
    <row r="98" spans="1:66" ht="15.75" customHeight="1">
      <c r="A98" s="4" t="s">
        <v>302</v>
      </c>
      <c r="B98" s="4" t="s">
        <v>302</v>
      </c>
      <c r="BN98" s="5"/>
    </row>
    <row r="99" spans="1:66" ht="15.75" customHeight="1">
      <c r="A99" s="4" t="s">
        <v>302</v>
      </c>
      <c r="B99" s="4" t="s">
        <v>302</v>
      </c>
      <c r="BN99" s="5"/>
    </row>
    <row r="100" spans="1:66" ht="15.75" customHeight="1">
      <c r="A100" s="4" t="s">
        <v>302</v>
      </c>
      <c r="B100" s="4" t="s">
        <v>302</v>
      </c>
      <c r="BN100" s="5"/>
    </row>
    <row r="101" spans="1:66" ht="15.75" customHeight="1">
      <c r="A101" s="4" t="s">
        <v>302</v>
      </c>
      <c r="B101" s="4" t="s">
        <v>302</v>
      </c>
      <c r="BN101" s="5"/>
    </row>
    <row r="102" spans="1:66" ht="15.75" customHeight="1">
      <c r="A102" s="4" t="s">
        <v>302</v>
      </c>
      <c r="B102" s="4" t="s">
        <v>302</v>
      </c>
      <c r="BN102" s="5"/>
    </row>
    <row r="103" spans="1:66" ht="15.75" customHeight="1">
      <c r="A103" s="4" t="s">
        <v>302</v>
      </c>
      <c r="B103" s="4" t="s">
        <v>302</v>
      </c>
      <c r="BN103" s="5"/>
    </row>
    <row r="104" spans="1:66" ht="15.75" customHeight="1">
      <c r="A104" s="4" t="s">
        <v>302</v>
      </c>
      <c r="B104" s="4" t="s">
        <v>302</v>
      </c>
      <c r="BN104" s="5"/>
    </row>
    <row r="105" spans="1:66" ht="15.75" customHeight="1">
      <c r="A105" s="4" t="s">
        <v>302</v>
      </c>
      <c r="B105" s="4" t="s">
        <v>302</v>
      </c>
      <c r="BN105" s="5"/>
    </row>
    <row r="106" spans="1:66" ht="15.75" customHeight="1">
      <c r="A106" s="4" t="s">
        <v>302</v>
      </c>
      <c r="B106" s="4" t="s">
        <v>302</v>
      </c>
      <c r="BN106" s="5"/>
    </row>
    <row r="107" spans="1:66" ht="15.75" customHeight="1">
      <c r="A107" s="4" t="s">
        <v>302</v>
      </c>
      <c r="B107" s="4" t="s">
        <v>302</v>
      </c>
      <c r="BN107" s="5"/>
    </row>
    <row r="108" spans="1:66" ht="15.75" customHeight="1">
      <c r="A108" s="4" t="s">
        <v>302</v>
      </c>
      <c r="B108" s="4" t="s">
        <v>302</v>
      </c>
      <c r="BN108" s="5"/>
    </row>
    <row r="109" spans="1:66" ht="15.75" customHeight="1">
      <c r="A109" s="4" t="s">
        <v>302</v>
      </c>
      <c r="B109" s="4" t="s">
        <v>302</v>
      </c>
      <c r="BN109" s="5"/>
    </row>
    <row r="110" spans="1:66" ht="15.75" customHeight="1">
      <c r="A110" s="4" t="s">
        <v>302</v>
      </c>
      <c r="B110" s="4" t="s">
        <v>302</v>
      </c>
      <c r="BN110" s="5"/>
    </row>
    <row r="111" spans="1:66" ht="15.75" customHeight="1">
      <c r="A111" s="4" t="s">
        <v>302</v>
      </c>
      <c r="B111" s="4" t="s">
        <v>302</v>
      </c>
      <c r="BN111" s="5"/>
    </row>
    <row r="112" spans="1:66" ht="15.75" customHeight="1">
      <c r="A112" s="4" t="s">
        <v>302</v>
      </c>
      <c r="B112" s="4" t="s">
        <v>302</v>
      </c>
      <c r="BN112" s="5"/>
    </row>
    <row r="113" spans="1:66" ht="15.75" customHeight="1">
      <c r="A113" s="4" t="s">
        <v>302</v>
      </c>
      <c r="B113" s="4" t="s">
        <v>302</v>
      </c>
      <c r="BN113" s="5"/>
    </row>
    <row r="114" spans="1:66" ht="15.75" customHeight="1">
      <c r="A114" s="4" t="s">
        <v>302</v>
      </c>
      <c r="B114" s="4" t="s">
        <v>302</v>
      </c>
      <c r="BN114" s="5"/>
    </row>
    <row r="115" spans="1:66" ht="15.75" customHeight="1">
      <c r="A115" s="4" t="s">
        <v>302</v>
      </c>
      <c r="B115" s="4" t="s">
        <v>302</v>
      </c>
      <c r="BN115" s="5"/>
    </row>
    <row r="116" spans="1:66" ht="15.75" customHeight="1">
      <c r="A116" s="4" t="s">
        <v>302</v>
      </c>
      <c r="B116" s="4" t="s">
        <v>302</v>
      </c>
      <c r="BN116" s="5"/>
    </row>
    <row r="117" spans="1:66" ht="15.75" customHeight="1">
      <c r="A117" s="4" t="s">
        <v>302</v>
      </c>
      <c r="B117" s="4" t="s">
        <v>302</v>
      </c>
      <c r="BN117" s="5"/>
    </row>
    <row r="118" spans="1:66" ht="15.75" customHeight="1">
      <c r="A118" s="4" t="s">
        <v>302</v>
      </c>
      <c r="B118" s="4" t="s">
        <v>302</v>
      </c>
      <c r="BN118" s="5"/>
    </row>
    <row r="119" spans="1:66" ht="15.75" customHeight="1">
      <c r="A119" s="4" t="s">
        <v>302</v>
      </c>
      <c r="B119" s="4" t="s">
        <v>302</v>
      </c>
      <c r="BN119" s="5"/>
    </row>
    <row r="120" spans="1:66" ht="15.75" customHeight="1">
      <c r="A120" s="4" t="s">
        <v>302</v>
      </c>
      <c r="B120" s="4" t="s">
        <v>302</v>
      </c>
      <c r="BN120" s="5"/>
    </row>
    <row r="121" spans="1:66" ht="15.75" customHeight="1">
      <c r="A121" s="4" t="s">
        <v>302</v>
      </c>
      <c r="B121" s="4" t="s">
        <v>302</v>
      </c>
      <c r="BN121" s="5"/>
    </row>
    <row r="122" spans="1:66" ht="15.75" customHeight="1">
      <c r="A122" s="4" t="s">
        <v>302</v>
      </c>
      <c r="B122" s="4" t="s">
        <v>302</v>
      </c>
      <c r="BN122" s="5"/>
    </row>
    <row r="123" spans="1:66" ht="15.75" customHeight="1">
      <c r="A123" s="4" t="s">
        <v>302</v>
      </c>
      <c r="B123" s="4" t="s">
        <v>302</v>
      </c>
      <c r="BN123" s="5"/>
    </row>
    <row r="124" spans="1:66" ht="15.75" customHeight="1">
      <c r="A124" s="4" t="s">
        <v>302</v>
      </c>
      <c r="B124" s="4" t="s">
        <v>302</v>
      </c>
      <c r="BN124" s="5"/>
    </row>
    <row r="125" spans="1:66" ht="15.75" customHeight="1">
      <c r="A125" s="4" t="s">
        <v>302</v>
      </c>
      <c r="B125" s="4" t="s">
        <v>302</v>
      </c>
      <c r="BN125" s="5"/>
    </row>
    <row r="126" spans="1:66" ht="15.75" customHeight="1">
      <c r="A126" s="4" t="s">
        <v>302</v>
      </c>
      <c r="B126" s="4" t="s">
        <v>302</v>
      </c>
      <c r="BN126" s="5"/>
    </row>
    <row r="127" spans="1:66" ht="15.75" customHeight="1">
      <c r="A127" s="4" t="s">
        <v>302</v>
      </c>
      <c r="B127" s="4" t="s">
        <v>302</v>
      </c>
      <c r="BN127" s="5"/>
    </row>
    <row r="128" spans="1:66" ht="15.75" customHeight="1">
      <c r="A128" s="4" t="s">
        <v>302</v>
      </c>
      <c r="B128" s="4" t="s">
        <v>302</v>
      </c>
      <c r="BN128" s="5"/>
    </row>
    <row r="129" spans="1:66" ht="15.75" customHeight="1">
      <c r="A129" s="4" t="s">
        <v>302</v>
      </c>
      <c r="B129" s="4" t="s">
        <v>302</v>
      </c>
      <c r="BN129" s="5"/>
    </row>
    <row r="130" spans="1:66" ht="15.75" customHeight="1">
      <c r="A130" s="4" t="s">
        <v>302</v>
      </c>
      <c r="B130" s="4" t="s">
        <v>302</v>
      </c>
      <c r="BN130" s="5"/>
    </row>
    <row r="131" spans="1:66" ht="15.75" customHeight="1">
      <c r="A131" s="4" t="s">
        <v>302</v>
      </c>
      <c r="B131" s="4" t="s">
        <v>302</v>
      </c>
      <c r="BN131" s="5"/>
    </row>
    <row r="132" spans="1:66" ht="15.75" customHeight="1">
      <c r="A132" s="4" t="s">
        <v>302</v>
      </c>
      <c r="B132" s="4" t="s">
        <v>302</v>
      </c>
      <c r="BN132" s="5"/>
    </row>
    <row r="133" spans="1:66" ht="15.75" customHeight="1">
      <c r="A133" s="4" t="s">
        <v>302</v>
      </c>
      <c r="B133" s="4" t="s">
        <v>302</v>
      </c>
      <c r="BN133" s="5"/>
    </row>
    <row r="134" spans="1:66" ht="15.75" customHeight="1">
      <c r="A134" s="4" t="s">
        <v>302</v>
      </c>
      <c r="B134" s="4" t="s">
        <v>302</v>
      </c>
      <c r="BN134" s="5"/>
    </row>
    <row r="135" spans="1:66" ht="15.75" customHeight="1">
      <c r="A135" s="4" t="s">
        <v>302</v>
      </c>
      <c r="B135" s="4" t="s">
        <v>302</v>
      </c>
      <c r="BN135" s="5"/>
    </row>
    <row r="136" spans="1:66" ht="15.75" customHeight="1">
      <c r="A136" s="4" t="s">
        <v>302</v>
      </c>
      <c r="B136" s="4" t="s">
        <v>302</v>
      </c>
      <c r="BN136" s="5"/>
    </row>
    <row r="137" spans="1:66" ht="15.75" customHeight="1">
      <c r="A137" s="4" t="s">
        <v>302</v>
      </c>
      <c r="B137" s="4" t="s">
        <v>302</v>
      </c>
      <c r="BN137" s="5"/>
    </row>
    <row r="138" spans="1:66" ht="15.75" customHeight="1">
      <c r="A138" s="4" t="s">
        <v>302</v>
      </c>
      <c r="B138" s="4" t="s">
        <v>302</v>
      </c>
      <c r="BN138" s="5"/>
    </row>
    <row r="139" spans="1:66" ht="15.75" customHeight="1">
      <c r="A139" s="4" t="s">
        <v>302</v>
      </c>
      <c r="B139" s="4" t="s">
        <v>302</v>
      </c>
      <c r="BN139" s="5"/>
    </row>
    <row r="140" spans="1:66" ht="15.75" customHeight="1">
      <c r="A140" s="4" t="s">
        <v>302</v>
      </c>
      <c r="B140" s="4" t="s">
        <v>302</v>
      </c>
      <c r="BN140" s="5"/>
    </row>
    <row r="141" spans="1:66" ht="15.75" customHeight="1">
      <c r="A141" s="4" t="s">
        <v>302</v>
      </c>
      <c r="B141" s="4" t="s">
        <v>302</v>
      </c>
      <c r="BN141" s="5"/>
    </row>
    <row r="142" spans="1:66" ht="15.75" customHeight="1">
      <c r="A142" s="4" t="s">
        <v>302</v>
      </c>
      <c r="B142" s="4" t="s">
        <v>302</v>
      </c>
      <c r="BN142" s="5"/>
    </row>
    <row r="143" spans="1:66" ht="15.75" customHeight="1">
      <c r="A143" s="4" t="s">
        <v>302</v>
      </c>
      <c r="B143" s="4" t="s">
        <v>302</v>
      </c>
      <c r="BN143" s="5"/>
    </row>
    <row r="144" spans="1:66" ht="15.75" customHeight="1">
      <c r="A144" s="4" t="s">
        <v>302</v>
      </c>
      <c r="B144" s="4" t="s">
        <v>302</v>
      </c>
      <c r="BN144" s="5"/>
    </row>
    <row r="145" spans="1:66" ht="15.75" customHeight="1">
      <c r="A145" s="4" t="s">
        <v>302</v>
      </c>
      <c r="B145" s="4" t="s">
        <v>302</v>
      </c>
      <c r="BN145" s="5"/>
    </row>
    <row r="146" spans="1:66" ht="15.75" customHeight="1">
      <c r="A146" s="4" t="s">
        <v>302</v>
      </c>
      <c r="B146" s="4" t="s">
        <v>302</v>
      </c>
      <c r="BN146" s="5"/>
    </row>
    <row r="147" spans="1:66" ht="15.75" customHeight="1">
      <c r="A147" s="4" t="s">
        <v>302</v>
      </c>
      <c r="B147" s="4" t="s">
        <v>302</v>
      </c>
      <c r="BN147" s="5"/>
    </row>
    <row r="148" spans="1:66" ht="15.75" customHeight="1">
      <c r="A148" s="4" t="s">
        <v>302</v>
      </c>
      <c r="B148" s="4" t="s">
        <v>302</v>
      </c>
      <c r="BN148" s="5"/>
    </row>
    <row r="149" spans="1:66" ht="15.75" customHeight="1">
      <c r="A149" s="4" t="s">
        <v>302</v>
      </c>
      <c r="B149" s="4" t="s">
        <v>302</v>
      </c>
      <c r="BN149" s="5"/>
    </row>
    <row r="150" spans="1:66" ht="15.75" customHeight="1">
      <c r="A150" s="4" t="s">
        <v>302</v>
      </c>
      <c r="B150" s="4" t="s">
        <v>302</v>
      </c>
      <c r="BN150" s="5"/>
    </row>
    <row r="151" spans="1:66" ht="15.75" customHeight="1">
      <c r="A151" s="4" t="s">
        <v>302</v>
      </c>
      <c r="B151" s="4" t="s">
        <v>302</v>
      </c>
      <c r="BN151" s="5"/>
    </row>
    <row r="152" spans="1:66" ht="15.75" customHeight="1">
      <c r="A152" s="4" t="s">
        <v>302</v>
      </c>
      <c r="B152" s="4" t="s">
        <v>302</v>
      </c>
      <c r="BN152" s="5"/>
    </row>
    <row r="153" spans="1:66" ht="15.75" customHeight="1">
      <c r="A153" s="4" t="s">
        <v>302</v>
      </c>
      <c r="B153" s="4" t="s">
        <v>302</v>
      </c>
      <c r="BN153" s="5"/>
    </row>
    <row r="154" spans="1:66" ht="15.75" customHeight="1">
      <c r="A154" s="4" t="s">
        <v>302</v>
      </c>
      <c r="B154" s="4" t="s">
        <v>302</v>
      </c>
      <c r="BN154" s="5"/>
    </row>
    <row r="155" spans="1:66" ht="15.75" customHeight="1">
      <c r="A155" s="4" t="s">
        <v>302</v>
      </c>
      <c r="B155" s="4" t="s">
        <v>302</v>
      </c>
      <c r="BN155" s="5"/>
    </row>
    <row r="156" spans="1:66" ht="15.75" customHeight="1">
      <c r="A156" s="4" t="s">
        <v>302</v>
      </c>
      <c r="B156" s="4" t="s">
        <v>302</v>
      </c>
      <c r="BN156" s="5"/>
    </row>
    <row r="157" spans="1:66" ht="15.75" customHeight="1">
      <c r="A157" s="4" t="s">
        <v>302</v>
      </c>
      <c r="B157" s="4" t="s">
        <v>302</v>
      </c>
      <c r="BN157" s="5"/>
    </row>
    <row r="158" spans="1:66" ht="15.75" customHeight="1">
      <c r="A158" s="4" t="s">
        <v>302</v>
      </c>
      <c r="B158" s="4" t="s">
        <v>302</v>
      </c>
      <c r="BN158" s="5"/>
    </row>
    <row r="159" spans="1:66" ht="15.75" customHeight="1">
      <c r="A159" s="4" t="s">
        <v>302</v>
      </c>
      <c r="B159" s="4" t="s">
        <v>302</v>
      </c>
      <c r="BN159" s="5"/>
    </row>
    <row r="160" spans="1:66" ht="15.75" customHeight="1">
      <c r="A160" s="4" t="s">
        <v>302</v>
      </c>
      <c r="B160" s="4" t="s">
        <v>302</v>
      </c>
      <c r="BN160" s="5"/>
    </row>
    <row r="161" spans="1:66" ht="15.75" customHeight="1">
      <c r="A161" s="4" t="s">
        <v>302</v>
      </c>
      <c r="B161" s="4" t="s">
        <v>302</v>
      </c>
      <c r="BN161" s="5"/>
    </row>
    <row r="162" spans="1:66" ht="15.75" customHeight="1">
      <c r="A162" s="4" t="s">
        <v>302</v>
      </c>
      <c r="B162" s="4" t="s">
        <v>302</v>
      </c>
      <c r="BN162" s="5"/>
    </row>
    <row r="163" spans="1:66" ht="15.75" customHeight="1">
      <c r="A163" s="4" t="s">
        <v>302</v>
      </c>
      <c r="B163" s="4" t="s">
        <v>302</v>
      </c>
      <c r="BN163" s="5"/>
    </row>
    <row r="164" spans="1:66" ht="15.75" customHeight="1">
      <c r="A164" s="4" t="s">
        <v>302</v>
      </c>
      <c r="B164" s="4" t="s">
        <v>302</v>
      </c>
      <c r="BN164" s="5"/>
    </row>
    <row r="165" spans="1:66" ht="15.75" customHeight="1">
      <c r="A165" s="4" t="s">
        <v>302</v>
      </c>
      <c r="B165" s="4" t="s">
        <v>302</v>
      </c>
      <c r="BN165" s="5"/>
    </row>
    <row r="166" spans="1:66" ht="15.75" customHeight="1">
      <c r="A166" s="4" t="s">
        <v>302</v>
      </c>
      <c r="B166" s="4" t="s">
        <v>302</v>
      </c>
      <c r="BN166" s="5"/>
    </row>
    <row r="167" spans="1:66" ht="15.75" customHeight="1">
      <c r="A167" s="4" t="s">
        <v>302</v>
      </c>
      <c r="B167" s="4" t="s">
        <v>302</v>
      </c>
      <c r="BN167" s="5"/>
    </row>
    <row r="168" spans="1:66" ht="15.75" customHeight="1">
      <c r="A168" s="4" t="s">
        <v>302</v>
      </c>
      <c r="B168" s="4" t="s">
        <v>302</v>
      </c>
      <c r="BN168" s="5"/>
    </row>
    <row r="169" spans="1:66" ht="15.75" customHeight="1">
      <c r="A169" s="4" t="s">
        <v>302</v>
      </c>
      <c r="B169" s="4" t="s">
        <v>302</v>
      </c>
      <c r="BN169" s="5"/>
    </row>
    <row r="170" spans="1:66" ht="15.75" customHeight="1">
      <c r="A170" s="4" t="s">
        <v>302</v>
      </c>
      <c r="B170" s="4" t="s">
        <v>302</v>
      </c>
      <c r="BN170" s="5"/>
    </row>
    <row r="171" spans="1:66" ht="15.75" customHeight="1">
      <c r="A171" s="4" t="s">
        <v>302</v>
      </c>
      <c r="B171" s="4" t="s">
        <v>302</v>
      </c>
      <c r="BN171" s="5"/>
    </row>
    <row r="172" spans="1:66" ht="15.75" customHeight="1">
      <c r="A172" s="4" t="s">
        <v>302</v>
      </c>
      <c r="B172" s="4" t="s">
        <v>302</v>
      </c>
      <c r="BN172" s="5"/>
    </row>
    <row r="173" spans="1:66" ht="15.75" customHeight="1">
      <c r="A173" s="4" t="s">
        <v>302</v>
      </c>
      <c r="B173" s="4" t="s">
        <v>302</v>
      </c>
      <c r="BN173" s="5"/>
    </row>
    <row r="174" spans="1:66" ht="15.75" customHeight="1">
      <c r="A174" s="4" t="s">
        <v>302</v>
      </c>
      <c r="B174" s="4" t="s">
        <v>302</v>
      </c>
      <c r="BN174" s="5"/>
    </row>
    <row r="175" spans="1:66" ht="15.75" customHeight="1">
      <c r="A175" s="4" t="s">
        <v>302</v>
      </c>
      <c r="B175" s="4" t="s">
        <v>302</v>
      </c>
      <c r="BN175" s="5"/>
    </row>
    <row r="176" spans="1:66" ht="15.75" customHeight="1">
      <c r="A176" s="4" t="s">
        <v>302</v>
      </c>
      <c r="B176" s="4" t="s">
        <v>302</v>
      </c>
      <c r="BN176" s="5"/>
    </row>
    <row r="177" spans="1:66" ht="15.75" customHeight="1">
      <c r="A177" s="4" t="s">
        <v>302</v>
      </c>
      <c r="B177" s="4" t="s">
        <v>302</v>
      </c>
      <c r="BN177" s="5"/>
    </row>
    <row r="178" spans="1:66" ht="15.75" customHeight="1">
      <c r="A178" s="4" t="s">
        <v>302</v>
      </c>
      <c r="B178" s="4" t="s">
        <v>302</v>
      </c>
      <c r="BN178" s="5"/>
    </row>
    <row r="179" spans="1:66" ht="15.75" customHeight="1">
      <c r="A179" s="4" t="s">
        <v>302</v>
      </c>
      <c r="B179" s="4" t="s">
        <v>302</v>
      </c>
      <c r="BN179" s="5"/>
    </row>
    <row r="180" spans="1:66" ht="15.75" customHeight="1">
      <c r="A180" s="4" t="s">
        <v>302</v>
      </c>
      <c r="B180" s="4" t="s">
        <v>302</v>
      </c>
      <c r="BN180" s="5"/>
    </row>
    <row r="181" spans="1:66" ht="15.75" customHeight="1">
      <c r="A181" s="4" t="s">
        <v>302</v>
      </c>
      <c r="B181" s="4" t="s">
        <v>302</v>
      </c>
      <c r="BN181" s="5"/>
    </row>
    <row r="182" spans="1:66" ht="15.75" customHeight="1">
      <c r="A182" s="4" t="s">
        <v>302</v>
      </c>
      <c r="B182" s="4" t="s">
        <v>302</v>
      </c>
      <c r="BN182" s="5"/>
    </row>
    <row r="183" spans="1:66" ht="15.75" customHeight="1">
      <c r="A183" s="4" t="s">
        <v>302</v>
      </c>
      <c r="B183" s="4" t="s">
        <v>302</v>
      </c>
      <c r="BN183" s="5"/>
    </row>
    <row r="184" spans="1:66" ht="15.75" customHeight="1">
      <c r="A184" s="4" t="s">
        <v>302</v>
      </c>
      <c r="B184" s="4" t="s">
        <v>302</v>
      </c>
      <c r="BN184" s="5"/>
    </row>
    <row r="185" spans="1:66" ht="15.75" customHeight="1">
      <c r="A185" s="4" t="s">
        <v>302</v>
      </c>
      <c r="B185" s="4" t="s">
        <v>302</v>
      </c>
      <c r="BN185" s="5"/>
    </row>
    <row r="186" spans="1:66" ht="15.75" customHeight="1">
      <c r="A186" s="4" t="s">
        <v>302</v>
      </c>
      <c r="B186" s="4" t="s">
        <v>302</v>
      </c>
      <c r="BN186" s="5"/>
    </row>
    <row r="187" spans="1:66" ht="15.75" customHeight="1">
      <c r="A187" s="4" t="s">
        <v>302</v>
      </c>
      <c r="B187" s="4" t="s">
        <v>302</v>
      </c>
      <c r="BN187" s="5"/>
    </row>
    <row r="188" spans="1:66" ht="15.75" customHeight="1">
      <c r="A188" s="4" t="s">
        <v>302</v>
      </c>
      <c r="B188" s="4" t="s">
        <v>302</v>
      </c>
      <c r="BN188" s="5"/>
    </row>
    <row r="189" spans="1:66" ht="15.75" customHeight="1">
      <c r="A189" s="4" t="s">
        <v>302</v>
      </c>
      <c r="B189" s="4" t="s">
        <v>302</v>
      </c>
      <c r="BN189" s="5"/>
    </row>
    <row r="190" spans="1:66" ht="15.75" customHeight="1">
      <c r="A190" s="4" t="s">
        <v>302</v>
      </c>
      <c r="B190" s="4" t="s">
        <v>302</v>
      </c>
      <c r="BN190" s="5"/>
    </row>
    <row r="191" spans="1:66" ht="15.75" customHeight="1">
      <c r="A191" s="4" t="s">
        <v>302</v>
      </c>
      <c r="B191" s="4" t="s">
        <v>302</v>
      </c>
      <c r="BN191" s="5"/>
    </row>
    <row r="192" spans="1:66" ht="15.75" customHeight="1">
      <c r="A192" s="4" t="s">
        <v>302</v>
      </c>
      <c r="B192" s="4" t="s">
        <v>302</v>
      </c>
      <c r="BN192" s="5"/>
    </row>
    <row r="193" spans="1:66" ht="15.75" customHeight="1">
      <c r="A193" s="4" t="s">
        <v>302</v>
      </c>
      <c r="B193" s="4" t="s">
        <v>302</v>
      </c>
      <c r="BN193" s="5"/>
    </row>
    <row r="194" spans="1:66" ht="15.75" customHeight="1">
      <c r="A194" s="4" t="s">
        <v>302</v>
      </c>
      <c r="B194" s="4" t="s">
        <v>302</v>
      </c>
      <c r="BN194" s="5"/>
    </row>
    <row r="195" spans="1:66" ht="15.75" customHeight="1">
      <c r="A195" s="4" t="s">
        <v>302</v>
      </c>
      <c r="B195" s="4" t="s">
        <v>302</v>
      </c>
      <c r="BN195" s="5"/>
    </row>
    <row r="196" spans="1:66" ht="15.75" customHeight="1">
      <c r="A196" s="4" t="s">
        <v>302</v>
      </c>
      <c r="B196" s="4" t="s">
        <v>302</v>
      </c>
      <c r="BN196" s="5"/>
    </row>
    <row r="197" spans="1:66" ht="15.75" customHeight="1">
      <c r="A197" s="4" t="s">
        <v>302</v>
      </c>
      <c r="B197" s="4" t="s">
        <v>302</v>
      </c>
      <c r="BN197" s="5"/>
    </row>
    <row r="198" spans="1:66" ht="15.75" customHeight="1">
      <c r="A198" s="4" t="s">
        <v>302</v>
      </c>
      <c r="B198" s="4" t="s">
        <v>302</v>
      </c>
      <c r="BN198" s="5"/>
    </row>
    <row r="199" spans="1:66" ht="15.75" customHeight="1">
      <c r="A199" s="4" t="s">
        <v>302</v>
      </c>
      <c r="B199" s="4" t="s">
        <v>302</v>
      </c>
      <c r="BN199" s="5"/>
    </row>
    <row r="200" spans="1:66" ht="15.75" customHeight="1">
      <c r="A200" s="4" t="s">
        <v>302</v>
      </c>
      <c r="B200" s="4" t="s">
        <v>302</v>
      </c>
      <c r="BN200" s="5"/>
    </row>
    <row r="201" spans="1:66" ht="15.75" customHeight="1">
      <c r="A201" s="4" t="s">
        <v>302</v>
      </c>
      <c r="B201" s="4" t="s">
        <v>302</v>
      </c>
      <c r="BN201" s="5"/>
    </row>
    <row r="202" spans="1:66" ht="15.75" customHeight="1">
      <c r="A202" s="4" t="s">
        <v>302</v>
      </c>
      <c r="B202" s="4" t="s">
        <v>302</v>
      </c>
      <c r="BN202" s="5"/>
    </row>
    <row r="203" spans="1:66" ht="15.75" customHeight="1">
      <c r="A203" s="4" t="s">
        <v>302</v>
      </c>
      <c r="B203" s="4" t="s">
        <v>302</v>
      </c>
      <c r="BN203" s="5"/>
    </row>
    <row r="204" spans="1:66" ht="15.75" customHeight="1">
      <c r="A204" s="4" t="s">
        <v>302</v>
      </c>
      <c r="B204" s="4" t="s">
        <v>302</v>
      </c>
      <c r="BN204" s="5"/>
    </row>
    <row r="205" spans="1:66" ht="15.75" customHeight="1">
      <c r="A205" s="4" t="s">
        <v>302</v>
      </c>
      <c r="B205" s="4" t="s">
        <v>302</v>
      </c>
      <c r="BN205" s="5"/>
    </row>
    <row r="206" spans="1:66" ht="15.75" customHeight="1">
      <c r="A206" s="4" t="s">
        <v>302</v>
      </c>
      <c r="B206" s="4" t="s">
        <v>302</v>
      </c>
      <c r="BN206" s="5"/>
    </row>
    <row r="207" spans="1:66" ht="15.75" customHeight="1">
      <c r="A207" s="4" t="s">
        <v>302</v>
      </c>
      <c r="B207" s="4" t="s">
        <v>302</v>
      </c>
      <c r="BN207" s="5"/>
    </row>
    <row r="208" spans="1:66" ht="15.75" customHeight="1">
      <c r="A208" s="4" t="s">
        <v>302</v>
      </c>
      <c r="B208" s="4" t="s">
        <v>302</v>
      </c>
      <c r="BN208" s="5"/>
    </row>
    <row r="209" spans="1:66" ht="15.75" customHeight="1">
      <c r="A209" s="4" t="s">
        <v>302</v>
      </c>
      <c r="B209" s="4" t="s">
        <v>302</v>
      </c>
      <c r="BN209" s="5"/>
    </row>
    <row r="210" spans="1:66" ht="15.75" customHeight="1">
      <c r="A210" s="4" t="s">
        <v>302</v>
      </c>
      <c r="B210" s="4" t="s">
        <v>302</v>
      </c>
      <c r="BN210" s="5"/>
    </row>
    <row r="211" spans="1:66" ht="15.75" customHeight="1">
      <c r="A211" s="4" t="s">
        <v>302</v>
      </c>
      <c r="B211" s="4" t="s">
        <v>302</v>
      </c>
      <c r="BN211" s="5"/>
    </row>
    <row r="212" spans="1:66" ht="15.75" customHeight="1">
      <c r="A212" s="4" t="s">
        <v>302</v>
      </c>
      <c r="B212" s="4" t="s">
        <v>302</v>
      </c>
      <c r="BN212" s="5"/>
    </row>
    <row r="213" spans="1:66" ht="15.75" customHeight="1">
      <c r="A213" s="4" t="s">
        <v>302</v>
      </c>
      <c r="B213" s="4" t="s">
        <v>302</v>
      </c>
      <c r="BN213" s="5"/>
    </row>
    <row r="214" spans="1:66" ht="15.75" customHeight="1">
      <c r="A214" s="4" t="s">
        <v>302</v>
      </c>
      <c r="B214" s="4" t="s">
        <v>302</v>
      </c>
      <c r="BN214" s="5"/>
    </row>
    <row r="215" spans="1:66" ht="15.75" customHeight="1">
      <c r="A215" s="4" t="s">
        <v>302</v>
      </c>
      <c r="B215" s="4" t="s">
        <v>302</v>
      </c>
      <c r="BN215" s="5"/>
    </row>
    <row r="216" spans="1:66" ht="15.75" customHeight="1">
      <c r="A216" s="4" t="s">
        <v>302</v>
      </c>
      <c r="B216" s="4" t="s">
        <v>302</v>
      </c>
      <c r="BN216" s="5"/>
    </row>
    <row r="217" spans="1:66" ht="15.75" customHeight="1">
      <c r="A217" s="4" t="s">
        <v>302</v>
      </c>
      <c r="B217" s="4" t="s">
        <v>302</v>
      </c>
      <c r="BN217" s="5"/>
    </row>
    <row r="218" spans="1:66" ht="15.75" customHeight="1">
      <c r="A218" s="4" t="s">
        <v>302</v>
      </c>
      <c r="B218" s="4" t="s">
        <v>302</v>
      </c>
      <c r="BN218" s="5"/>
    </row>
    <row r="219" spans="1:66" ht="15.75" customHeight="1">
      <c r="A219" s="4" t="s">
        <v>302</v>
      </c>
      <c r="B219" s="4" t="s">
        <v>302</v>
      </c>
      <c r="BN219" s="5"/>
    </row>
    <row r="220" spans="1:66" ht="15.75" customHeight="1">
      <c r="A220" s="4" t="s">
        <v>302</v>
      </c>
      <c r="B220" s="4" t="s">
        <v>302</v>
      </c>
      <c r="BN220" s="5"/>
    </row>
    <row r="221" spans="1:66" ht="15.75" customHeight="1">
      <c r="A221" s="4" t="s">
        <v>302</v>
      </c>
      <c r="B221" s="4" t="s">
        <v>302</v>
      </c>
      <c r="BN221" s="5"/>
    </row>
    <row r="222" spans="1:66" ht="15.75" customHeight="1">
      <c r="A222" s="4" t="s">
        <v>302</v>
      </c>
      <c r="B222" s="4" t="s">
        <v>302</v>
      </c>
      <c r="BN222" s="5"/>
    </row>
    <row r="223" spans="1:66" ht="15.75" customHeight="1">
      <c r="A223" s="4" t="s">
        <v>302</v>
      </c>
      <c r="B223" s="4" t="s">
        <v>302</v>
      </c>
      <c r="BN223" s="5"/>
    </row>
    <row r="224" spans="1:66" ht="15.75" customHeight="1">
      <c r="A224" s="4" t="s">
        <v>302</v>
      </c>
      <c r="B224" s="4" t="s">
        <v>302</v>
      </c>
      <c r="BN224" s="5"/>
    </row>
    <row r="225" spans="1:66" ht="15.75" customHeight="1">
      <c r="A225" s="4" t="s">
        <v>302</v>
      </c>
      <c r="B225" s="4" t="s">
        <v>302</v>
      </c>
      <c r="BN225" s="5"/>
    </row>
    <row r="226" spans="1:66" ht="15.75" customHeight="1">
      <c r="A226" s="4" t="s">
        <v>302</v>
      </c>
      <c r="B226" s="4" t="s">
        <v>302</v>
      </c>
      <c r="BN226" s="5"/>
    </row>
    <row r="227" spans="1:66" ht="15.75" customHeight="1">
      <c r="A227" s="4" t="s">
        <v>302</v>
      </c>
      <c r="B227" s="4" t="s">
        <v>302</v>
      </c>
      <c r="BN227" s="5"/>
    </row>
    <row r="228" spans="1:66" ht="15.75" customHeight="1">
      <c r="A228" s="4" t="s">
        <v>302</v>
      </c>
      <c r="B228" s="4" t="s">
        <v>302</v>
      </c>
      <c r="BN228" s="5"/>
    </row>
    <row r="229" spans="1:66" ht="15.75" customHeight="1">
      <c r="A229" s="4" t="s">
        <v>302</v>
      </c>
      <c r="B229" s="4" t="s">
        <v>302</v>
      </c>
      <c r="BN229" s="5"/>
    </row>
    <row r="230" spans="1:66" ht="15.75" customHeight="1">
      <c r="A230" s="4" t="s">
        <v>302</v>
      </c>
      <c r="B230" s="4" t="s">
        <v>302</v>
      </c>
      <c r="BN230" s="5"/>
    </row>
    <row r="231" spans="1:66" ht="15.75" customHeight="1">
      <c r="A231" s="4" t="s">
        <v>302</v>
      </c>
      <c r="B231" s="4" t="s">
        <v>302</v>
      </c>
      <c r="BN231" s="5"/>
    </row>
    <row r="232" spans="1:66" ht="15.75" customHeight="1">
      <c r="A232" s="4" t="s">
        <v>302</v>
      </c>
      <c r="B232" s="4" t="s">
        <v>302</v>
      </c>
      <c r="BN232" s="5"/>
    </row>
    <row r="233" spans="1:66" ht="15.75" customHeight="1">
      <c r="A233" s="4" t="s">
        <v>302</v>
      </c>
      <c r="B233" s="4" t="s">
        <v>302</v>
      </c>
      <c r="BN233" s="5"/>
    </row>
    <row r="234" spans="1:66" ht="15.75" customHeight="1">
      <c r="A234" s="4" t="s">
        <v>302</v>
      </c>
      <c r="B234" s="4" t="s">
        <v>302</v>
      </c>
      <c r="BN234" s="5"/>
    </row>
    <row r="235" spans="1:66" ht="15.75" customHeight="1">
      <c r="A235" s="4" t="s">
        <v>302</v>
      </c>
      <c r="B235" s="4" t="s">
        <v>302</v>
      </c>
      <c r="BN235" s="5"/>
    </row>
    <row r="236" spans="1:66" ht="15.75" customHeight="1">
      <c r="A236" s="4" t="s">
        <v>302</v>
      </c>
      <c r="B236" s="4" t="s">
        <v>302</v>
      </c>
      <c r="BN236" s="5"/>
    </row>
    <row r="237" spans="1:66" ht="15.75" customHeight="1">
      <c r="A237" s="4" t="s">
        <v>302</v>
      </c>
      <c r="B237" s="4" t="s">
        <v>302</v>
      </c>
      <c r="BN237" s="5"/>
    </row>
    <row r="238" spans="1:66" ht="15.75" customHeight="1">
      <c r="A238" s="4" t="s">
        <v>302</v>
      </c>
      <c r="B238" s="4" t="s">
        <v>302</v>
      </c>
      <c r="BN238" s="5"/>
    </row>
    <row r="239" spans="1:66" ht="15.75" customHeight="1">
      <c r="A239" s="4" t="s">
        <v>302</v>
      </c>
      <c r="B239" s="4" t="s">
        <v>302</v>
      </c>
      <c r="BN239" s="5"/>
    </row>
    <row r="240" spans="1:66" ht="15.75" customHeight="1">
      <c r="A240" s="4" t="s">
        <v>302</v>
      </c>
      <c r="B240" s="4" t="s">
        <v>302</v>
      </c>
      <c r="BN240" s="5"/>
    </row>
    <row r="241" spans="1:66" ht="15.75" customHeight="1">
      <c r="A241" s="4" t="s">
        <v>302</v>
      </c>
      <c r="B241" s="4" t="s">
        <v>302</v>
      </c>
      <c r="BN241" s="5"/>
    </row>
    <row r="242" spans="1:66" ht="15.75" customHeight="1">
      <c r="A242" s="4" t="s">
        <v>302</v>
      </c>
      <c r="B242" s="4" t="s">
        <v>302</v>
      </c>
      <c r="BN242" s="5"/>
    </row>
    <row r="243" spans="1:66" ht="15.75" customHeight="1">
      <c r="A243" s="4" t="s">
        <v>302</v>
      </c>
      <c r="B243" s="4" t="s">
        <v>302</v>
      </c>
      <c r="BN243" s="5"/>
    </row>
    <row r="244" spans="1:66" ht="15.75" customHeight="1">
      <c r="A244" s="4" t="s">
        <v>302</v>
      </c>
      <c r="B244" s="4" t="s">
        <v>302</v>
      </c>
      <c r="BN244" s="5"/>
    </row>
    <row r="245" spans="1:66" ht="15.75" customHeight="1">
      <c r="A245" s="4" t="s">
        <v>302</v>
      </c>
      <c r="B245" s="4" t="s">
        <v>302</v>
      </c>
      <c r="BN245" s="5"/>
    </row>
    <row r="246" spans="1:66" ht="15.75" customHeight="1">
      <c r="A246" s="4" t="s">
        <v>302</v>
      </c>
      <c r="B246" s="4" t="s">
        <v>302</v>
      </c>
      <c r="BN246" s="5"/>
    </row>
    <row r="247" spans="1:66" ht="15.75" customHeight="1">
      <c r="A247" s="4" t="s">
        <v>302</v>
      </c>
      <c r="B247" s="4" t="s">
        <v>302</v>
      </c>
      <c r="BN247" s="5"/>
    </row>
    <row r="248" spans="1:66" ht="15.75" customHeight="1">
      <c r="A248" s="4" t="s">
        <v>302</v>
      </c>
      <c r="B248" s="4" t="s">
        <v>302</v>
      </c>
      <c r="BN248" s="5"/>
    </row>
    <row r="249" spans="1:66" ht="15.75" customHeight="1">
      <c r="A249" s="4" t="s">
        <v>302</v>
      </c>
      <c r="B249" s="4" t="s">
        <v>302</v>
      </c>
      <c r="BN249" s="5"/>
    </row>
    <row r="250" spans="1:66" ht="15.75" customHeight="1">
      <c r="A250" s="4" t="s">
        <v>302</v>
      </c>
      <c r="B250" s="4" t="s">
        <v>302</v>
      </c>
      <c r="BN250" s="5"/>
    </row>
    <row r="251" spans="1:66" ht="15.75" customHeight="1">
      <c r="A251" s="4" t="s">
        <v>302</v>
      </c>
      <c r="B251" s="4" t="s">
        <v>302</v>
      </c>
      <c r="BN251" s="5"/>
    </row>
    <row r="252" spans="1:66" ht="15.75" customHeight="1">
      <c r="A252" s="4" t="s">
        <v>302</v>
      </c>
      <c r="B252" s="4" t="s">
        <v>302</v>
      </c>
      <c r="BN252" s="5"/>
    </row>
    <row r="253" spans="1:66" ht="15.75" customHeight="1">
      <c r="A253" s="4" t="s">
        <v>302</v>
      </c>
      <c r="B253" s="4" t="s">
        <v>302</v>
      </c>
      <c r="BN253" s="5"/>
    </row>
    <row r="254" spans="1:66" ht="15.75" customHeight="1">
      <c r="A254" s="4" t="s">
        <v>302</v>
      </c>
      <c r="B254" s="4" t="s">
        <v>302</v>
      </c>
      <c r="BN254" s="5"/>
    </row>
    <row r="255" spans="1:66" ht="15.75" customHeight="1">
      <c r="A255" s="4" t="s">
        <v>302</v>
      </c>
      <c r="B255" s="4" t="s">
        <v>302</v>
      </c>
      <c r="BN255" s="5"/>
    </row>
    <row r="256" spans="1:66" ht="15.75" customHeight="1">
      <c r="A256" s="4" t="s">
        <v>302</v>
      </c>
      <c r="B256" s="4" t="s">
        <v>302</v>
      </c>
      <c r="BN256" s="5"/>
    </row>
    <row r="257" spans="1:66" ht="15.75" customHeight="1">
      <c r="A257" s="4" t="s">
        <v>302</v>
      </c>
      <c r="B257" s="4" t="s">
        <v>302</v>
      </c>
      <c r="BN257" s="5"/>
    </row>
    <row r="258" spans="1:66" ht="15.75" customHeight="1">
      <c r="A258" s="4" t="s">
        <v>302</v>
      </c>
      <c r="B258" s="4" t="s">
        <v>302</v>
      </c>
      <c r="BN258" s="5"/>
    </row>
    <row r="259" spans="1:66" ht="15.75" customHeight="1">
      <c r="A259" s="4" t="s">
        <v>302</v>
      </c>
      <c r="B259" s="4" t="s">
        <v>302</v>
      </c>
      <c r="BN259" s="5"/>
    </row>
    <row r="260" spans="1:66" ht="15.75" customHeight="1">
      <c r="A260" s="4" t="s">
        <v>302</v>
      </c>
      <c r="B260" s="4" t="s">
        <v>302</v>
      </c>
      <c r="BN260" s="5"/>
    </row>
    <row r="261" spans="1:66" ht="15.75" customHeight="1">
      <c r="A261" s="4" t="s">
        <v>302</v>
      </c>
      <c r="B261" s="4" t="s">
        <v>302</v>
      </c>
      <c r="BN261" s="5"/>
    </row>
    <row r="262" spans="1:66" ht="15.75" customHeight="1">
      <c r="A262" s="4" t="s">
        <v>302</v>
      </c>
      <c r="B262" s="4" t="s">
        <v>302</v>
      </c>
      <c r="BN262" s="5"/>
    </row>
    <row r="263" spans="1:66" ht="15.75" customHeight="1">
      <c r="A263" s="4" t="s">
        <v>302</v>
      </c>
      <c r="B263" s="4" t="s">
        <v>302</v>
      </c>
      <c r="BN263" s="5"/>
    </row>
    <row r="264" spans="1:66" ht="15.75" customHeight="1">
      <c r="A264" s="4" t="s">
        <v>302</v>
      </c>
      <c r="B264" s="4" t="s">
        <v>302</v>
      </c>
      <c r="BN264" s="5"/>
    </row>
    <row r="265" spans="1:66" ht="15.75" customHeight="1">
      <c r="A265" s="4" t="s">
        <v>302</v>
      </c>
      <c r="B265" s="4" t="s">
        <v>302</v>
      </c>
      <c r="BN265" s="5"/>
    </row>
    <row r="266" spans="1:66" ht="15.75" customHeight="1">
      <c r="A266" s="4" t="s">
        <v>302</v>
      </c>
      <c r="B266" s="4" t="s">
        <v>302</v>
      </c>
      <c r="BN266" s="5"/>
    </row>
    <row r="267" spans="1:66" ht="15.75" customHeight="1">
      <c r="A267" s="4" t="s">
        <v>302</v>
      </c>
      <c r="B267" s="4" t="s">
        <v>302</v>
      </c>
      <c r="BN267" s="5"/>
    </row>
    <row r="268" spans="1:66" ht="15.75" customHeight="1">
      <c r="A268" s="4" t="s">
        <v>302</v>
      </c>
      <c r="B268" s="4" t="s">
        <v>302</v>
      </c>
      <c r="BN268" s="5"/>
    </row>
    <row r="269" spans="1:66" ht="15.75" customHeight="1">
      <c r="A269" s="4" t="s">
        <v>302</v>
      </c>
      <c r="B269" s="4" t="s">
        <v>302</v>
      </c>
      <c r="BN269" s="5"/>
    </row>
    <row r="270" spans="1:66" ht="15.75" customHeight="1">
      <c r="A270" s="4" t="s">
        <v>302</v>
      </c>
      <c r="B270" s="4" t="s">
        <v>302</v>
      </c>
      <c r="BN270" s="5"/>
    </row>
    <row r="271" spans="1:66" ht="15.75" customHeight="1">
      <c r="A271" s="4" t="s">
        <v>302</v>
      </c>
      <c r="B271" s="4" t="s">
        <v>302</v>
      </c>
      <c r="BN271" s="5"/>
    </row>
    <row r="272" spans="1:66" ht="15.75" customHeight="1">
      <c r="A272" s="4" t="s">
        <v>302</v>
      </c>
      <c r="B272" s="4" t="s">
        <v>302</v>
      </c>
      <c r="BN272" s="5"/>
    </row>
    <row r="273" spans="1:66" ht="15.75" customHeight="1">
      <c r="A273" s="4" t="s">
        <v>302</v>
      </c>
      <c r="B273" s="4" t="s">
        <v>302</v>
      </c>
      <c r="BN273" s="5"/>
    </row>
    <row r="274" spans="1:66" ht="15.75" customHeight="1">
      <c r="A274" s="4" t="s">
        <v>302</v>
      </c>
      <c r="B274" s="4" t="s">
        <v>302</v>
      </c>
      <c r="BN274" s="5"/>
    </row>
    <row r="275" spans="1:66" ht="15.75" customHeight="1">
      <c r="A275" s="4" t="s">
        <v>302</v>
      </c>
      <c r="B275" s="4" t="s">
        <v>302</v>
      </c>
      <c r="BN275" s="5"/>
    </row>
    <row r="276" spans="1:66" ht="15.75" customHeight="1">
      <c r="A276" s="4" t="s">
        <v>302</v>
      </c>
      <c r="B276" s="4" t="s">
        <v>302</v>
      </c>
      <c r="BN276" s="5"/>
    </row>
    <row r="277" spans="1:66" ht="15.75" customHeight="1">
      <c r="A277" s="4" t="s">
        <v>302</v>
      </c>
      <c r="B277" s="4" t="s">
        <v>302</v>
      </c>
      <c r="BN277" s="5"/>
    </row>
    <row r="278" spans="1:66" ht="15.75" customHeight="1">
      <c r="A278" s="4" t="s">
        <v>302</v>
      </c>
      <c r="B278" s="4" t="s">
        <v>302</v>
      </c>
      <c r="BN278" s="5"/>
    </row>
    <row r="279" spans="1:66" ht="15.75" customHeight="1">
      <c r="A279" s="4" t="s">
        <v>302</v>
      </c>
      <c r="B279" s="4" t="s">
        <v>302</v>
      </c>
      <c r="BN279" s="5"/>
    </row>
    <row r="280" spans="1:66" ht="15.75" customHeight="1">
      <c r="A280" s="4" t="s">
        <v>302</v>
      </c>
      <c r="B280" s="4" t="s">
        <v>302</v>
      </c>
      <c r="BN280" s="5"/>
    </row>
    <row r="281" spans="1:66" ht="15.75" customHeight="1">
      <c r="A281" s="4" t="s">
        <v>302</v>
      </c>
      <c r="B281" s="4" t="s">
        <v>302</v>
      </c>
      <c r="BN281" s="5"/>
    </row>
    <row r="282" spans="1:66" ht="15.75" customHeight="1">
      <c r="A282" s="4" t="s">
        <v>302</v>
      </c>
      <c r="B282" s="4" t="s">
        <v>302</v>
      </c>
      <c r="BN282" s="5"/>
    </row>
    <row r="283" spans="1:66" ht="15.75" customHeight="1">
      <c r="A283" s="4" t="s">
        <v>302</v>
      </c>
      <c r="B283" s="4" t="s">
        <v>302</v>
      </c>
      <c r="BN283" s="5"/>
    </row>
    <row r="284" spans="1:66" ht="15.75" customHeight="1">
      <c r="A284" s="4" t="s">
        <v>302</v>
      </c>
      <c r="B284" s="4" t="s">
        <v>302</v>
      </c>
      <c r="BN284" s="5"/>
    </row>
    <row r="285" spans="1:66" ht="15.75" customHeight="1">
      <c r="A285" s="4" t="s">
        <v>302</v>
      </c>
      <c r="B285" s="4" t="s">
        <v>302</v>
      </c>
      <c r="BN285" s="5"/>
    </row>
    <row r="286" spans="1:66" ht="15.75" customHeight="1">
      <c r="A286" s="4" t="s">
        <v>302</v>
      </c>
      <c r="B286" s="4" t="s">
        <v>302</v>
      </c>
      <c r="BN286" s="5"/>
    </row>
    <row r="287" spans="1:66" ht="15.75" customHeight="1">
      <c r="A287" s="4" t="s">
        <v>302</v>
      </c>
      <c r="B287" s="4" t="s">
        <v>302</v>
      </c>
      <c r="BN287" s="5"/>
    </row>
    <row r="288" spans="1:66" ht="15.75" customHeight="1">
      <c r="A288" s="4" t="s">
        <v>302</v>
      </c>
      <c r="B288" s="4" t="s">
        <v>302</v>
      </c>
      <c r="BN288" s="5"/>
    </row>
    <row r="289" spans="1:66" ht="15.75" customHeight="1">
      <c r="A289" s="4" t="s">
        <v>302</v>
      </c>
      <c r="B289" s="4" t="s">
        <v>302</v>
      </c>
      <c r="BN289" s="5"/>
    </row>
    <row r="290" spans="1:66" ht="15.75" customHeight="1">
      <c r="A290" s="4" t="s">
        <v>302</v>
      </c>
      <c r="B290" s="4" t="s">
        <v>302</v>
      </c>
      <c r="BN290" s="5"/>
    </row>
    <row r="291" spans="1:66" ht="15.75" customHeight="1">
      <c r="A291" s="4" t="s">
        <v>302</v>
      </c>
      <c r="B291" s="4" t="s">
        <v>302</v>
      </c>
      <c r="BN291" s="5"/>
    </row>
    <row r="292" spans="1:66" ht="15.75" customHeight="1">
      <c r="A292" s="4" t="s">
        <v>302</v>
      </c>
      <c r="B292" s="4" t="s">
        <v>302</v>
      </c>
      <c r="BN292" s="5"/>
    </row>
    <row r="293" spans="1:66" ht="15.75" customHeight="1">
      <c r="A293" s="4" t="s">
        <v>302</v>
      </c>
      <c r="B293" s="4" t="s">
        <v>302</v>
      </c>
      <c r="BN293" s="5"/>
    </row>
    <row r="294" spans="1:66" ht="15.75" customHeight="1">
      <c r="A294" s="4" t="s">
        <v>302</v>
      </c>
      <c r="B294" s="4" t="s">
        <v>302</v>
      </c>
      <c r="BN294" s="5"/>
    </row>
    <row r="295" spans="1:66" ht="15.75" customHeight="1">
      <c r="A295" s="4" t="s">
        <v>302</v>
      </c>
      <c r="B295" s="4" t="s">
        <v>302</v>
      </c>
      <c r="BN295" s="5"/>
    </row>
    <row r="296" spans="1:66" ht="15.75" customHeight="1">
      <c r="A296" s="4" t="s">
        <v>302</v>
      </c>
      <c r="B296" s="4" t="s">
        <v>302</v>
      </c>
      <c r="BN296" s="5"/>
    </row>
    <row r="297" spans="1:66" ht="15.75" customHeight="1">
      <c r="A297" s="4" t="s">
        <v>302</v>
      </c>
      <c r="B297" s="4" t="s">
        <v>302</v>
      </c>
      <c r="BN297" s="5"/>
    </row>
    <row r="298" spans="1:66" ht="15.75" customHeight="1">
      <c r="A298" s="4" t="s">
        <v>302</v>
      </c>
      <c r="B298" s="4" t="s">
        <v>302</v>
      </c>
      <c r="BN298" s="5"/>
    </row>
    <row r="299" spans="1:66" ht="15.75" customHeight="1">
      <c r="A299" s="4" t="s">
        <v>302</v>
      </c>
      <c r="B299" s="4" t="s">
        <v>302</v>
      </c>
      <c r="BN299" s="5"/>
    </row>
    <row r="300" spans="1:66" ht="15.75" customHeight="1">
      <c r="A300" s="4" t="s">
        <v>302</v>
      </c>
      <c r="B300" s="4" t="s">
        <v>302</v>
      </c>
      <c r="BN300" s="5"/>
    </row>
    <row r="301" spans="1:66" ht="15.75" customHeight="1">
      <c r="A301" s="4" t="s">
        <v>302</v>
      </c>
      <c r="B301" s="4" t="s">
        <v>302</v>
      </c>
      <c r="BN301" s="5"/>
    </row>
    <row r="302" spans="1:66" ht="15.75" customHeight="1">
      <c r="A302" s="4" t="s">
        <v>302</v>
      </c>
      <c r="B302" s="4" t="s">
        <v>302</v>
      </c>
      <c r="BN302" s="5"/>
    </row>
    <row r="303" spans="1:66" ht="15.75" customHeight="1">
      <c r="A303" s="4" t="s">
        <v>302</v>
      </c>
      <c r="B303" s="4" t="s">
        <v>302</v>
      </c>
      <c r="BN303" s="5"/>
    </row>
    <row r="304" spans="1:66" ht="15.75" customHeight="1">
      <c r="A304" s="4" t="s">
        <v>302</v>
      </c>
      <c r="B304" s="4" t="s">
        <v>302</v>
      </c>
      <c r="BN304" s="5"/>
    </row>
    <row r="305" spans="1:66" ht="15.75" customHeight="1">
      <c r="A305" s="4" t="s">
        <v>302</v>
      </c>
      <c r="B305" s="4" t="s">
        <v>302</v>
      </c>
      <c r="BN305" s="5"/>
    </row>
    <row r="306" spans="1:66" ht="15.75" customHeight="1">
      <c r="A306" s="4" t="s">
        <v>302</v>
      </c>
      <c r="B306" s="4" t="s">
        <v>302</v>
      </c>
      <c r="BN306" s="5"/>
    </row>
    <row r="307" spans="1:66" ht="15.75" customHeight="1">
      <c r="A307" s="4" t="s">
        <v>302</v>
      </c>
      <c r="B307" s="4" t="s">
        <v>302</v>
      </c>
      <c r="BN307" s="5"/>
    </row>
    <row r="308" spans="1:66" ht="15.75" customHeight="1">
      <c r="A308" s="4" t="s">
        <v>302</v>
      </c>
      <c r="B308" s="4" t="s">
        <v>302</v>
      </c>
      <c r="BN308" s="5"/>
    </row>
    <row r="309" spans="1:66" ht="15.75" customHeight="1">
      <c r="A309" s="4" t="s">
        <v>302</v>
      </c>
      <c r="B309" s="4" t="s">
        <v>302</v>
      </c>
      <c r="BN309" s="5"/>
    </row>
    <row r="310" spans="1:66" ht="15.75" customHeight="1">
      <c r="A310" s="4" t="s">
        <v>302</v>
      </c>
      <c r="B310" s="4" t="s">
        <v>302</v>
      </c>
      <c r="BN310" s="5"/>
    </row>
    <row r="311" spans="1:66" ht="15.75" customHeight="1">
      <c r="A311" s="4" t="s">
        <v>302</v>
      </c>
      <c r="B311" s="4" t="s">
        <v>302</v>
      </c>
      <c r="BN311" s="5"/>
    </row>
    <row r="312" spans="1:66" ht="15.75" customHeight="1">
      <c r="A312" s="4" t="s">
        <v>302</v>
      </c>
      <c r="B312" s="4" t="s">
        <v>302</v>
      </c>
      <c r="BN312" s="5"/>
    </row>
    <row r="313" spans="1:66" ht="15.75" customHeight="1">
      <c r="A313" s="4" t="s">
        <v>302</v>
      </c>
      <c r="B313" s="4" t="s">
        <v>302</v>
      </c>
      <c r="BN313" s="5"/>
    </row>
    <row r="314" spans="1:66" ht="15.75" customHeight="1">
      <c r="A314" s="4" t="s">
        <v>302</v>
      </c>
      <c r="B314" s="4" t="s">
        <v>302</v>
      </c>
      <c r="BN314" s="5"/>
    </row>
    <row r="315" spans="1:66" ht="15.75" customHeight="1">
      <c r="A315" s="4" t="s">
        <v>302</v>
      </c>
      <c r="B315" s="4" t="s">
        <v>302</v>
      </c>
      <c r="BN315" s="5"/>
    </row>
    <row r="316" spans="1:66" ht="15.75" customHeight="1">
      <c r="A316" s="4" t="s">
        <v>302</v>
      </c>
      <c r="B316" s="4" t="s">
        <v>302</v>
      </c>
      <c r="BN316" s="5"/>
    </row>
    <row r="317" spans="1:66" ht="15.75" customHeight="1">
      <c r="A317" s="4" t="s">
        <v>302</v>
      </c>
      <c r="B317" s="4" t="s">
        <v>302</v>
      </c>
      <c r="BN317" s="5"/>
    </row>
    <row r="318" spans="1:66" ht="15.75" customHeight="1">
      <c r="A318" s="4" t="s">
        <v>302</v>
      </c>
      <c r="B318" s="4" t="s">
        <v>302</v>
      </c>
      <c r="BN318" s="5"/>
    </row>
    <row r="319" spans="1:66" ht="15.75" customHeight="1">
      <c r="A319" s="4" t="s">
        <v>302</v>
      </c>
      <c r="B319" s="4" t="s">
        <v>302</v>
      </c>
      <c r="BN319" s="5"/>
    </row>
    <row r="320" spans="1:66" ht="15.75" customHeight="1">
      <c r="A320" s="4" t="s">
        <v>302</v>
      </c>
      <c r="B320" s="4" t="s">
        <v>302</v>
      </c>
      <c r="BN320" s="5"/>
    </row>
    <row r="321" spans="1:66" ht="15.75" customHeight="1">
      <c r="A321" s="4" t="s">
        <v>302</v>
      </c>
      <c r="B321" s="4" t="s">
        <v>302</v>
      </c>
      <c r="BN321" s="5"/>
    </row>
    <row r="322" spans="1:66" ht="15.75" customHeight="1">
      <c r="A322" s="4" t="s">
        <v>302</v>
      </c>
      <c r="B322" s="4" t="s">
        <v>302</v>
      </c>
      <c r="BN322" s="5"/>
    </row>
    <row r="323" spans="1:66" ht="15.75" customHeight="1">
      <c r="A323" s="4" t="s">
        <v>302</v>
      </c>
      <c r="B323" s="4" t="s">
        <v>302</v>
      </c>
      <c r="BN323" s="5"/>
    </row>
    <row r="324" spans="1:66" ht="15.75" customHeight="1">
      <c r="A324" s="4" t="s">
        <v>302</v>
      </c>
      <c r="B324" s="4" t="s">
        <v>302</v>
      </c>
      <c r="BN324" s="5"/>
    </row>
    <row r="325" spans="1:66" ht="15.75" customHeight="1">
      <c r="A325" s="4" t="s">
        <v>302</v>
      </c>
      <c r="B325" s="4" t="s">
        <v>302</v>
      </c>
      <c r="BN325" s="5"/>
    </row>
    <row r="326" spans="1:66" ht="15.75" customHeight="1">
      <c r="A326" s="4" t="s">
        <v>302</v>
      </c>
      <c r="B326" s="4" t="s">
        <v>302</v>
      </c>
      <c r="BN326" s="5"/>
    </row>
    <row r="327" spans="1:66" ht="15.75" customHeight="1">
      <c r="A327" s="4" t="s">
        <v>302</v>
      </c>
      <c r="B327" s="4" t="s">
        <v>302</v>
      </c>
      <c r="BN327" s="5"/>
    </row>
    <row r="328" spans="1:66" ht="15.75" customHeight="1">
      <c r="A328" s="4" t="s">
        <v>302</v>
      </c>
      <c r="B328" s="4" t="s">
        <v>302</v>
      </c>
      <c r="BN328" s="5"/>
    </row>
    <row r="329" spans="1:66" ht="15.75" customHeight="1">
      <c r="A329" s="4" t="s">
        <v>302</v>
      </c>
      <c r="B329" s="4" t="s">
        <v>302</v>
      </c>
      <c r="BN329" s="5"/>
    </row>
    <row r="330" spans="1:66" ht="15.75" customHeight="1">
      <c r="A330" s="4" t="s">
        <v>302</v>
      </c>
      <c r="B330" s="4" t="s">
        <v>302</v>
      </c>
      <c r="BN330" s="5"/>
    </row>
    <row r="331" spans="1:66" ht="15.75" customHeight="1">
      <c r="A331" s="4" t="s">
        <v>302</v>
      </c>
      <c r="B331" s="4" t="s">
        <v>302</v>
      </c>
      <c r="BN331" s="5"/>
    </row>
    <row r="332" spans="1:66" ht="15.75" customHeight="1">
      <c r="A332" s="4" t="s">
        <v>302</v>
      </c>
      <c r="B332" s="4" t="s">
        <v>302</v>
      </c>
      <c r="BN332" s="5"/>
    </row>
    <row r="333" spans="1:66" ht="15.75" customHeight="1">
      <c r="A333" s="4" t="s">
        <v>302</v>
      </c>
      <c r="B333" s="4" t="s">
        <v>302</v>
      </c>
      <c r="BN333" s="5"/>
    </row>
    <row r="334" spans="1:66" ht="15.75" customHeight="1">
      <c r="A334" s="4" t="s">
        <v>302</v>
      </c>
      <c r="B334" s="4" t="s">
        <v>302</v>
      </c>
      <c r="BN334" s="5"/>
    </row>
    <row r="335" spans="1:66" ht="15.75" customHeight="1">
      <c r="A335" s="4" t="s">
        <v>302</v>
      </c>
      <c r="B335" s="4" t="s">
        <v>302</v>
      </c>
      <c r="BN335" s="5"/>
    </row>
    <row r="336" spans="1:66" ht="15.75" customHeight="1">
      <c r="A336" s="4" t="s">
        <v>302</v>
      </c>
      <c r="B336" s="4" t="s">
        <v>302</v>
      </c>
      <c r="BN336" s="5"/>
    </row>
    <row r="337" spans="1:66" ht="15.75" customHeight="1">
      <c r="A337" s="4" t="s">
        <v>302</v>
      </c>
      <c r="B337" s="4" t="s">
        <v>302</v>
      </c>
      <c r="BN337" s="5"/>
    </row>
    <row r="338" spans="1:66" ht="15.75" customHeight="1">
      <c r="A338" s="4" t="s">
        <v>302</v>
      </c>
      <c r="B338" s="4" t="s">
        <v>302</v>
      </c>
      <c r="BN338" s="5"/>
    </row>
    <row r="339" spans="1:66" ht="15.75" customHeight="1">
      <c r="A339" s="4" t="s">
        <v>302</v>
      </c>
      <c r="B339" s="4" t="s">
        <v>302</v>
      </c>
      <c r="BN339" s="5"/>
    </row>
    <row r="340" spans="1:66" ht="15.75" customHeight="1">
      <c r="A340" s="4" t="s">
        <v>302</v>
      </c>
      <c r="B340" s="4" t="s">
        <v>302</v>
      </c>
      <c r="BN340" s="5"/>
    </row>
    <row r="341" spans="1:66" ht="15.75" customHeight="1">
      <c r="A341" s="4" t="s">
        <v>302</v>
      </c>
      <c r="B341" s="4" t="s">
        <v>302</v>
      </c>
      <c r="BN341" s="5"/>
    </row>
    <row r="342" spans="1:66" ht="15.75" customHeight="1">
      <c r="A342" s="4" t="s">
        <v>302</v>
      </c>
      <c r="B342" s="4" t="s">
        <v>302</v>
      </c>
      <c r="BN342" s="5"/>
    </row>
    <row r="343" spans="1:66" ht="15.75" customHeight="1">
      <c r="A343" s="4" t="s">
        <v>302</v>
      </c>
      <c r="B343" s="4" t="s">
        <v>302</v>
      </c>
      <c r="BN343" s="5"/>
    </row>
    <row r="344" spans="1:66" ht="15.75" customHeight="1">
      <c r="A344" s="4" t="s">
        <v>302</v>
      </c>
      <c r="B344" s="4" t="s">
        <v>302</v>
      </c>
      <c r="BN344" s="5"/>
    </row>
    <row r="345" spans="1:66" ht="15.75" customHeight="1">
      <c r="A345" s="4" t="s">
        <v>302</v>
      </c>
      <c r="B345" s="4" t="s">
        <v>302</v>
      </c>
      <c r="BN345" s="5"/>
    </row>
    <row r="346" spans="1:66" ht="15.75" customHeight="1">
      <c r="A346" s="4" t="s">
        <v>302</v>
      </c>
      <c r="B346" s="4" t="s">
        <v>302</v>
      </c>
      <c r="BN346" s="5"/>
    </row>
    <row r="347" spans="1:66" ht="15.75" customHeight="1">
      <c r="A347" s="4" t="s">
        <v>302</v>
      </c>
      <c r="B347" s="4" t="s">
        <v>302</v>
      </c>
      <c r="BN347" s="5"/>
    </row>
    <row r="348" spans="1:66" ht="15.75" customHeight="1">
      <c r="A348" s="4" t="s">
        <v>302</v>
      </c>
      <c r="B348" s="4" t="s">
        <v>302</v>
      </c>
      <c r="BN348" s="5"/>
    </row>
    <row r="349" spans="1:66" ht="15.75" customHeight="1">
      <c r="A349" s="4" t="s">
        <v>302</v>
      </c>
      <c r="B349" s="4" t="s">
        <v>302</v>
      </c>
      <c r="BN349" s="5"/>
    </row>
    <row r="350" spans="1:66" ht="15.75" customHeight="1">
      <c r="A350" s="4" t="s">
        <v>302</v>
      </c>
      <c r="B350" s="4" t="s">
        <v>302</v>
      </c>
      <c r="BN350" s="5"/>
    </row>
    <row r="351" spans="1:66" ht="15.75" customHeight="1">
      <c r="A351" s="4" t="s">
        <v>302</v>
      </c>
      <c r="B351" s="4" t="s">
        <v>302</v>
      </c>
      <c r="BN351" s="5"/>
    </row>
    <row r="352" spans="1:66" ht="15.75" customHeight="1">
      <c r="A352" s="4" t="s">
        <v>302</v>
      </c>
      <c r="B352" s="4" t="s">
        <v>302</v>
      </c>
      <c r="BN352" s="5"/>
    </row>
    <row r="353" spans="1:66" ht="15.75" customHeight="1">
      <c r="A353" s="4" t="s">
        <v>302</v>
      </c>
      <c r="B353" s="4" t="s">
        <v>302</v>
      </c>
      <c r="BN353" s="5"/>
    </row>
    <row r="354" spans="1:66" ht="15.75" customHeight="1">
      <c r="A354" s="4" t="s">
        <v>302</v>
      </c>
      <c r="B354" s="4" t="s">
        <v>302</v>
      </c>
      <c r="BN354" s="5"/>
    </row>
    <row r="355" spans="1:66" ht="15.75" customHeight="1">
      <c r="A355" s="4" t="s">
        <v>302</v>
      </c>
      <c r="B355" s="4" t="s">
        <v>302</v>
      </c>
      <c r="BN355" s="5"/>
    </row>
    <row r="356" spans="1:66" ht="15.75" customHeight="1">
      <c r="A356" s="4" t="s">
        <v>302</v>
      </c>
      <c r="B356" s="4" t="s">
        <v>302</v>
      </c>
      <c r="BN356" s="5"/>
    </row>
    <row r="357" spans="1:66" ht="15.75" customHeight="1">
      <c r="A357" s="4" t="s">
        <v>302</v>
      </c>
      <c r="B357" s="4" t="s">
        <v>302</v>
      </c>
      <c r="BN357" s="5"/>
    </row>
    <row r="358" spans="1:66" ht="15.75" customHeight="1">
      <c r="A358" s="4" t="s">
        <v>302</v>
      </c>
      <c r="B358" s="4" t="s">
        <v>302</v>
      </c>
      <c r="BN358" s="5"/>
    </row>
    <row r="359" spans="1:66" ht="15.75" customHeight="1">
      <c r="A359" s="4" t="s">
        <v>302</v>
      </c>
      <c r="B359" s="4" t="s">
        <v>302</v>
      </c>
      <c r="BN359" s="5"/>
    </row>
    <row r="360" spans="1:66" ht="15.75" customHeight="1">
      <c r="A360" s="4" t="s">
        <v>302</v>
      </c>
      <c r="B360" s="4" t="s">
        <v>302</v>
      </c>
      <c r="BN360" s="5"/>
    </row>
    <row r="361" spans="1:66" ht="15.75" customHeight="1">
      <c r="A361" s="4" t="s">
        <v>302</v>
      </c>
      <c r="B361" s="4" t="s">
        <v>302</v>
      </c>
      <c r="BN361" s="5"/>
    </row>
    <row r="362" spans="1:66" ht="15.75" customHeight="1">
      <c r="A362" s="4" t="s">
        <v>302</v>
      </c>
      <c r="B362" s="4" t="s">
        <v>302</v>
      </c>
      <c r="BN362" s="5"/>
    </row>
    <row r="363" spans="1:66" ht="15.75" customHeight="1">
      <c r="A363" s="4" t="s">
        <v>302</v>
      </c>
      <c r="B363" s="4" t="s">
        <v>302</v>
      </c>
      <c r="BN363" s="5"/>
    </row>
    <row r="364" spans="1:66" ht="15.75" customHeight="1">
      <c r="A364" s="4" t="s">
        <v>302</v>
      </c>
      <c r="B364" s="4" t="s">
        <v>302</v>
      </c>
      <c r="BN364" s="5"/>
    </row>
    <row r="365" spans="1:66" ht="15.75" customHeight="1">
      <c r="A365" s="4" t="s">
        <v>302</v>
      </c>
      <c r="B365" s="4" t="s">
        <v>302</v>
      </c>
      <c r="BN365" s="5"/>
    </row>
    <row r="366" spans="1:66" ht="15.75" customHeight="1">
      <c r="A366" s="4" t="s">
        <v>302</v>
      </c>
      <c r="B366" s="4" t="s">
        <v>302</v>
      </c>
      <c r="BN366" s="5"/>
    </row>
    <row r="367" spans="1:66" ht="15.75" customHeight="1">
      <c r="A367" s="4" t="s">
        <v>302</v>
      </c>
      <c r="B367" s="4" t="s">
        <v>302</v>
      </c>
      <c r="BN367" s="5"/>
    </row>
    <row r="368" spans="1:66" ht="15.75" customHeight="1">
      <c r="A368" s="4" t="s">
        <v>302</v>
      </c>
      <c r="B368" s="4" t="s">
        <v>302</v>
      </c>
      <c r="BN368" s="5"/>
    </row>
    <row r="369" spans="1:66" ht="15.75" customHeight="1">
      <c r="A369" s="4" t="s">
        <v>302</v>
      </c>
      <c r="B369" s="4" t="s">
        <v>302</v>
      </c>
      <c r="BN369" s="5"/>
    </row>
    <row r="370" spans="1:66" ht="15.75" customHeight="1">
      <c r="A370" s="4" t="s">
        <v>302</v>
      </c>
      <c r="B370" s="4" t="s">
        <v>302</v>
      </c>
      <c r="BN370" s="5"/>
    </row>
    <row r="371" spans="1:66" ht="15.75" customHeight="1">
      <c r="A371" s="4" t="s">
        <v>302</v>
      </c>
      <c r="B371" s="4" t="s">
        <v>302</v>
      </c>
      <c r="BN371" s="5"/>
    </row>
    <row r="372" spans="1:66" ht="15.75" customHeight="1">
      <c r="A372" s="4" t="s">
        <v>302</v>
      </c>
      <c r="B372" s="4" t="s">
        <v>302</v>
      </c>
      <c r="BN372" s="5"/>
    </row>
    <row r="373" spans="1:66" ht="15.75" customHeight="1">
      <c r="A373" s="4" t="s">
        <v>302</v>
      </c>
      <c r="B373" s="4" t="s">
        <v>302</v>
      </c>
      <c r="BN373" s="5"/>
    </row>
    <row r="374" spans="1:66" ht="15.75" customHeight="1">
      <c r="A374" s="4" t="s">
        <v>302</v>
      </c>
      <c r="B374" s="4" t="s">
        <v>302</v>
      </c>
      <c r="BN374" s="5"/>
    </row>
    <row r="375" spans="1:66" ht="15.75" customHeight="1">
      <c r="A375" s="4" t="s">
        <v>302</v>
      </c>
      <c r="B375" s="4" t="s">
        <v>302</v>
      </c>
      <c r="BN375" s="5"/>
    </row>
    <row r="376" spans="1:66" ht="15.75" customHeight="1">
      <c r="A376" s="4" t="s">
        <v>302</v>
      </c>
      <c r="B376" s="4" t="s">
        <v>302</v>
      </c>
      <c r="BN376" s="5"/>
    </row>
    <row r="377" spans="1:66" ht="15.75" customHeight="1">
      <c r="A377" s="4" t="s">
        <v>302</v>
      </c>
      <c r="B377" s="4" t="s">
        <v>302</v>
      </c>
      <c r="BN377" s="5"/>
    </row>
    <row r="378" spans="1:66" ht="15.75" customHeight="1">
      <c r="A378" s="4" t="s">
        <v>302</v>
      </c>
      <c r="B378" s="4" t="s">
        <v>302</v>
      </c>
      <c r="BN378" s="5"/>
    </row>
    <row r="379" spans="1:66" ht="15.75" customHeight="1">
      <c r="A379" s="4" t="s">
        <v>302</v>
      </c>
      <c r="B379" s="4" t="s">
        <v>302</v>
      </c>
      <c r="BN379" s="5"/>
    </row>
    <row r="380" spans="1:66" ht="15.75" customHeight="1">
      <c r="A380" s="4" t="s">
        <v>302</v>
      </c>
      <c r="B380" s="4" t="s">
        <v>302</v>
      </c>
      <c r="BN380" s="5"/>
    </row>
    <row r="381" spans="1:66" ht="15.75" customHeight="1">
      <c r="A381" s="4" t="s">
        <v>302</v>
      </c>
      <c r="B381" s="4" t="s">
        <v>302</v>
      </c>
      <c r="BN381" s="5"/>
    </row>
    <row r="382" spans="1:66" ht="15.75" customHeight="1">
      <c r="A382" s="4" t="s">
        <v>302</v>
      </c>
      <c r="B382" s="4" t="s">
        <v>302</v>
      </c>
      <c r="BN382" s="5"/>
    </row>
    <row r="383" spans="1:66" ht="15.75" customHeight="1">
      <c r="A383" s="4" t="s">
        <v>302</v>
      </c>
      <c r="B383" s="4" t="s">
        <v>302</v>
      </c>
      <c r="BN383" s="5"/>
    </row>
    <row r="384" spans="1:66" ht="15.75" customHeight="1">
      <c r="A384" s="4" t="s">
        <v>302</v>
      </c>
      <c r="B384" s="4" t="s">
        <v>302</v>
      </c>
      <c r="BN384" s="5"/>
    </row>
    <row r="385" spans="1:66" ht="15.75" customHeight="1">
      <c r="A385" s="4" t="s">
        <v>302</v>
      </c>
      <c r="B385" s="4" t="s">
        <v>302</v>
      </c>
      <c r="BN385" s="5"/>
    </row>
    <row r="386" spans="1:66" ht="15.75" customHeight="1">
      <c r="A386" s="4" t="s">
        <v>302</v>
      </c>
      <c r="B386" s="4" t="s">
        <v>302</v>
      </c>
      <c r="BN386" s="5"/>
    </row>
    <row r="387" spans="1:66" ht="15.75" customHeight="1">
      <c r="A387" s="4" t="s">
        <v>302</v>
      </c>
      <c r="B387" s="4" t="s">
        <v>302</v>
      </c>
      <c r="BN387" s="5"/>
    </row>
    <row r="388" spans="1:66" ht="15.75" customHeight="1">
      <c r="A388" s="4" t="s">
        <v>302</v>
      </c>
      <c r="B388" s="4" t="s">
        <v>302</v>
      </c>
      <c r="BN388" s="5"/>
    </row>
    <row r="389" spans="1:66" ht="15.75" customHeight="1">
      <c r="A389" s="4" t="s">
        <v>302</v>
      </c>
      <c r="B389" s="4" t="s">
        <v>302</v>
      </c>
      <c r="BN389" s="5"/>
    </row>
    <row r="390" spans="1:66" ht="15.75" customHeight="1">
      <c r="A390" s="4" t="s">
        <v>302</v>
      </c>
      <c r="B390" s="4" t="s">
        <v>302</v>
      </c>
      <c r="BN390" s="5"/>
    </row>
    <row r="391" spans="1:66" ht="15.75" customHeight="1">
      <c r="A391" s="4" t="s">
        <v>302</v>
      </c>
      <c r="B391" s="4" t="s">
        <v>302</v>
      </c>
      <c r="BN391" s="5"/>
    </row>
    <row r="392" spans="1:66" ht="15.75" customHeight="1">
      <c r="A392" s="4" t="s">
        <v>302</v>
      </c>
      <c r="B392" s="4" t="s">
        <v>302</v>
      </c>
      <c r="BN392" s="5"/>
    </row>
    <row r="393" spans="1:66" ht="15.75" customHeight="1">
      <c r="A393" s="4" t="s">
        <v>302</v>
      </c>
      <c r="B393" s="4" t="s">
        <v>302</v>
      </c>
      <c r="BN393" s="5"/>
    </row>
    <row r="394" spans="1:66" ht="15.75" customHeight="1">
      <c r="A394" s="4" t="s">
        <v>302</v>
      </c>
      <c r="B394" s="4" t="s">
        <v>302</v>
      </c>
      <c r="BN394" s="5"/>
    </row>
    <row r="395" spans="1:66" ht="15.75" customHeight="1">
      <c r="A395" s="4" t="s">
        <v>302</v>
      </c>
      <c r="B395" s="4" t="s">
        <v>302</v>
      </c>
      <c r="BN395" s="5"/>
    </row>
    <row r="396" spans="1:66" ht="15.75" customHeight="1">
      <c r="A396" s="4" t="s">
        <v>302</v>
      </c>
      <c r="B396" s="4" t="s">
        <v>302</v>
      </c>
      <c r="BN396" s="5"/>
    </row>
    <row r="397" spans="1:66" ht="15.75" customHeight="1">
      <c r="A397" s="4" t="s">
        <v>302</v>
      </c>
      <c r="B397" s="4" t="s">
        <v>302</v>
      </c>
      <c r="BN397" s="5"/>
    </row>
    <row r="398" spans="1:66" ht="15.75" customHeight="1">
      <c r="A398" s="4" t="s">
        <v>302</v>
      </c>
      <c r="B398" s="4" t="s">
        <v>302</v>
      </c>
      <c r="BN398" s="5"/>
    </row>
    <row r="399" spans="1:66" ht="15.75" customHeight="1">
      <c r="A399" s="4" t="s">
        <v>302</v>
      </c>
      <c r="B399" s="4" t="s">
        <v>302</v>
      </c>
      <c r="BN399" s="5"/>
    </row>
    <row r="400" spans="1:66" ht="15.75" customHeight="1">
      <c r="A400" s="4" t="s">
        <v>302</v>
      </c>
      <c r="B400" s="4" t="s">
        <v>302</v>
      </c>
      <c r="BN400" s="5"/>
    </row>
    <row r="401" spans="1:66" ht="15.75" customHeight="1">
      <c r="A401" s="4" t="s">
        <v>302</v>
      </c>
      <c r="B401" s="4" t="s">
        <v>302</v>
      </c>
      <c r="BN401" s="5"/>
    </row>
    <row r="402" spans="1:66" ht="15.75" customHeight="1">
      <c r="A402" s="4" t="s">
        <v>302</v>
      </c>
      <c r="B402" s="4" t="s">
        <v>302</v>
      </c>
      <c r="BN402" s="5"/>
    </row>
    <row r="403" spans="1:66" ht="15.75" customHeight="1">
      <c r="A403" s="4" t="s">
        <v>302</v>
      </c>
      <c r="B403" s="4" t="s">
        <v>302</v>
      </c>
      <c r="BN403" s="5"/>
    </row>
    <row r="404" spans="1:66" ht="15.75" customHeight="1">
      <c r="A404" s="4" t="s">
        <v>302</v>
      </c>
      <c r="B404" s="4" t="s">
        <v>302</v>
      </c>
      <c r="BN404" s="5"/>
    </row>
    <row r="405" spans="1:66" ht="15.75" customHeight="1">
      <c r="A405" s="4" t="s">
        <v>302</v>
      </c>
      <c r="B405" s="4" t="s">
        <v>302</v>
      </c>
      <c r="BN405" s="5"/>
    </row>
    <row r="406" spans="1:66" ht="15.75" customHeight="1">
      <c r="A406" s="4" t="s">
        <v>302</v>
      </c>
      <c r="B406" s="4" t="s">
        <v>302</v>
      </c>
      <c r="BN406" s="5"/>
    </row>
    <row r="407" spans="1:66" ht="15.75" customHeight="1">
      <c r="A407" s="4" t="s">
        <v>302</v>
      </c>
      <c r="B407" s="4" t="s">
        <v>302</v>
      </c>
      <c r="BN407" s="5"/>
    </row>
    <row r="408" spans="1:66" ht="15.75" customHeight="1">
      <c r="A408" s="4" t="s">
        <v>302</v>
      </c>
      <c r="B408" s="4" t="s">
        <v>302</v>
      </c>
      <c r="BN408" s="5"/>
    </row>
    <row r="409" spans="1:66" ht="15.75" customHeight="1">
      <c r="A409" s="4" t="s">
        <v>302</v>
      </c>
      <c r="B409" s="4" t="s">
        <v>302</v>
      </c>
      <c r="BN409" s="5"/>
    </row>
    <row r="410" spans="1:66" ht="15.75" customHeight="1">
      <c r="A410" s="4" t="s">
        <v>302</v>
      </c>
      <c r="B410" s="4" t="s">
        <v>302</v>
      </c>
      <c r="BN410" s="5"/>
    </row>
    <row r="411" spans="1:66" ht="15.75" customHeight="1">
      <c r="A411" s="4" t="s">
        <v>302</v>
      </c>
      <c r="B411" s="4" t="s">
        <v>302</v>
      </c>
      <c r="BN411" s="5"/>
    </row>
    <row r="412" spans="1:66" ht="15.75" customHeight="1">
      <c r="A412" s="4" t="s">
        <v>302</v>
      </c>
      <c r="B412" s="4" t="s">
        <v>302</v>
      </c>
      <c r="BN412" s="5"/>
    </row>
    <row r="413" spans="1:66" ht="15.75" customHeight="1">
      <c r="A413" s="4" t="s">
        <v>302</v>
      </c>
      <c r="B413" s="4" t="s">
        <v>302</v>
      </c>
      <c r="BN413" s="5"/>
    </row>
    <row r="414" spans="1:66" ht="15.75" customHeight="1">
      <c r="A414" s="4" t="s">
        <v>302</v>
      </c>
      <c r="B414" s="4" t="s">
        <v>302</v>
      </c>
      <c r="BN414" s="5"/>
    </row>
    <row r="415" spans="1:66" ht="15.75" customHeight="1">
      <c r="A415" s="4" t="s">
        <v>302</v>
      </c>
      <c r="B415" s="4" t="s">
        <v>302</v>
      </c>
      <c r="BN415" s="5"/>
    </row>
    <row r="416" spans="1:66" ht="15.75" customHeight="1">
      <c r="A416" s="4" t="s">
        <v>302</v>
      </c>
      <c r="B416" s="4" t="s">
        <v>302</v>
      </c>
      <c r="BN416" s="5"/>
    </row>
    <row r="417" spans="1:66" ht="15.75" customHeight="1">
      <c r="A417" s="4" t="s">
        <v>302</v>
      </c>
      <c r="B417" s="4" t="s">
        <v>302</v>
      </c>
      <c r="BN417" s="5"/>
    </row>
    <row r="418" spans="1:66" ht="15.75" customHeight="1">
      <c r="A418" s="4" t="s">
        <v>302</v>
      </c>
      <c r="B418" s="4" t="s">
        <v>302</v>
      </c>
      <c r="BN418" s="5"/>
    </row>
    <row r="419" spans="1:66" ht="15.75" customHeight="1">
      <c r="A419" s="4" t="s">
        <v>302</v>
      </c>
      <c r="B419" s="4" t="s">
        <v>302</v>
      </c>
      <c r="BN419" s="5"/>
    </row>
    <row r="420" spans="1:66" ht="15.75" customHeight="1">
      <c r="A420" s="4" t="s">
        <v>302</v>
      </c>
      <c r="B420" s="4" t="s">
        <v>302</v>
      </c>
      <c r="BN420" s="5"/>
    </row>
    <row r="421" spans="1:66" ht="15.75" customHeight="1">
      <c r="A421" s="4" t="s">
        <v>302</v>
      </c>
      <c r="B421" s="4" t="s">
        <v>302</v>
      </c>
      <c r="BN421" s="5"/>
    </row>
    <row r="422" spans="1:66" ht="15.75" customHeight="1">
      <c r="A422" s="4" t="s">
        <v>302</v>
      </c>
      <c r="B422" s="4" t="s">
        <v>302</v>
      </c>
      <c r="BN422" s="5"/>
    </row>
    <row r="423" spans="1:66" ht="15.75" customHeight="1">
      <c r="A423" s="4" t="s">
        <v>302</v>
      </c>
      <c r="B423" s="4" t="s">
        <v>302</v>
      </c>
      <c r="BN423" s="5"/>
    </row>
    <row r="424" spans="1:66" ht="15.75" customHeight="1">
      <c r="A424" s="4" t="s">
        <v>302</v>
      </c>
      <c r="B424" s="4" t="s">
        <v>302</v>
      </c>
      <c r="BN424" s="5"/>
    </row>
    <row r="425" spans="1:66" ht="15.75" customHeight="1">
      <c r="A425" s="4" t="s">
        <v>302</v>
      </c>
      <c r="B425" s="4" t="s">
        <v>302</v>
      </c>
      <c r="BN425" s="5"/>
    </row>
    <row r="426" spans="1:66" ht="15.75" customHeight="1">
      <c r="A426" s="4" t="s">
        <v>302</v>
      </c>
      <c r="B426" s="4" t="s">
        <v>302</v>
      </c>
      <c r="BN426" s="5"/>
    </row>
    <row r="427" spans="1:66" ht="15.75" customHeight="1">
      <c r="A427" s="4" t="s">
        <v>302</v>
      </c>
      <c r="B427" s="4" t="s">
        <v>302</v>
      </c>
      <c r="BN427" s="5"/>
    </row>
    <row r="428" spans="1:66" ht="15.75" customHeight="1">
      <c r="A428" s="4" t="s">
        <v>302</v>
      </c>
      <c r="B428" s="4" t="s">
        <v>302</v>
      </c>
      <c r="BN428" s="5"/>
    </row>
    <row r="429" spans="1:66" ht="15.75" customHeight="1">
      <c r="A429" s="4" t="s">
        <v>302</v>
      </c>
      <c r="B429" s="4" t="s">
        <v>302</v>
      </c>
      <c r="BN429" s="5"/>
    </row>
    <row r="430" spans="1:66" ht="15.75" customHeight="1">
      <c r="A430" s="4" t="s">
        <v>302</v>
      </c>
      <c r="B430" s="4" t="s">
        <v>302</v>
      </c>
      <c r="BN430" s="5"/>
    </row>
    <row r="431" spans="1:66" ht="15.75" customHeight="1">
      <c r="A431" s="4" t="s">
        <v>302</v>
      </c>
      <c r="B431" s="4" t="s">
        <v>302</v>
      </c>
      <c r="BN431" s="5"/>
    </row>
    <row r="432" spans="1:66" ht="15.75" customHeight="1">
      <c r="A432" s="4" t="s">
        <v>302</v>
      </c>
      <c r="B432" s="4" t="s">
        <v>302</v>
      </c>
      <c r="BN432" s="5"/>
    </row>
    <row r="433" spans="1:66" ht="15.75" customHeight="1">
      <c r="A433" s="4" t="s">
        <v>302</v>
      </c>
      <c r="B433" s="4" t="s">
        <v>302</v>
      </c>
      <c r="BN433" s="5"/>
    </row>
    <row r="434" spans="1:66" ht="15.75" customHeight="1">
      <c r="A434" s="4" t="s">
        <v>302</v>
      </c>
      <c r="B434" s="4" t="s">
        <v>302</v>
      </c>
      <c r="BN434" s="5"/>
    </row>
    <row r="435" spans="1:66" ht="15.75" customHeight="1">
      <c r="A435" s="4" t="s">
        <v>302</v>
      </c>
      <c r="B435" s="4" t="s">
        <v>302</v>
      </c>
      <c r="BN435" s="5"/>
    </row>
    <row r="436" spans="1:66" ht="15.75" customHeight="1">
      <c r="A436" s="4" t="s">
        <v>302</v>
      </c>
      <c r="B436" s="4" t="s">
        <v>302</v>
      </c>
      <c r="BN436" s="5"/>
    </row>
    <row r="437" spans="1:66" ht="15.75" customHeight="1">
      <c r="A437" s="4" t="s">
        <v>302</v>
      </c>
      <c r="B437" s="4" t="s">
        <v>302</v>
      </c>
      <c r="BN437" s="5"/>
    </row>
    <row r="438" spans="1:66" ht="15.75" customHeight="1">
      <c r="A438" s="4" t="s">
        <v>302</v>
      </c>
      <c r="B438" s="4" t="s">
        <v>302</v>
      </c>
      <c r="BN438" s="5"/>
    </row>
    <row r="439" spans="1:66" ht="15.75" customHeight="1">
      <c r="A439" s="4" t="s">
        <v>302</v>
      </c>
      <c r="B439" s="4" t="s">
        <v>302</v>
      </c>
      <c r="BN439" s="5"/>
    </row>
    <row r="440" spans="1:66" ht="15.75" customHeight="1">
      <c r="A440" s="4" t="s">
        <v>302</v>
      </c>
      <c r="B440" s="4" t="s">
        <v>302</v>
      </c>
      <c r="BN440" s="5"/>
    </row>
    <row r="441" spans="1:66" ht="15.75" customHeight="1">
      <c r="A441" s="4" t="s">
        <v>302</v>
      </c>
      <c r="B441" s="4" t="s">
        <v>302</v>
      </c>
      <c r="BN441" s="5"/>
    </row>
    <row r="442" spans="1:66" ht="15.75" customHeight="1">
      <c r="A442" s="4" t="s">
        <v>302</v>
      </c>
      <c r="B442" s="4" t="s">
        <v>302</v>
      </c>
      <c r="BN442" s="5"/>
    </row>
    <row r="443" spans="1:66" ht="15.75" customHeight="1">
      <c r="A443" s="4" t="s">
        <v>302</v>
      </c>
      <c r="B443" s="4" t="s">
        <v>302</v>
      </c>
      <c r="BN443" s="5"/>
    </row>
    <row r="444" spans="1:66" ht="15.75" customHeight="1">
      <c r="A444" s="4" t="s">
        <v>302</v>
      </c>
      <c r="B444" s="4" t="s">
        <v>302</v>
      </c>
      <c r="BN444" s="5"/>
    </row>
    <row r="445" spans="1:66" ht="15.75" customHeight="1">
      <c r="A445" s="4" t="s">
        <v>302</v>
      </c>
      <c r="B445" s="4" t="s">
        <v>302</v>
      </c>
      <c r="BN445" s="5"/>
    </row>
    <row r="446" spans="1:66" ht="15.75" customHeight="1">
      <c r="A446" s="4" t="s">
        <v>302</v>
      </c>
      <c r="B446" s="4" t="s">
        <v>302</v>
      </c>
      <c r="BN446" s="5"/>
    </row>
    <row r="447" spans="1:66" ht="15.75" customHeight="1">
      <c r="A447" s="4" t="s">
        <v>302</v>
      </c>
      <c r="B447" s="4" t="s">
        <v>302</v>
      </c>
      <c r="BN447" s="5"/>
    </row>
    <row r="448" spans="1:66" ht="15.75" customHeight="1">
      <c r="A448" s="4" t="s">
        <v>302</v>
      </c>
      <c r="B448" s="4" t="s">
        <v>302</v>
      </c>
      <c r="BN448" s="5"/>
    </row>
    <row r="449" spans="1:66" ht="15.75" customHeight="1">
      <c r="A449" s="4" t="s">
        <v>302</v>
      </c>
      <c r="B449" s="4" t="s">
        <v>302</v>
      </c>
      <c r="BN449" s="5"/>
    </row>
    <row r="450" spans="1:66" ht="15.75" customHeight="1">
      <c r="A450" s="4" t="s">
        <v>302</v>
      </c>
      <c r="B450" s="4" t="s">
        <v>302</v>
      </c>
      <c r="BN450" s="5"/>
    </row>
    <row r="451" spans="1:66" ht="15.75" customHeight="1">
      <c r="A451" s="4" t="s">
        <v>302</v>
      </c>
      <c r="B451" s="4" t="s">
        <v>302</v>
      </c>
      <c r="BN451" s="5"/>
    </row>
    <row r="452" spans="1:66" ht="15.75" customHeight="1">
      <c r="A452" s="4" t="s">
        <v>302</v>
      </c>
      <c r="B452" s="4" t="s">
        <v>302</v>
      </c>
      <c r="BN452" s="5"/>
    </row>
    <row r="453" spans="1:66" ht="15.75" customHeight="1">
      <c r="A453" s="4" t="s">
        <v>302</v>
      </c>
      <c r="B453" s="4" t="s">
        <v>302</v>
      </c>
      <c r="BN453" s="5"/>
    </row>
    <row r="454" spans="1:66" ht="15.75" customHeight="1">
      <c r="A454" s="4" t="s">
        <v>302</v>
      </c>
      <c r="B454" s="4" t="s">
        <v>302</v>
      </c>
      <c r="BN454" s="5"/>
    </row>
    <row r="455" spans="1:66" ht="15.75" customHeight="1">
      <c r="A455" s="4" t="s">
        <v>302</v>
      </c>
      <c r="B455" s="4" t="s">
        <v>302</v>
      </c>
      <c r="BN455" s="5"/>
    </row>
    <row r="456" spans="1:66" ht="15.75" customHeight="1">
      <c r="A456" s="4" t="s">
        <v>302</v>
      </c>
      <c r="B456" s="4" t="s">
        <v>302</v>
      </c>
      <c r="BN456" s="5"/>
    </row>
    <row r="457" spans="1:66" ht="15.75" customHeight="1">
      <c r="A457" s="4" t="s">
        <v>302</v>
      </c>
      <c r="B457" s="4" t="s">
        <v>302</v>
      </c>
      <c r="BN457" s="5"/>
    </row>
    <row r="458" spans="1:66" ht="15.75" customHeight="1">
      <c r="A458" s="4" t="s">
        <v>302</v>
      </c>
      <c r="B458" s="4" t="s">
        <v>302</v>
      </c>
      <c r="BN458" s="5"/>
    </row>
    <row r="459" spans="1:66" ht="15.75" customHeight="1">
      <c r="A459" s="4" t="s">
        <v>302</v>
      </c>
      <c r="B459" s="4" t="s">
        <v>302</v>
      </c>
      <c r="BN459" s="5"/>
    </row>
    <row r="460" spans="1:66" ht="15.75" customHeight="1">
      <c r="A460" s="4" t="s">
        <v>302</v>
      </c>
      <c r="B460" s="4" t="s">
        <v>302</v>
      </c>
      <c r="BN460" s="5"/>
    </row>
    <row r="461" spans="1:66" ht="15.75" customHeight="1">
      <c r="A461" s="4" t="s">
        <v>302</v>
      </c>
      <c r="B461" s="4" t="s">
        <v>302</v>
      </c>
      <c r="BN461" s="5"/>
    </row>
    <row r="462" spans="1:66" ht="15.75" customHeight="1">
      <c r="A462" s="4" t="s">
        <v>302</v>
      </c>
      <c r="B462" s="4" t="s">
        <v>302</v>
      </c>
      <c r="BN462" s="5"/>
    </row>
    <row r="463" spans="1:66" ht="15.75" customHeight="1">
      <c r="A463" s="4" t="s">
        <v>302</v>
      </c>
      <c r="B463" s="4" t="s">
        <v>302</v>
      </c>
      <c r="BN463" s="5"/>
    </row>
    <row r="464" spans="1:66" ht="15.75" customHeight="1">
      <c r="A464" s="4" t="s">
        <v>302</v>
      </c>
      <c r="B464" s="4" t="s">
        <v>302</v>
      </c>
      <c r="BN464" s="5"/>
    </row>
    <row r="465" spans="1:66" ht="15.75" customHeight="1">
      <c r="A465" s="4" t="s">
        <v>302</v>
      </c>
      <c r="B465" s="4" t="s">
        <v>302</v>
      </c>
      <c r="BN465" s="5"/>
    </row>
    <row r="466" spans="1:66" ht="15.75" customHeight="1">
      <c r="A466" s="4" t="s">
        <v>302</v>
      </c>
      <c r="B466" s="4" t="s">
        <v>302</v>
      </c>
      <c r="BN466" s="5"/>
    </row>
    <row r="467" spans="1:66" ht="15.75" customHeight="1">
      <c r="A467" s="4" t="s">
        <v>302</v>
      </c>
      <c r="B467" s="4" t="s">
        <v>302</v>
      </c>
      <c r="BN467" s="5"/>
    </row>
    <row r="468" spans="1:66" ht="15.75" customHeight="1">
      <c r="A468" s="4" t="s">
        <v>302</v>
      </c>
      <c r="B468" s="4" t="s">
        <v>302</v>
      </c>
      <c r="BN468" s="5"/>
    </row>
    <row r="469" spans="1:66" ht="15.75" customHeight="1">
      <c r="A469" s="4" t="s">
        <v>302</v>
      </c>
      <c r="B469" s="4" t="s">
        <v>302</v>
      </c>
      <c r="BN469" s="5"/>
    </row>
    <row r="470" spans="1:66" ht="15.75" customHeight="1">
      <c r="A470" s="4" t="s">
        <v>302</v>
      </c>
      <c r="B470" s="4" t="s">
        <v>302</v>
      </c>
      <c r="BN470" s="5"/>
    </row>
    <row r="471" spans="1:66" ht="15.75" customHeight="1">
      <c r="A471" s="4" t="s">
        <v>302</v>
      </c>
      <c r="B471" s="4" t="s">
        <v>302</v>
      </c>
      <c r="BN471" s="5"/>
    </row>
    <row r="472" spans="1:66" ht="15.75" customHeight="1">
      <c r="A472" s="4" t="s">
        <v>302</v>
      </c>
      <c r="B472" s="4" t="s">
        <v>302</v>
      </c>
      <c r="BN472" s="5"/>
    </row>
    <row r="473" spans="1:66" ht="15.75" customHeight="1">
      <c r="A473" s="4" t="s">
        <v>302</v>
      </c>
      <c r="B473" s="4" t="s">
        <v>302</v>
      </c>
      <c r="BN473" s="5"/>
    </row>
    <row r="474" spans="1:66" ht="15.75" customHeight="1">
      <c r="A474" s="4" t="s">
        <v>302</v>
      </c>
      <c r="B474" s="4" t="s">
        <v>302</v>
      </c>
      <c r="BN474" s="5"/>
    </row>
    <row r="475" spans="1:66" ht="15.75" customHeight="1">
      <c r="A475" s="4" t="s">
        <v>302</v>
      </c>
      <c r="B475" s="4" t="s">
        <v>302</v>
      </c>
      <c r="BN475" s="5"/>
    </row>
    <row r="476" spans="1:66" ht="15.75" customHeight="1">
      <c r="A476" s="4" t="s">
        <v>302</v>
      </c>
      <c r="B476" s="4" t="s">
        <v>302</v>
      </c>
      <c r="BN476" s="5"/>
    </row>
    <row r="477" spans="1:66" ht="15.75" customHeight="1">
      <c r="A477" s="4" t="s">
        <v>302</v>
      </c>
      <c r="B477" s="4" t="s">
        <v>302</v>
      </c>
      <c r="BN477" s="5"/>
    </row>
    <row r="478" spans="1:66" ht="15.75" customHeight="1">
      <c r="A478" s="4" t="s">
        <v>302</v>
      </c>
      <c r="B478" s="4" t="s">
        <v>302</v>
      </c>
      <c r="BN478" s="5"/>
    </row>
    <row r="479" spans="1:66" ht="15.75" customHeight="1">
      <c r="A479" s="4" t="s">
        <v>302</v>
      </c>
      <c r="B479" s="4" t="s">
        <v>302</v>
      </c>
      <c r="BN479" s="5"/>
    </row>
    <row r="480" spans="1:66" ht="15.75" customHeight="1">
      <c r="A480" s="4" t="s">
        <v>302</v>
      </c>
      <c r="B480" s="4" t="s">
        <v>302</v>
      </c>
      <c r="BN480" s="5"/>
    </row>
    <row r="481" spans="1:66" ht="15.75" customHeight="1">
      <c r="A481" s="4" t="s">
        <v>302</v>
      </c>
      <c r="B481" s="4" t="s">
        <v>302</v>
      </c>
      <c r="BN481" s="5"/>
    </row>
    <row r="482" spans="1:66" ht="15.75" customHeight="1">
      <c r="A482" s="4" t="s">
        <v>302</v>
      </c>
      <c r="B482" s="4" t="s">
        <v>302</v>
      </c>
      <c r="BN482" s="5"/>
    </row>
    <row r="483" spans="1:66" ht="15.75" customHeight="1">
      <c r="A483" s="4" t="s">
        <v>302</v>
      </c>
      <c r="B483" s="4" t="s">
        <v>302</v>
      </c>
      <c r="BN483" s="5"/>
    </row>
    <row r="484" spans="1:66" ht="15.75" customHeight="1">
      <c r="A484" s="4" t="s">
        <v>302</v>
      </c>
      <c r="B484" s="4" t="s">
        <v>302</v>
      </c>
      <c r="BN484" s="5"/>
    </row>
    <row r="485" spans="1:66" ht="15.75" customHeight="1">
      <c r="A485" s="4" t="s">
        <v>302</v>
      </c>
      <c r="B485" s="4" t="s">
        <v>302</v>
      </c>
      <c r="BN485" s="5"/>
    </row>
    <row r="486" spans="1:66" ht="15.75" customHeight="1">
      <c r="A486" s="4" t="s">
        <v>302</v>
      </c>
      <c r="B486" s="4" t="s">
        <v>302</v>
      </c>
      <c r="BN486" s="5"/>
    </row>
    <row r="487" spans="1:66" ht="15.75" customHeight="1">
      <c r="A487" s="4" t="s">
        <v>302</v>
      </c>
      <c r="B487" s="4" t="s">
        <v>302</v>
      </c>
      <c r="BN487" s="5"/>
    </row>
    <row r="488" spans="1:66" ht="15.75" customHeight="1">
      <c r="A488" s="4" t="s">
        <v>302</v>
      </c>
      <c r="B488" s="4" t="s">
        <v>302</v>
      </c>
      <c r="BN488" s="5"/>
    </row>
    <row r="489" spans="1:66" ht="15.75" customHeight="1">
      <c r="A489" s="4" t="s">
        <v>302</v>
      </c>
      <c r="B489" s="4" t="s">
        <v>302</v>
      </c>
      <c r="BN489" s="5"/>
    </row>
    <row r="490" spans="1:66" ht="15.75" customHeight="1">
      <c r="A490" s="4" t="s">
        <v>302</v>
      </c>
      <c r="B490" s="4" t="s">
        <v>302</v>
      </c>
      <c r="BN490" s="5"/>
    </row>
    <row r="491" spans="1:66" ht="15.75" customHeight="1">
      <c r="A491" s="4" t="s">
        <v>302</v>
      </c>
      <c r="B491" s="4" t="s">
        <v>302</v>
      </c>
      <c r="BN491" s="5"/>
    </row>
    <row r="492" spans="1:66" ht="15.75" customHeight="1">
      <c r="A492" s="4" t="s">
        <v>302</v>
      </c>
      <c r="B492" s="4" t="s">
        <v>302</v>
      </c>
      <c r="BN492" s="5"/>
    </row>
    <row r="493" spans="1:66" ht="15.75" customHeight="1">
      <c r="A493" s="4" t="s">
        <v>302</v>
      </c>
      <c r="B493" s="4" t="s">
        <v>302</v>
      </c>
      <c r="BN493" s="5"/>
    </row>
    <row r="494" spans="1:66" ht="15.75" customHeight="1">
      <c r="A494" s="4" t="s">
        <v>302</v>
      </c>
      <c r="B494" s="4" t="s">
        <v>302</v>
      </c>
      <c r="BN494" s="5"/>
    </row>
    <row r="495" spans="1:66" ht="15.75" customHeight="1">
      <c r="A495" s="4" t="s">
        <v>302</v>
      </c>
      <c r="B495" s="4" t="s">
        <v>302</v>
      </c>
      <c r="BN495" s="5"/>
    </row>
    <row r="496" spans="1:66" ht="15.75" customHeight="1">
      <c r="A496" s="4" t="s">
        <v>302</v>
      </c>
      <c r="B496" s="4" t="s">
        <v>302</v>
      </c>
      <c r="BN496" s="5"/>
    </row>
    <row r="497" spans="1:66" ht="15.75" customHeight="1">
      <c r="A497" s="4" t="s">
        <v>302</v>
      </c>
      <c r="B497" s="4" t="s">
        <v>302</v>
      </c>
      <c r="BN497" s="5"/>
    </row>
    <row r="498" spans="1:66" ht="15.75" customHeight="1">
      <c r="A498" s="4" t="s">
        <v>302</v>
      </c>
      <c r="B498" s="4" t="s">
        <v>302</v>
      </c>
      <c r="BN498" s="5"/>
    </row>
    <row r="499" spans="1:66" ht="15.75" customHeight="1">
      <c r="A499" s="4" t="s">
        <v>302</v>
      </c>
      <c r="B499" s="4" t="s">
        <v>302</v>
      </c>
      <c r="BN499" s="5"/>
    </row>
    <row r="500" spans="1:66" ht="15.75" customHeight="1">
      <c r="A500" s="4" t="s">
        <v>302</v>
      </c>
      <c r="B500" s="4" t="s">
        <v>302</v>
      </c>
      <c r="BN500" s="5"/>
    </row>
    <row r="501" spans="1:66" ht="15.75" customHeight="1">
      <c r="A501" s="4" t="s">
        <v>302</v>
      </c>
      <c r="B501" s="4" t="s">
        <v>302</v>
      </c>
      <c r="BN501" s="5"/>
    </row>
    <row r="502" spans="1:66" ht="15.75" customHeight="1">
      <c r="A502" s="4" t="s">
        <v>302</v>
      </c>
      <c r="B502" s="4" t="s">
        <v>302</v>
      </c>
      <c r="BN502" s="5"/>
    </row>
    <row r="503" spans="1:66" ht="15.75" customHeight="1">
      <c r="A503" s="4" t="s">
        <v>302</v>
      </c>
      <c r="B503" s="4" t="s">
        <v>302</v>
      </c>
      <c r="BN503" s="5"/>
    </row>
    <row r="504" spans="1:66" ht="15.75" customHeight="1">
      <c r="A504" s="4" t="s">
        <v>302</v>
      </c>
      <c r="B504" s="4" t="s">
        <v>302</v>
      </c>
      <c r="BN504" s="5"/>
    </row>
    <row r="505" spans="1:66" ht="15.75" customHeight="1">
      <c r="A505" s="4" t="s">
        <v>302</v>
      </c>
      <c r="B505" s="4" t="s">
        <v>302</v>
      </c>
      <c r="BN505" s="5"/>
    </row>
    <row r="506" spans="1:66" ht="15.75" customHeight="1">
      <c r="A506" s="4" t="s">
        <v>302</v>
      </c>
      <c r="B506" s="4" t="s">
        <v>302</v>
      </c>
      <c r="BN506" s="5"/>
    </row>
    <row r="507" spans="1:66" ht="15.75" customHeight="1">
      <c r="A507" s="4" t="s">
        <v>302</v>
      </c>
      <c r="B507" s="4" t="s">
        <v>302</v>
      </c>
      <c r="BN507" s="5"/>
    </row>
    <row r="508" spans="1:66" ht="15.75" customHeight="1">
      <c r="A508" s="4" t="s">
        <v>302</v>
      </c>
      <c r="B508" s="4" t="s">
        <v>302</v>
      </c>
      <c r="BN508" s="5"/>
    </row>
    <row r="509" spans="1:66" ht="15.75" customHeight="1">
      <c r="A509" s="4" t="s">
        <v>302</v>
      </c>
      <c r="B509" s="4" t="s">
        <v>302</v>
      </c>
      <c r="BN509" s="5"/>
    </row>
    <row r="510" spans="1:66" ht="15.75" customHeight="1">
      <c r="A510" s="4" t="s">
        <v>302</v>
      </c>
      <c r="B510" s="4" t="s">
        <v>302</v>
      </c>
      <c r="BN510" s="5"/>
    </row>
    <row r="511" spans="1:66" ht="15.75" customHeight="1">
      <c r="A511" s="4" t="s">
        <v>302</v>
      </c>
      <c r="B511" s="4" t="s">
        <v>302</v>
      </c>
      <c r="BN511" s="5"/>
    </row>
    <row r="512" spans="1:66" ht="15.75" customHeight="1">
      <c r="A512" s="4" t="s">
        <v>302</v>
      </c>
      <c r="B512" s="4" t="s">
        <v>302</v>
      </c>
      <c r="BN512" s="5"/>
    </row>
    <row r="513" spans="1:66" ht="15.75" customHeight="1">
      <c r="A513" s="4" t="s">
        <v>302</v>
      </c>
      <c r="B513" s="4" t="s">
        <v>302</v>
      </c>
      <c r="BN513" s="5"/>
    </row>
    <row r="514" spans="1:66" ht="15.75" customHeight="1">
      <c r="A514" s="4" t="s">
        <v>302</v>
      </c>
      <c r="B514" s="4" t="s">
        <v>302</v>
      </c>
      <c r="BN514" s="5"/>
    </row>
    <row r="515" spans="1:66" ht="15.75" customHeight="1">
      <c r="A515" s="4" t="s">
        <v>302</v>
      </c>
      <c r="B515" s="4" t="s">
        <v>302</v>
      </c>
      <c r="BN515" s="5"/>
    </row>
    <row r="516" spans="1:66" ht="15.75" customHeight="1">
      <c r="A516" s="4" t="s">
        <v>302</v>
      </c>
      <c r="B516" s="4" t="s">
        <v>302</v>
      </c>
      <c r="BN516" s="5"/>
    </row>
    <row r="517" spans="1:66" ht="15.75" customHeight="1">
      <c r="A517" s="4" t="s">
        <v>302</v>
      </c>
      <c r="B517" s="4" t="s">
        <v>302</v>
      </c>
      <c r="BN517" s="5"/>
    </row>
    <row r="518" spans="1:66" ht="15.75" customHeight="1">
      <c r="A518" s="4" t="s">
        <v>302</v>
      </c>
      <c r="B518" s="4" t="s">
        <v>302</v>
      </c>
      <c r="BN518" s="5"/>
    </row>
    <row r="519" spans="1:66" ht="15.75" customHeight="1">
      <c r="A519" s="4" t="s">
        <v>302</v>
      </c>
      <c r="B519" s="4" t="s">
        <v>302</v>
      </c>
      <c r="BN519" s="5"/>
    </row>
    <row r="520" spans="1:66" ht="15.75" customHeight="1">
      <c r="A520" s="4" t="s">
        <v>302</v>
      </c>
      <c r="B520" s="4" t="s">
        <v>302</v>
      </c>
      <c r="BN520" s="5"/>
    </row>
    <row r="521" spans="1:66" ht="15.75" customHeight="1">
      <c r="A521" s="4" t="s">
        <v>302</v>
      </c>
      <c r="B521" s="4" t="s">
        <v>302</v>
      </c>
      <c r="BN521" s="5"/>
    </row>
    <row r="522" spans="1:66" ht="15.75" customHeight="1">
      <c r="A522" s="4" t="s">
        <v>302</v>
      </c>
      <c r="B522" s="4" t="s">
        <v>302</v>
      </c>
      <c r="BN522" s="5"/>
    </row>
    <row r="523" spans="1:66" ht="15.75" customHeight="1">
      <c r="A523" s="4" t="s">
        <v>302</v>
      </c>
      <c r="B523" s="4" t="s">
        <v>302</v>
      </c>
      <c r="BN523" s="5"/>
    </row>
    <row r="524" spans="1:66" ht="15.75" customHeight="1">
      <c r="A524" s="4" t="s">
        <v>302</v>
      </c>
      <c r="B524" s="4" t="s">
        <v>302</v>
      </c>
      <c r="BN524" s="5"/>
    </row>
    <row r="525" spans="1:66" ht="15.75" customHeight="1">
      <c r="A525" s="4" t="s">
        <v>302</v>
      </c>
      <c r="B525" s="4" t="s">
        <v>302</v>
      </c>
      <c r="BN525" s="5"/>
    </row>
    <row r="526" spans="1:66" ht="15.75" customHeight="1">
      <c r="A526" s="4" t="s">
        <v>302</v>
      </c>
      <c r="B526" s="4" t="s">
        <v>302</v>
      </c>
      <c r="BN526" s="5"/>
    </row>
    <row r="527" spans="1:66" ht="15.75" customHeight="1">
      <c r="A527" s="4" t="s">
        <v>302</v>
      </c>
      <c r="B527" s="4" t="s">
        <v>302</v>
      </c>
      <c r="BN527" s="5"/>
    </row>
    <row r="528" spans="1:66" ht="15.75" customHeight="1">
      <c r="A528" s="4" t="s">
        <v>302</v>
      </c>
      <c r="B528" s="4" t="s">
        <v>302</v>
      </c>
      <c r="BN528" s="5"/>
    </row>
    <row r="529" spans="1:66" ht="15.75" customHeight="1">
      <c r="A529" s="4" t="s">
        <v>302</v>
      </c>
      <c r="B529" s="4" t="s">
        <v>302</v>
      </c>
      <c r="BN529" s="5"/>
    </row>
    <row r="530" spans="1:66" ht="15.75" customHeight="1">
      <c r="A530" s="4" t="s">
        <v>302</v>
      </c>
      <c r="B530" s="4" t="s">
        <v>302</v>
      </c>
      <c r="BN530" s="5"/>
    </row>
    <row r="531" spans="1:66" ht="15.75" customHeight="1">
      <c r="A531" s="4" t="s">
        <v>302</v>
      </c>
      <c r="B531" s="4" t="s">
        <v>302</v>
      </c>
      <c r="BN531" s="5"/>
    </row>
    <row r="532" spans="1:66" ht="15.75" customHeight="1">
      <c r="A532" s="4" t="s">
        <v>302</v>
      </c>
      <c r="B532" s="4" t="s">
        <v>302</v>
      </c>
      <c r="BN532" s="5"/>
    </row>
    <row r="533" spans="1:66" ht="15.75" customHeight="1">
      <c r="A533" s="4" t="s">
        <v>302</v>
      </c>
      <c r="B533" s="4" t="s">
        <v>302</v>
      </c>
      <c r="BN533" s="5"/>
    </row>
    <row r="534" spans="1:66" ht="15.75" customHeight="1">
      <c r="A534" s="4" t="s">
        <v>302</v>
      </c>
      <c r="B534" s="4" t="s">
        <v>302</v>
      </c>
      <c r="BN534" s="5"/>
    </row>
    <row r="535" spans="1:66" ht="15.75" customHeight="1">
      <c r="A535" s="4" t="s">
        <v>302</v>
      </c>
      <c r="B535" s="4" t="s">
        <v>302</v>
      </c>
      <c r="BN535" s="5"/>
    </row>
    <row r="536" spans="1:66" ht="15.75" customHeight="1">
      <c r="A536" s="4" t="s">
        <v>302</v>
      </c>
      <c r="B536" s="4" t="s">
        <v>302</v>
      </c>
      <c r="BN536" s="5"/>
    </row>
    <row r="537" spans="1:66" ht="15.75" customHeight="1">
      <c r="A537" s="4" t="s">
        <v>302</v>
      </c>
      <c r="B537" s="4" t="s">
        <v>302</v>
      </c>
      <c r="BN537" s="5"/>
    </row>
    <row r="538" spans="1:66" ht="15.75" customHeight="1">
      <c r="A538" s="4" t="s">
        <v>302</v>
      </c>
      <c r="B538" s="4" t="s">
        <v>302</v>
      </c>
      <c r="BN538" s="5"/>
    </row>
    <row r="539" spans="1:66" ht="15.75" customHeight="1">
      <c r="A539" s="4" t="s">
        <v>302</v>
      </c>
      <c r="B539" s="4" t="s">
        <v>302</v>
      </c>
      <c r="BN539" s="5"/>
    </row>
    <row r="540" spans="1:66" ht="15.75" customHeight="1">
      <c r="A540" s="4" t="s">
        <v>302</v>
      </c>
      <c r="B540" s="4" t="s">
        <v>302</v>
      </c>
      <c r="BN540" s="5"/>
    </row>
    <row r="541" spans="1:66" ht="15.75" customHeight="1">
      <c r="A541" s="4" t="s">
        <v>302</v>
      </c>
      <c r="B541" s="4" t="s">
        <v>302</v>
      </c>
      <c r="BN541" s="5"/>
    </row>
    <row r="542" spans="1:66" ht="15.75" customHeight="1">
      <c r="A542" s="4" t="s">
        <v>302</v>
      </c>
      <c r="B542" s="4" t="s">
        <v>302</v>
      </c>
      <c r="BN542" s="5"/>
    </row>
    <row r="543" spans="1:66" ht="15.75" customHeight="1">
      <c r="A543" s="4" t="s">
        <v>302</v>
      </c>
      <c r="B543" s="4" t="s">
        <v>302</v>
      </c>
      <c r="BN543" s="5"/>
    </row>
    <row r="544" spans="1:66" ht="15.75" customHeight="1">
      <c r="A544" s="4" t="s">
        <v>302</v>
      </c>
      <c r="B544" s="4" t="s">
        <v>302</v>
      </c>
      <c r="BN544" s="5"/>
    </row>
    <row r="545" spans="1:66" ht="15.75" customHeight="1">
      <c r="A545" s="4" t="s">
        <v>302</v>
      </c>
      <c r="B545" s="4" t="s">
        <v>302</v>
      </c>
      <c r="BN545" s="5"/>
    </row>
    <row r="546" spans="1:66" ht="15.75" customHeight="1">
      <c r="A546" s="4" t="s">
        <v>302</v>
      </c>
      <c r="B546" s="4" t="s">
        <v>302</v>
      </c>
      <c r="BN546" s="5"/>
    </row>
    <row r="547" spans="1:66" ht="15.75" customHeight="1">
      <c r="A547" s="4" t="s">
        <v>302</v>
      </c>
      <c r="B547" s="4" t="s">
        <v>302</v>
      </c>
      <c r="BN547" s="5"/>
    </row>
    <row r="548" spans="1:66" ht="15.75" customHeight="1">
      <c r="A548" s="4" t="s">
        <v>302</v>
      </c>
      <c r="B548" s="4" t="s">
        <v>302</v>
      </c>
      <c r="BN548" s="5"/>
    </row>
    <row r="549" spans="1:66" ht="15.75" customHeight="1">
      <c r="A549" s="4" t="s">
        <v>302</v>
      </c>
      <c r="B549" s="4" t="s">
        <v>302</v>
      </c>
      <c r="BN549" s="5"/>
    </row>
    <row r="550" spans="1:66" ht="15.75" customHeight="1">
      <c r="A550" s="4" t="s">
        <v>302</v>
      </c>
      <c r="B550" s="4" t="s">
        <v>302</v>
      </c>
      <c r="BN550" s="5"/>
    </row>
    <row r="551" spans="1:66" ht="15.75" customHeight="1">
      <c r="A551" s="4" t="s">
        <v>302</v>
      </c>
      <c r="B551" s="4" t="s">
        <v>302</v>
      </c>
      <c r="BN551" s="5"/>
    </row>
    <row r="552" spans="1:66" ht="15.75" customHeight="1">
      <c r="A552" s="4" t="s">
        <v>302</v>
      </c>
      <c r="B552" s="4" t="s">
        <v>302</v>
      </c>
      <c r="BN552" s="5"/>
    </row>
    <row r="553" spans="1:66" ht="15.75" customHeight="1">
      <c r="A553" s="4" t="s">
        <v>302</v>
      </c>
      <c r="B553" s="4" t="s">
        <v>302</v>
      </c>
      <c r="BN553" s="5"/>
    </row>
    <row r="554" spans="1:66" ht="15.75" customHeight="1">
      <c r="A554" s="4" t="s">
        <v>302</v>
      </c>
      <c r="B554" s="4" t="s">
        <v>302</v>
      </c>
      <c r="BN554" s="5"/>
    </row>
    <row r="555" spans="1:66" ht="15.75" customHeight="1">
      <c r="A555" s="4" t="s">
        <v>302</v>
      </c>
      <c r="B555" s="4" t="s">
        <v>302</v>
      </c>
      <c r="BN555" s="5"/>
    </row>
    <row r="556" spans="1:66" ht="15.75" customHeight="1">
      <c r="A556" s="4" t="s">
        <v>302</v>
      </c>
      <c r="B556" s="4" t="s">
        <v>302</v>
      </c>
      <c r="BN556" s="5"/>
    </row>
    <row r="557" spans="1:66" ht="15.75" customHeight="1">
      <c r="A557" s="4" t="s">
        <v>302</v>
      </c>
      <c r="B557" s="4" t="s">
        <v>302</v>
      </c>
      <c r="BN557" s="5"/>
    </row>
    <row r="558" spans="1:66" ht="15.75" customHeight="1">
      <c r="A558" s="4" t="s">
        <v>302</v>
      </c>
      <c r="B558" s="4" t="s">
        <v>302</v>
      </c>
      <c r="BN558" s="5"/>
    </row>
    <row r="559" spans="1:66" ht="15.75" customHeight="1">
      <c r="A559" s="4" t="s">
        <v>302</v>
      </c>
      <c r="B559" s="4" t="s">
        <v>302</v>
      </c>
      <c r="BN559" s="5"/>
    </row>
    <row r="560" spans="1:66" ht="15.75" customHeight="1">
      <c r="A560" s="4" t="s">
        <v>302</v>
      </c>
      <c r="B560" s="4" t="s">
        <v>302</v>
      </c>
      <c r="BN560" s="5"/>
    </row>
    <row r="561" spans="1:66" ht="15.75" customHeight="1">
      <c r="A561" s="4" t="s">
        <v>302</v>
      </c>
      <c r="B561" s="4" t="s">
        <v>302</v>
      </c>
      <c r="BN561" s="5"/>
    </row>
    <row r="562" spans="1:66" ht="15.75" customHeight="1">
      <c r="A562" s="4" t="s">
        <v>302</v>
      </c>
      <c r="B562" s="4" t="s">
        <v>302</v>
      </c>
      <c r="BN562" s="5"/>
    </row>
    <row r="563" spans="1:66" ht="15.75" customHeight="1">
      <c r="A563" s="4" t="s">
        <v>302</v>
      </c>
      <c r="B563" s="4" t="s">
        <v>302</v>
      </c>
      <c r="BN563" s="5"/>
    </row>
    <row r="564" spans="1:66" ht="15.75" customHeight="1">
      <c r="A564" s="4" t="s">
        <v>302</v>
      </c>
      <c r="B564" s="4" t="s">
        <v>302</v>
      </c>
      <c r="BN564" s="5"/>
    </row>
    <row r="565" spans="1:66" ht="15.75" customHeight="1">
      <c r="A565" s="4" t="s">
        <v>302</v>
      </c>
      <c r="B565" s="4" t="s">
        <v>302</v>
      </c>
      <c r="BN565" s="5"/>
    </row>
    <row r="566" spans="1:66" ht="15.75" customHeight="1">
      <c r="A566" s="4" t="s">
        <v>302</v>
      </c>
      <c r="B566" s="4" t="s">
        <v>302</v>
      </c>
      <c r="BN566" s="5"/>
    </row>
    <row r="567" spans="1:66" ht="15.75" customHeight="1">
      <c r="A567" s="4" t="s">
        <v>302</v>
      </c>
      <c r="B567" s="4" t="s">
        <v>302</v>
      </c>
      <c r="BN567" s="5"/>
    </row>
    <row r="568" spans="1:66" ht="15.75" customHeight="1">
      <c r="A568" s="4" t="s">
        <v>302</v>
      </c>
      <c r="B568" s="4" t="s">
        <v>302</v>
      </c>
      <c r="BN568" s="5"/>
    </row>
    <row r="569" spans="1:66" ht="15.75" customHeight="1">
      <c r="A569" s="4" t="s">
        <v>302</v>
      </c>
      <c r="B569" s="4" t="s">
        <v>302</v>
      </c>
      <c r="BN569" s="5"/>
    </row>
    <row r="570" spans="1:66" ht="15.75" customHeight="1">
      <c r="A570" s="4" t="s">
        <v>302</v>
      </c>
      <c r="B570" s="4" t="s">
        <v>302</v>
      </c>
      <c r="BN570" s="5"/>
    </row>
    <row r="571" spans="1:66" ht="15.75" customHeight="1">
      <c r="A571" s="4" t="s">
        <v>302</v>
      </c>
      <c r="B571" s="4" t="s">
        <v>302</v>
      </c>
      <c r="BN571" s="5"/>
    </row>
    <row r="572" spans="1:66" ht="15.75" customHeight="1">
      <c r="A572" s="4" t="s">
        <v>302</v>
      </c>
      <c r="B572" s="4" t="s">
        <v>302</v>
      </c>
      <c r="BN572" s="5"/>
    </row>
    <row r="573" spans="1:66" ht="15.75" customHeight="1">
      <c r="A573" s="4" t="s">
        <v>302</v>
      </c>
      <c r="B573" s="4" t="s">
        <v>302</v>
      </c>
      <c r="BN573" s="5"/>
    </row>
    <row r="574" spans="1:66" ht="15.75" customHeight="1">
      <c r="A574" s="4" t="s">
        <v>302</v>
      </c>
      <c r="B574" s="4" t="s">
        <v>302</v>
      </c>
      <c r="BN574" s="5"/>
    </row>
    <row r="575" spans="1:66" ht="15.75" customHeight="1">
      <c r="A575" s="4" t="s">
        <v>302</v>
      </c>
      <c r="B575" s="4" t="s">
        <v>302</v>
      </c>
      <c r="BN575" s="5"/>
    </row>
    <row r="576" spans="1:66" ht="15.75" customHeight="1">
      <c r="A576" s="4" t="s">
        <v>302</v>
      </c>
      <c r="B576" s="4" t="s">
        <v>302</v>
      </c>
      <c r="BN576" s="5"/>
    </row>
    <row r="577" spans="1:66" ht="15.75" customHeight="1">
      <c r="A577" s="4" t="s">
        <v>302</v>
      </c>
      <c r="B577" s="4" t="s">
        <v>302</v>
      </c>
      <c r="BN577" s="5"/>
    </row>
    <row r="578" spans="1:66" ht="15.75" customHeight="1">
      <c r="A578" s="4" t="s">
        <v>302</v>
      </c>
      <c r="B578" s="4" t="s">
        <v>302</v>
      </c>
      <c r="BN578" s="5"/>
    </row>
    <row r="579" spans="1:66" ht="15.75" customHeight="1">
      <c r="A579" s="4" t="s">
        <v>302</v>
      </c>
      <c r="B579" s="4" t="s">
        <v>302</v>
      </c>
      <c r="BN579" s="5"/>
    </row>
    <row r="580" spans="1:66" ht="15.75" customHeight="1">
      <c r="A580" s="4" t="s">
        <v>302</v>
      </c>
      <c r="B580" s="4" t="s">
        <v>302</v>
      </c>
      <c r="BN580" s="5"/>
    </row>
    <row r="581" spans="1:66" ht="15.75" customHeight="1">
      <c r="A581" s="4" t="s">
        <v>302</v>
      </c>
      <c r="B581" s="4" t="s">
        <v>302</v>
      </c>
      <c r="BN581" s="5"/>
    </row>
    <row r="582" spans="1:66" ht="15.75" customHeight="1">
      <c r="A582" s="4" t="s">
        <v>302</v>
      </c>
      <c r="B582" s="4" t="s">
        <v>302</v>
      </c>
      <c r="BN582" s="5"/>
    </row>
    <row r="583" spans="1:66" ht="15.75" customHeight="1">
      <c r="A583" s="4" t="s">
        <v>302</v>
      </c>
      <c r="B583" s="4" t="s">
        <v>302</v>
      </c>
      <c r="BN583" s="5"/>
    </row>
    <row r="584" spans="1:66" ht="15.75" customHeight="1">
      <c r="A584" s="4" t="s">
        <v>302</v>
      </c>
      <c r="B584" s="4" t="s">
        <v>302</v>
      </c>
      <c r="BN584" s="5"/>
    </row>
    <row r="585" spans="1:66" ht="15.75" customHeight="1">
      <c r="A585" s="4" t="s">
        <v>302</v>
      </c>
      <c r="B585" s="4" t="s">
        <v>302</v>
      </c>
      <c r="BN585" s="5"/>
    </row>
    <row r="586" spans="1:66" ht="15.75" customHeight="1">
      <c r="A586" s="4" t="s">
        <v>302</v>
      </c>
      <c r="B586" s="4" t="s">
        <v>302</v>
      </c>
      <c r="BN586" s="5"/>
    </row>
    <row r="587" spans="1:66" ht="15.75" customHeight="1">
      <c r="A587" s="4" t="s">
        <v>302</v>
      </c>
      <c r="B587" s="4" t="s">
        <v>302</v>
      </c>
      <c r="BN587" s="5"/>
    </row>
    <row r="588" spans="1:66" ht="15.75" customHeight="1">
      <c r="A588" s="4" t="s">
        <v>302</v>
      </c>
      <c r="B588" s="4" t="s">
        <v>302</v>
      </c>
      <c r="BN588" s="5"/>
    </row>
    <row r="589" spans="1:66" ht="15.75" customHeight="1">
      <c r="A589" s="4" t="s">
        <v>302</v>
      </c>
      <c r="B589" s="4" t="s">
        <v>302</v>
      </c>
      <c r="BN589" s="5"/>
    </row>
    <row r="590" spans="1:66" ht="15.75" customHeight="1">
      <c r="A590" s="4" t="s">
        <v>302</v>
      </c>
      <c r="B590" s="4" t="s">
        <v>302</v>
      </c>
      <c r="BN590" s="5"/>
    </row>
    <row r="591" spans="1:66" ht="15.75" customHeight="1">
      <c r="A591" s="4" t="s">
        <v>302</v>
      </c>
      <c r="B591" s="4" t="s">
        <v>302</v>
      </c>
      <c r="BN591" s="5"/>
    </row>
    <row r="592" spans="1:66" ht="15.75" customHeight="1">
      <c r="A592" s="4" t="s">
        <v>302</v>
      </c>
      <c r="B592" s="4" t="s">
        <v>302</v>
      </c>
      <c r="BN592" s="5"/>
    </row>
    <row r="593" spans="1:66" ht="15.75" customHeight="1">
      <c r="A593" s="4" t="s">
        <v>302</v>
      </c>
      <c r="B593" s="4" t="s">
        <v>302</v>
      </c>
      <c r="BN593" s="5"/>
    </row>
    <row r="594" spans="1:66" ht="15.75" customHeight="1">
      <c r="A594" s="4" t="s">
        <v>302</v>
      </c>
      <c r="B594" s="4" t="s">
        <v>302</v>
      </c>
      <c r="BN594" s="5"/>
    </row>
    <row r="595" spans="1:66" ht="15.75" customHeight="1">
      <c r="A595" s="4" t="s">
        <v>302</v>
      </c>
      <c r="B595" s="4" t="s">
        <v>302</v>
      </c>
      <c r="BN595" s="5"/>
    </row>
    <row r="596" spans="1:66" ht="15.75" customHeight="1">
      <c r="A596" s="4" t="s">
        <v>302</v>
      </c>
      <c r="B596" s="4" t="s">
        <v>302</v>
      </c>
      <c r="BN596" s="5"/>
    </row>
    <row r="597" spans="1:66" ht="15.75" customHeight="1">
      <c r="A597" s="4" t="s">
        <v>302</v>
      </c>
      <c r="B597" s="4" t="s">
        <v>302</v>
      </c>
      <c r="BN597" s="5"/>
    </row>
    <row r="598" spans="1:66" ht="15.75" customHeight="1">
      <c r="A598" s="4" t="s">
        <v>302</v>
      </c>
      <c r="B598" s="4" t="s">
        <v>302</v>
      </c>
      <c r="BN598" s="5"/>
    </row>
    <row r="599" spans="1:66" ht="15.75" customHeight="1">
      <c r="A599" s="4" t="s">
        <v>302</v>
      </c>
      <c r="B599" s="4" t="s">
        <v>302</v>
      </c>
      <c r="BN599" s="5"/>
    </row>
    <row r="600" spans="1:66" ht="15.75" customHeight="1">
      <c r="A600" s="4" t="s">
        <v>302</v>
      </c>
      <c r="B600" s="4" t="s">
        <v>302</v>
      </c>
      <c r="BN600" s="5"/>
    </row>
    <row r="601" spans="1:66" ht="15.75" customHeight="1">
      <c r="A601" s="4" t="s">
        <v>302</v>
      </c>
      <c r="B601" s="4" t="s">
        <v>302</v>
      </c>
      <c r="BN601" s="5"/>
    </row>
    <row r="602" spans="1:66" ht="15.75" customHeight="1">
      <c r="A602" s="4" t="s">
        <v>302</v>
      </c>
      <c r="B602" s="4" t="s">
        <v>302</v>
      </c>
      <c r="BN602" s="5"/>
    </row>
    <row r="603" spans="1:66" ht="15.75" customHeight="1">
      <c r="A603" s="4" t="s">
        <v>302</v>
      </c>
      <c r="B603" s="4" t="s">
        <v>302</v>
      </c>
      <c r="BN603" s="5"/>
    </row>
    <row r="604" spans="1:66" ht="15.75" customHeight="1">
      <c r="A604" s="4" t="s">
        <v>302</v>
      </c>
      <c r="B604" s="4" t="s">
        <v>302</v>
      </c>
      <c r="BN604" s="5"/>
    </row>
    <row r="605" spans="1:66" ht="15.75" customHeight="1">
      <c r="A605" s="4" t="s">
        <v>302</v>
      </c>
      <c r="B605" s="4" t="s">
        <v>302</v>
      </c>
      <c r="BN605" s="5"/>
    </row>
    <row r="606" spans="1:66" ht="15.75" customHeight="1">
      <c r="A606" s="4" t="s">
        <v>302</v>
      </c>
      <c r="B606" s="4" t="s">
        <v>302</v>
      </c>
      <c r="BN606" s="5"/>
    </row>
    <row r="607" spans="1:66" ht="15.75" customHeight="1">
      <c r="A607" s="4" t="s">
        <v>302</v>
      </c>
      <c r="B607" s="4" t="s">
        <v>302</v>
      </c>
      <c r="BN607" s="5"/>
    </row>
    <row r="608" spans="1:66" ht="15.75" customHeight="1">
      <c r="A608" s="4" t="s">
        <v>302</v>
      </c>
      <c r="B608" s="4" t="s">
        <v>302</v>
      </c>
      <c r="BN608" s="5"/>
    </row>
    <row r="609" spans="1:66" ht="15.75" customHeight="1">
      <c r="A609" s="4" t="s">
        <v>302</v>
      </c>
      <c r="B609" s="4" t="s">
        <v>302</v>
      </c>
      <c r="BN609" s="5"/>
    </row>
    <row r="610" spans="1:66" ht="15.75" customHeight="1">
      <c r="A610" s="4" t="s">
        <v>302</v>
      </c>
      <c r="B610" s="4" t="s">
        <v>302</v>
      </c>
      <c r="BN610" s="5"/>
    </row>
    <row r="611" spans="1:66" ht="15.75" customHeight="1">
      <c r="A611" s="4" t="s">
        <v>302</v>
      </c>
      <c r="B611" s="4" t="s">
        <v>302</v>
      </c>
      <c r="BN611" s="5"/>
    </row>
    <row r="612" spans="1:66" ht="15.75" customHeight="1">
      <c r="A612" s="4" t="s">
        <v>302</v>
      </c>
      <c r="B612" s="4" t="s">
        <v>302</v>
      </c>
      <c r="BN612" s="5"/>
    </row>
    <row r="613" spans="1:66" ht="15.75" customHeight="1">
      <c r="A613" s="4" t="s">
        <v>302</v>
      </c>
      <c r="B613" s="4" t="s">
        <v>302</v>
      </c>
      <c r="BN613" s="5"/>
    </row>
    <row r="614" spans="1:66" ht="15.75" customHeight="1">
      <c r="A614" s="4" t="s">
        <v>302</v>
      </c>
      <c r="B614" s="4" t="s">
        <v>302</v>
      </c>
      <c r="BN614" s="5"/>
    </row>
    <row r="615" spans="1:66" ht="15.75" customHeight="1">
      <c r="A615" s="4" t="s">
        <v>302</v>
      </c>
      <c r="B615" s="4" t="s">
        <v>302</v>
      </c>
      <c r="BN615" s="5"/>
    </row>
    <row r="616" spans="1:66" ht="15.75" customHeight="1">
      <c r="A616" s="4" t="s">
        <v>302</v>
      </c>
      <c r="B616" s="4" t="s">
        <v>302</v>
      </c>
      <c r="BN616" s="5"/>
    </row>
    <row r="617" spans="1:66" ht="15.75" customHeight="1">
      <c r="A617" s="4" t="s">
        <v>302</v>
      </c>
      <c r="B617" s="4" t="s">
        <v>302</v>
      </c>
      <c r="BN617" s="5"/>
    </row>
    <row r="618" spans="1:66" ht="15.75" customHeight="1">
      <c r="A618" s="4" t="s">
        <v>302</v>
      </c>
      <c r="B618" s="4" t="s">
        <v>302</v>
      </c>
      <c r="BN618" s="5"/>
    </row>
    <row r="619" spans="1:66" ht="15.75" customHeight="1">
      <c r="A619" s="4" t="s">
        <v>302</v>
      </c>
      <c r="B619" s="4" t="s">
        <v>302</v>
      </c>
      <c r="BN619" s="5"/>
    </row>
    <row r="620" spans="1:66" ht="15.75" customHeight="1">
      <c r="A620" s="4" t="s">
        <v>302</v>
      </c>
      <c r="B620" s="4" t="s">
        <v>302</v>
      </c>
      <c r="BN620" s="5"/>
    </row>
    <row r="621" spans="1:66" ht="15.75" customHeight="1">
      <c r="A621" s="4" t="s">
        <v>302</v>
      </c>
      <c r="B621" s="4" t="s">
        <v>302</v>
      </c>
      <c r="BN621" s="5"/>
    </row>
    <row r="622" spans="1:66" ht="15.75" customHeight="1">
      <c r="A622" s="4" t="s">
        <v>302</v>
      </c>
      <c r="B622" s="4" t="s">
        <v>302</v>
      </c>
      <c r="BN622" s="5"/>
    </row>
    <row r="623" spans="1:66" ht="15.75" customHeight="1">
      <c r="A623" s="4" t="s">
        <v>302</v>
      </c>
      <c r="B623" s="4" t="s">
        <v>302</v>
      </c>
      <c r="BN623" s="5"/>
    </row>
    <row r="624" spans="1:66" ht="15.75" customHeight="1">
      <c r="A624" s="4" t="s">
        <v>302</v>
      </c>
      <c r="B624" s="4" t="s">
        <v>302</v>
      </c>
      <c r="BN624" s="5"/>
    </row>
    <row r="625" spans="1:66" ht="15.75" customHeight="1">
      <c r="A625" s="4" t="s">
        <v>302</v>
      </c>
      <c r="B625" s="4" t="s">
        <v>302</v>
      </c>
      <c r="BN625" s="5"/>
    </row>
    <row r="626" spans="1:66" ht="15.75" customHeight="1">
      <c r="A626" s="4" t="s">
        <v>302</v>
      </c>
      <c r="B626" s="4" t="s">
        <v>302</v>
      </c>
      <c r="BN626" s="5"/>
    </row>
    <row r="627" spans="1:66" ht="15.75" customHeight="1">
      <c r="A627" s="4" t="s">
        <v>302</v>
      </c>
      <c r="B627" s="4" t="s">
        <v>302</v>
      </c>
      <c r="BN627" s="5"/>
    </row>
    <row r="628" spans="1:66" ht="15.75" customHeight="1">
      <c r="A628" s="4" t="s">
        <v>302</v>
      </c>
      <c r="B628" s="4" t="s">
        <v>302</v>
      </c>
      <c r="BN628" s="5"/>
    </row>
    <row r="629" spans="1:66" ht="15.75" customHeight="1">
      <c r="A629" s="4" t="s">
        <v>302</v>
      </c>
      <c r="B629" s="4" t="s">
        <v>302</v>
      </c>
      <c r="BN629" s="5"/>
    </row>
    <row r="630" spans="1:66" ht="15.75" customHeight="1">
      <c r="A630" s="4" t="s">
        <v>302</v>
      </c>
      <c r="B630" s="4" t="s">
        <v>302</v>
      </c>
      <c r="BN630" s="5"/>
    </row>
    <row r="631" spans="1:66" ht="15.75" customHeight="1">
      <c r="A631" s="4" t="s">
        <v>302</v>
      </c>
      <c r="B631" s="4" t="s">
        <v>302</v>
      </c>
      <c r="BN631" s="5"/>
    </row>
    <row r="632" spans="1:66" ht="15.75" customHeight="1">
      <c r="A632" s="4" t="s">
        <v>302</v>
      </c>
      <c r="B632" s="4" t="s">
        <v>302</v>
      </c>
      <c r="BN632" s="5"/>
    </row>
    <row r="633" spans="1:66" ht="15.75" customHeight="1">
      <c r="A633" s="4" t="s">
        <v>302</v>
      </c>
      <c r="B633" s="4" t="s">
        <v>302</v>
      </c>
      <c r="BN633" s="5"/>
    </row>
    <row r="634" spans="1:66" ht="15.75" customHeight="1">
      <c r="A634" s="4" t="s">
        <v>302</v>
      </c>
      <c r="B634" s="4" t="s">
        <v>302</v>
      </c>
      <c r="BN634" s="5"/>
    </row>
    <row r="635" spans="1:66" ht="15.75" customHeight="1">
      <c r="A635" s="4" t="s">
        <v>302</v>
      </c>
      <c r="B635" s="4" t="s">
        <v>302</v>
      </c>
      <c r="BN635" s="5"/>
    </row>
    <row r="636" spans="1:66" ht="15.75" customHeight="1">
      <c r="A636" s="4" t="s">
        <v>302</v>
      </c>
      <c r="B636" s="4" t="s">
        <v>302</v>
      </c>
      <c r="BN636" s="5"/>
    </row>
    <row r="637" spans="1:66" ht="15.75" customHeight="1">
      <c r="A637" s="4" t="s">
        <v>302</v>
      </c>
      <c r="B637" s="4" t="s">
        <v>302</v>
      </c>
      <c r="BN637" s="5"/>
    </row>
    <row r="638" spans="1:66" ht="15.75" customHeight="1">
      <c r="A638" s="4" t="s">
        <v>302</v>
      </c>
      <c r="B638" s="4" t="s">
        <v>302</v>
      </c>
      <c r="BN638" s="5"/>
    </row>
    <row r="639" spans="1:66" ht="15.75" customHeight="1">
      <c r="A639" s="4" t="s">
        <v>302</v>
      </c>
      <c r="B639" s="4" t="s">
        <v>302</v>
      </c>
      <c r="BN639" s="5"/>
    </row>
    <row r="640" spans="1:66" ht="15.75" customHeight="1">
      <c r="A640" s="4" t="s">
        <v>302</v>
      </c>
      <c r="B640" s="4" t="s">
        <v>302</v>
      </c>
      <c r="BN640" s="5"/>
    </row>
    <row r="641" spans="1:66" ht="15.75" customHeight="1">
      <c r="A641" s="4" t="s">
        <v>302</v>
      </c>
      <c r="B641" s="4" t="s">
        <v>302</v>
      </c>
      <c r="BN641" s="5"/>
    </row>
    <row r="642" spans="1:66" ht="15.75" customHeight="1">
      <c r="A642" s="4" t="s">
        <v>302</v>
      </c>
      <c r="B642" s="4" t="s">
        <v>302</v>
      </c>
      <c r="BN642" s="5"/>
    </row>
    <row r="643" spans="1:66" ht="15.75" customHeight="1">
      <c r="A643" s="4" t="s">
        <v>302</v>
      </c>
      <c r="B643" s="4" t="s">
        <v>302</v>
      </c>
      <c r="BN643" s="5"/>
    </row>
    <row r="644" spans="1:66" ht="15.75" customHeight="1">
      <c r="A644" s="4" t="s">
        <v>302</v>
      </c>
      <c r="B644" s="4" t="s">
        <v>302</v>
      </c>
      <c r="BN644" s="5"/>
    </row>
    <row r="645" spans="1:66" ht="15.75" customHeight="1">
      <c r="A645" s="4" t="s">
        <v>302</v>
      </c>
      <c r="B645" s="4" t="s">
        <v>302</v>
      </c>
      <c r="BN645" s="5"/>
    </row>
    <row r="646" spans="1:66" ht="15.75" customHeight="1">
      <c r="A646" s="4" t="s">
        <v>302</v>
      </c>
      <c r="B646" s="4" t="s">
        <v>302</v>
      </c>
      <c r="BN646" s="5"/>
    </row>
    <row r="647" spans="1:66" ht="15.75" customHeight="1">
      <c r="A647" s="4" t="s">
        <v>302</v>
      </c>
      <c r="B647" s="4" t="s">
        <v>302</v>
      </c>
      <c r="BN647" s="5"/>
    </row>
    <row r="648" spans="1:66" ht="15.75" customHeight="1">
      <c r="A648" s="4" t="s">
        <v>302</v>
      </c>
      <c r="B648" s="4" t="s">
        <v>302</v>
      </c>
      <c r="BN648" s="5"/>
    </row>
    <row r="649" spans="1:66" ht="15.75" customHeight="1">
      <c r="A649" s="4" t="s">
        <v>302</v>
      </c>
      <c r="B649" s="4" t="s">
        <v>302</v>
      </c>
      <c r="BN649" s="5"/>
    </row>
    <row r="650" spans="1:66" ht="15.75" customHeight="1">
      <c r="A650" s="4" t="s">
        <v>302</v>
      </c>
      <c r="B650" s="4" t="s">
        <v>302</v>
      </c>
      <c r="BN650" s="5"/>
    </row>
    <row r="651" spans="1:66" ht="15.75" customHeight="1">
      <c r="A651" s="4" t="s">
        <v>302</v>
      </c>
      <c r="B651" s="4" t="s">
        <v>302</v>
      </c>
      <c r="BN651" s="5"/>
    </row>
    <row r="652" spans="1:66" ht="15.75" customHeight="1">
      <c r="A652" s="4" t="s">
        <v>302</v>
      </c>
      <c r="B652" s="4" t="s">
        <v>302</v>
      </c>
      <c r="BN652" s="5"/>
    </row>
    <row r="653" spans="1:66" ht="15.75" customHeight="1">
      <c r="A653" s="4" t="s">
        <v>302</v>
      </c>
      <c r="B653" s="4" t="s">
        <v>302</v>
      </c>
      <c r="BN653" s="5"/>
    </row>
    <row r="654" spans="1:66" ht="15.75" customHeight="1">
      <c r="A654" s="4" t="s">
        <v>302</v>
      </c>
      <c r="B654" s="4" t="s">
        <v>302</v>
      </c>
      <c r="BN654" s="5"/>
    </row>
    <row r="655" spans="1:66" ht="15.75" customHeight="1">
      <c r="A655" s="4" t="s">
        <v>302</v>
      </c>
      <c r="B655" s="4" t="s">
        <v>302</v>
      </c>
      <c r="BN655" s="5"/>
    </row>
    <row r="656" spans="1:66" ht="15.75" customHeight="1">
      <c r="A656" s="4" t="s">
        <v>302</v>
      </c>
      <c r="B656" s="4" t="s">
        <v>302</v>
      </c>
      <c r="BN656" s="5"/>
    </row>
    <row r="657" spans="1:66" ht="15.75" customHeight="1">
      <c r="A657" s="4" t="s">
        <v>302</v>
      </c>
      <c r="B657" s="4" t="s">
        <v>302</v>
      </c>
      <c r="BN657" s="5"/>
    </row>
    <row r="658" spans="1:66" ht="15.75" customHeight="1">
      <c r="A658" s="4" t="s">
        <v>302</v>
      </c>
      <c r="B658" s="4" t="s">
        <v>302</v>
      </c>
      <c r="BN658" s="5"/>
    </row>
    <row r="659" spans="1:66" ht="15.75" customHeight="1">
      <c r="A659" s="4" t="s">
        <v>302</v>
      </c>
      <c r="B659" s="4" t="s">
        <v>302</v>
      </c>
      <c r="BN659" s="5"/>
    </row>
    <row r="660" spans="1:66" ht="15.75" customHeight="1">
      <c r="A660" s="4" t="s">
        <v>302</v>
      </c>
      <c r="B660" s="4" t="s">
        <v>302</v>
      </c>
      <c r="BN660" s="5"/>
    </row>
    <row r="661" spans="1:66" ht="15.75" customHeight="1">
      <c r="A661" s="4" t="s">
        <v>302</v>
      </c>
      <c r="B661" s="4" t="s">
        <v>302</v>
      </c>
      <c r="BN661" s="5"/>
    </row>
    <row r="662" spans="1:66" ht="15.75" customHeight="1">
      <c r="A662" s="4" t="s">
        <v>302</v>
      </c>
      <c r="B662" s="4" t="s">
        <v>302</v>
      </c>
      <c r="BN662" s="5"/>
    </row>
    <row r="663" spans="1:66" ht="15.75" customHeight="1">
      <c r="A663" s="4" t="s">
        <v>302</v>
      </c>
      <c r="B663" s="4" t="s">
        <v>302</v>
      </c>
      <c r="BN663" s="5"/>
    </row>
    <row r="664" spans="1:66" ht="15.75" customHeight="1">
      <c r="A664" s="4" t="s">
        <v>302</v>
      </c>
      <c r="B664" s="4" t="s">
        <v>302</v>
      </c>
      <c r="BN664" s="5"/>
    </row>
    <row r="665" spans="1:66" ht="15.75" customHeight="1">
      <c r="A665" s="4" t="s">
        <v>302</v>
      </c>
      <c r="B665" s="4" t="s">
        <v>302</v>
      </c>
      <c r="BN665" s="5"/>
    </row>
    <row r="666" spans="1:66" ht="15.75" customHeight="1">
      <c r="A666" s="4" t="s">
        <v>302</v>
      </c>
      <c r="B666" s="4" t="s">
        <v>302</v>
      </c>
      <c r="BN666" s="5"/>
    </row>
    <row r="667" spans="1:66" ht="15.75" customHeight="1">
      <c r="A667" s="4" t="s">
        <v>302</v>
      </c>
      <c r="B667" s="4" t="s">
        <v>302</v>
      </c>
      <c r="BN667" s="5"/>
    </row>
    <row r="668" spans="1:66" ht="15.75" customHeight="1">
      <c r="A668" s="4" t="s">
        <v>302</v>
      </c>
      <c r="B668" s="4" t="s">
        <v>302</v>
      </c>
      <c r="BN668" s="5"/>
    </row>
    <row r="669" spans="1:66" ht="15.75" customHeight="1">
      <c r="A669" s="4" t="s">
        <v>302</v>
      </c>
      <c r="B669" s="4" t="s">
        <v>302</v>
      </c>
      <c r="BN669" s="5"/>
    </row>
    <row r="670" spans="1:66" ht="15.75" customHeight="1">
      <c r="A670" s="4" t="s">
        <v>302</v>
      </c>
      <c r="B670" s="4" t="s">
        <v>302</v>
      </c>
      <c r="BN670" s="5"/>
    </row>
    <row r="671" spans="1:66" ht="15.75" customHeight="1">
      <c r="A671" s="4" t="s">
        <v>302</v>
      </c>
      <c r="B671" s="4" t="s">
        <v>302</v>
      </c>
      <c r="BN671" s="5"/>
    </row>
    <row r="672" spans="1:66" ht="15.75" customHeight="1">
      <c r="A672" s="4" t="s">
        <v>302</v>
      </c>
      <c r="B672" s="4" t="s">
        <v>302</v>
      </c>
      <c r="BN672" s="5"/>
    </row>
    <row r="673" spans="1:66" ht="15.75" customHeight="1">
      <c r="A673" s="4" t="s">
        <v>302</v>
      </c>
      <c r="B673" s="4" t="s">
        <v>302</v>
      </c>
      <c r="BN673" s="5"/>
    </row>
    <row r="674" spans="1:66" ht="15.75" customHeight="1">
      <c r="A674" s="4" t="s">
        <v>302</v>
      </c>
      <c r="B674" s="4" t="s">
        <v>302</v>
      </c>
      <c r="BN674" s="5"/>
    </row>
    <row r="675" spans="1:66" ht="15.75" customHeight="1">
      <c r="A675" s="4" t="s">
        <v>302</v>
      </c>
      <c r="B675" s="4" t="s">
        <v>302</v>
      </c>
      <c r="BN675" s="5"/>
    </row>
    <row r="676" spans="1:66" ht="15.75" customHeight="1">
      <c r="A676" s="4" t="s">
        <v>302</v>
      </c>
      <c r="B676" s="4" t="s">
        <v>302</v>
      </c>
      <c r="BN676" s="5"/>
    </row>
    <row r="677" spans="1:66" ht="15.75" customHeight="1">
      <c r="A677" s="4" t="s">
        <v>302</v>
      </c>
      <c r="B677" s="4" t="s">
        <v>302</v>
      </c>
      <c r="BN677" s="5"/>
    </row>
    <row r="678" spans="1:66" ht="15.75" customHeight="1">
      <c r="A678" s="4" t="s">
        <v>302</v>
      </c>
      <c r="B678" s="4" t="s">
        <v>302</v>
      </c>
      <c r="BN678" s="5"/>
    </row>
    <row r="679" spans="1:66" ht="15.75" customHeight="1">
      <c r="A679" s="4" t="s">
        <v>302</v>
      </c>
      <c r="B679" s="4" t="s">
        <v>302</v>
      </c>
      <c r="BN679" s="5"/>
    </row>
    <row r="680" spans="1:66" ht="15.75" customHeight="1">
      <c r="A680" s="4" t="s">
        <v>302</v>
      </c>
      <c r="B680" s="4" t="s">
        <v>302</v>
      </c>
      <c r="BN680" s="5"/>
    </row>
    <row r="681" spans="1:66" ht="15.75" customHeight="1">
      <c r="A681" s="4" t="s">
        <v>302</v>
      </c>
      <c r="B681" s="4" t="s">
        <v>302</v>
      </c>
      <c r="BN681" s="5"/>
    </row>
    <row r="682" spans="1:66" ht="15.75" customHeight="1">
      <c r="A682" s="4" t="s">
        <v>302</v>
      </c>
      <c r="B682" s="4" t="s">
        <v>302</v>
      </c>
      <c r="BN682" s="5"/>
    </row>
    <row r="683" spans="1:66" ht="15.75" customHeight="1">
      <c r="A683" s="4" t="s">
        <v>302</v>
      </c>
      <c r="B683" s="4" t="s">
        <v>302</v>
      </c>
      <c r="BN683" s="5"/>
    </row>
    <row r="684" spans="1:66" ht="15.75" customHeight="1">
      <c r="A684" s="4" t="s">
        <v>302</v>
      </c>
      <c r="B684" s="4" t="s">
        <v>302</v>
      </c>
      <c r="BN684" s="5"/>
    </row>
    <row r="685" spans="1:66" ht="15.75" customHeight="1">
      <c r="A685" s="4" t="s">
        <v>302</v>
      </c>
      <c r="B685" s="4" t="s">
        <v>302</v>
      </c>
      <c r="BN685" s="5"/>
    </row>
    <row r="686" spans="1:66" ht="15.75" customHeight="1">
      <c r="A686" s="4" t="s">
        <v>302</v>
      </c>
      <c r="B686" s="4" t="s">
        <v>302</v>
      </c>
      <c r="BN686" s="5"/>
    </row>
    <row r="687" spans="1:66" ht="15.75" customHeight="1">
      <c r="A687" s="4" t="s">
        <v>302</v>
      </c>
      <c r="B687" s="4" t="s">
        <v>302</v>
      </c>
      <c r="BN687" s="5"/>
    </row>
    <row r="688" spans="1:66" ht="15.75" customHeight="1">
      <c r="A688" s="4" t="s">
        <v>302</v>
      </c>
      <c r="B688" s="4" t="s">
        <v>302</v>
      </c>
      <c r="BN688" s="5"/>
    </row>
    <row r="689" spans="1:66" ht="15.75" customHeight="1">
      <c r="A689" s="4" t="s">
        <v>302</v>
      </c>
      <c r="B689" s="4" t="s">
        <v>302</v>
      </c>
      <c r="BN689" s="5"/>
    </row>
    <row r="690" spans="1:66" ht="15.75" customHeight="1">
      <c r="A690" s="4" t="s">
        <v>302</v>
      </c>
      <c r="B690" s="4" t="s">
        <v>302</v>
      </c>
      <c r="BN690" s="5"/>
    </row>
    <row r="691" spans="1:66" ht="15.75" customHeight="1">
      <c r="A691" s="4" t="s">
        <v>302</v>
      </c>
      <c r="B691" s="4" t="s">
        <v>302</v>
      </c>
      <c r="BN691" s="5"/>
    </row>
    <row r="692" spans="1:66" ht="15.75" customHeight="1">
      <c r="A692" s="4" t="s">
        <v>302</v>
      </c>
      <c r="B692" s="4" t="s">
        <v>302</v>
      </c>
      <c r="BN692" s="5"/>
    </row>
    <row r="693" spans="1:66" ht="15.75" customHeight="1">
      <c r="A693" s="4" t="s">
        <v>302</v>
      </c>
      <c r="B693" s="4" t="s">
        <v>302</v>
      </c>
      <c r="BN693" s="5"/>
    </row>
    <row r="694" spans="1:66" ht="15.75" customHeight="1">
      <c r="A694" s="4" t="s">
        <v>302</v>
      </c>
      <c r="B694" s="4" t="s">
        <v>302</v>
      </c>
      <c r="BN694" s="5"/>
    </row>
    <row r="695" spans="1:66" ht="15.75" customHeight="1">
      <c r="A695" s="4" t="s">
        <v>302</v>
      </c>
      <c r="B695" s="4" t="s">
        <v>302</v>
      </c>
      <c r="BN695" s="5"/>
    </row>
    <row r="696" spans="1:66" ht="15.75" customHeight="1">
      <c r="A696" s="4" t="s">
        <v>302</v>
      </c>
      <c r="B696" s="4" t="s">
        <v>302</v>
      </c>
      <c r="BN696" s="5"/>
    </row>
    <row r="697" spans="1:66" ht="15.75" customHeight="1">
      <c r="A697" s="4" t="s">
        <v>302</v>
      </c>
      <c r="B697" s="4" t="s">
        <v>302</v>
      </c>
      <c r="BN697" s="5"/>
    </row>
    <row r="698" spans="1:66" ht="15.75" customHeight="1">
      <c r="A698" s="4" t="s">
        <v>302</v>
      </c>
      <c r="B698" s="4" t="s">
        <v>302</v>
      </c>
      <c r="BN698" s="5"/>
    </row>
    <row r="699" spans="1:66" ht="15.75" customHeight="1">
      <c r="A699" s="4" t="s">
        <v>302</v>
      </c>
      <c r="B699" s="4" t="s">
        <v>302</v>
      </c>
      <c r="BN699" s="5"/>
    </row>
    <row r="700" spans="1:66" ht="15.75" customHeight="1">
      <c r="A700" s="4" t="s">
        <v>302</v>
      </c>
      <c r="B700" s="4" t="s">
        <v>302</v>
      </c>
      <c r="BN700" s="5"/>
    </row>
    <row r="701" spans="1:66" ht="15.75" customHeight="1">
      <c r="A701" s="4" t="s">
        <v>302</v>
      </c>
      <c r="B701" s="4" t="s">
        <v>302</v>
      </c>
      <c r="BN701" s="5"/>
    </row>
    <row r="702" spans="1:66" ht="15.75" customHeight="1">
      <c r="A702" s="4" t="s">
        <v>302</v>
      </c>
      <c r="B702" s="4" t="s">
        <v>302</v>
      </c>
      <c r="BN702" s="5"/>
    </row>
    <row r="703" spans="1:66" ht="15.75" customHeight="1">
      <c r="A703" s="4" t="s">
        <v>302</v>
      </c>
      <c r="B703" s="4" t="s">
        <v>302</v>
      </c>
      <c r="BN703" s="5"/>
    </row>
    <row r="704" spans="1:66" ht="15.75" customHeight="1">
      <c r="A704" s="4" t="s">
        <v>302</v>
      </c>
      <c r="B704" s="4" t="s">
        <v>302</v>
      </c>
      <c r="BN704" s="5"/>
    </row>
    <row r="705" spans="1:66" ht="15.75" customHeight="1">
      <c r="A705" s="4" t="s">
        <v>302</v>
      </c>
      <c r="B705" s="4" t="s">
        <v>302</v>
      </c>
      <c r="BN705" s="5"/>
    </row>
    <row r="706" spans="1:66" ht="15.75" customHeight="1">
      <c r="A706" s="4" t="s">
        <v>302</v>
      </c>
      <c r="B706" s="4" t="s">
        <v>302</v>
      </c>
      <c r="BN706" s="5"/>
    </row>
    <row r="707" spans="1:66" ht="15.75" customHeight="1">
      <c r="A707" s="4" t="s">
        <v>302</v>
      </c>
      <c r="B707" s="4" t="s">
        <v>302</v>
      </c>
      <c r="BN707" s="5"/>
    </row>
    <row r="708" spans="1:66" ht="15.75" customHeight="1">
      <c r="A708" s="4" t="s">
        <v>302</v>
      </c>
      <c r="B708" s="4" t="s">
        <v>302</v>
      </c>
      <c r="BN708" s="5"/>
    </row>
    <row r="709" spans="1:66" ht="15.75" customHeight="1">
      <c r="A709" s="4" t="s">
        <v>302</v>
      </c>
      <c r="B709" s="4" t="s">
        <v>302</v>
      </c>
      <c r="BN709" s="5"/>
    </row>
    <row r="710" spans="1:66" ht="15.75" customHeight="1">
      <c r="A710" s="4" t="s">
        <v>302</v>
      </c>
      <c r="B710" s="4" t="s">
        <v>302</v>
      </c>
      <c r="BN710" s="5"/>
    </row>
    <row r="711" spans="1:66" ht="15.75" customHeight="1">
      <c r="A711" s="4" t="s">
        <v>302</v>
      </c>
      <c r="B711" s="4" t="s">
        <v>302</v>
      </c>
      <c r="BN711" s="5"/>
    </row>
    <row r="712" spans="1:66" ht="15.75" customHeight="1">
      <c r="A712" s="4" t="s">
        <v>302</v>
      </c>
      <c r="B712" s="4" t="s">
        <v>302</v>
      </c>
      <c r="BN712" s="5"/>
    </row>
    <row r="713" spans="1:66" ht="15.75" customHeight="1">
      <c r="A713" s="4" t="s">
        <v>302</v>
      </c>
      <c r="B713" s="4" t="s">
        <v>302</v>
      </c>
      <c r="BN713" s="5"/>
    </row>
    <row r="714" spans="1:66" ht="15.75" customHeight="1">
      <c r="A714" s="4" t="s">
        <v>302</v>
      </c>
      <c r="B714" s="4" t="s">
        <v>302</v>
      </c>
      <c r="BN714" s="5"/>
    </row>
    <row r="715" spans="1:66" ht="15.75" customHeight="1">
      <c r="A715" s="4" t="s">
        <v>302</v>
      </c>
      <c r="B715" s="4" t="s">
        <v>302</v>
      </c>
      <c r="BN715" s="5"/>
    </row>
    <row r="716" spans="1:66" ht="15.75" customHeight="1">
      <c r="A716" s="4" t="s">
        <v>302</v>
      </c>
      <c r="B716" s="4" t="s">
        <v>302</v>
      </c>
      <c r="BN716" s="5"/>
    </row>
    <row r="717" spans="1:66" ht="15.75" customHeight="1">
      <c r="A717" s="4" t="s">
        <v>302</v>
      </c>
      <c r="B717" s="4" t="s">
        <v>302</v>
      </c>
      <c r="BN717" s="5"/>
    </row>
    <row r="718" spans="1:66" ht="15.75" customHeight="1">
      <c r="A718" s="4" t="s">
        <v>302</v>
      </c>
      <c r="B718" s="4" t="s">
        <v>302</v>
      </c>
      <c r="BN718" s="5"/>
    </row>
    <row r="719" spans="1:66" ht="15.75" customHeight="1">
      <c r="A719" s="4" t="s">
        <v>302</v>
      </c>
      <c r="B719" s="4" t="s">
        <v>302</v>
      </c>
      <c r="BN719" s="5"/>
    </row>
    <row r="720" spans="1:66" ht="15.75" customHeight="1">
      <c r="A720" s="4" t="s">
        <v>302</v>
      </c>
      <c r="B720" s="4" t="s">
        <v>302</v>
      </c>
      <c r="BN720" s="5"/>
    </row>
    <row r="721" spans="1:66" ht="15.75" customHeight="1">
      <c r="A721" s="4" t="s">
        <v>302</v>
      </c>
      <c r="B721" s="4" t="s">
        <v>302</v>
      </c>
      <c r="BN721" s="5"/>
    </row>
    <row r="722" spans="1:66" ht="15.75" customHeight="1">
      <c r="A722" s="4" t="s">
        <v>302</v>
      </c>
      <c r="B722" s="4" t="s">
        <v>302</v>
      </c>
      <c r="BN722" s="5"/>
    </row>
    <row r="723" spans="1:66" ht="15.75" customHeight="1">
      <c r="A723" s="4" t="s">
        <v>302</v>
      </c>
      <c r="B723" s="4" t="s">
        <v>302</v>
      </c>
      <c r="BN723" s="5"/>
    </row>
    <row r="724" spans="1:66" ht="15.75" customHeight="1">
      <c r="A724" s="4" t="s">
        <v>302</v>
      </c>
      <c r="B724" s="4" t="s">
        <v>302</v>
      </c>
      <c r="BN724" s="5"/>
    </row>
    <row r="725" spans="1:66" ht="15.75" customHeight="1">
      <c r="A725" s="4" t="s">
        <v>302</v>
      </c>
      <c r="B725" s="4" t="s">
        <v>302</v>
      </c>
      <c r="BN725" s="5"/>
    </row>
    <row r="726" spans="1:66" ht="15.75" customHeight="1">
      <c r="A726" s="4" t="s">
        <v>302</v>
      </c>
      <c r="B726" s="4" t="s">
        <v>302</v>
      </c>
      <c r="BN726" s="5"/>
    </row>
    <row r="727" spans="1:66" ht="15.75" customHeight="1">
      <c r="A727" s="4" t="s">
        <v>302</v>
      </c>
      <c r="B727" s="4" t="s">
        <v>302</v>
      </c>
      <c r="BN727" s="5"/>
    </row>
    <row r="728" spans="1:66" ht="15.75" customHeight="1">
      <c r="A728" s="4" t="s">
        <v>302</v>
      </c>
      <c r="B728" s="4" t="s">
        <v>302</v>
      </c>
      <c r="BN728" s="5"/>
    </row>
    <row r="729" spans="1:66" ht="15.75" customHeight="1">
      <c r="A729" s="4" t="s">
        <v>302</v>
      </c>
      <c r="B729" s="4" t="s">
        <v>302</v>
      </c>
      <c r="BN729" s="5"/>
    </row>
    <row r="730" spans="1:66" ht="15.75" customHeight="1">
      <c r="A730" s="4" t="s">
        <v>302</v>
      </c>
      <c r="B730" s="4" t="s">
        <v>302</v>
      </c>
      <c r="BN730" s="5"/>
    </row>
    <row r="731" spans="1:66" ht="15.75" customHeight="1">
      <c r="A731" s="4" t="s">
        <v>302</v>
      </c>
      <c r="B731" s="4" t="s">
        <v>302</v>
      </c>
      <c r="BN731" s="5"/>
    </row>
    <row r="732" spans="1:66" ht="15.75" customHeight="1">
      <c r="A732" s="4" t="s">
        <v>302</v>
      </c>
      <c r="B732" s="4" t="s">
        <v>302</v>
      </c>
      <c r="BN732" s="5"/>
    </row>
    <row r="733" spans="1:66" ht="15.75" customHeight="1">
      <c r="A733" s="4" t="s">
        <v>302</v>
      </c>
      <c r="B733" s="4" t="s">
        <v>302</v>
      </c>
      <c r="BN733" s="5"/>
    </row>
    <row r="734" spans="1:66" ht="15.75" customHeight="1">
      <c r="A734" s="4" t="s">
        <v>302</v>
      </c>
      <c r="B734" s="4" t="s">
        <v>302</v>
      </c>
      <c r="BN734" s="5"/>
    </row>
    <row r="735" spans="1:66" ht="15.75" customHeight="1">
      <c r="A735" s="4" t="s">
        <v>302</v>
      </c>
      <c r="B735" s="4" t="s">
        <v>302</v>
      </c>
      <c r="BN735" s="5"/>
    </row>
    <row r="736" spans="1:66" ht="15.75" customHeight="1">
      <c r="A736" s="4" t="s">
        <v>302</v>
      </c>
      <c r="B736" s="4" t="s">
        <v>302</v>
      </c>
      <c r="BN736" s="5"/>
    </row>
    <row r="737" spans="1:66" ht="15.75" customHeight="1">
      <c r="A737" s="4" t="s">
        <v>302</v>
      </c>
      <c r="B737" s="4" t="s">
        <v>302</v>
      </c>
      <c r="BN737" s="5"/>
    </row>
    <row r="738" spans="1:66" ht="15.75" customHeight="1">
      <c r="A738" s="4" t="s">
        <v>302</v>
      </c>
      <c r="B738" s="4" t="s">
        <v>302</v>
      </c>
      <c r="BN738" s="5"/>
    </row>
    <row r="739" spans="1:66" ht="15.75" customHeight="1">
      <c r="A739" s="4" t="s">
        <v>302</v>
      </c>
      <c r="B739" s="4" t="s">
        <v>302</v>
      </c>
      <c r="BN739" s="5"/>
    </row>
    <row r="740" spans="1:66" ht="15.75" customHeight="1">
      <c r="A740" s="4" t="s">
        <v>302</v>
      </c>
      <c r="B740" s="4" t="s">
        <v>302</v>
      </c>
      <c r="BN740" s="5"/>
    </row>
    <row r="741" spans="1:66" ht="15.75" customHeight="1">
      <c r="A741" s="4" t="s">
        <v>302</v>
      </c>
      <c r="B741" s="4" t="s">
        <v>302</v>
      </c>
      <c r="BN741" s="5"/>
    </row>
    <row r="742" spans="1:66" ht="15.75" customHeight="1">
      <c r="A742" s="4" t="s">
        <v>302</v>
      </c>
      <c r="B742" s="4" t="s">
        <v>302</v>
      </c>
      <c r="BN742" s="5"/>
    </row>
    <row r="743" spans="1:66" ht="15.75" customHeight="1">
      <c r="A743" s="4" t="s">
        <v>302</v>
      </c>
      <c r="B743" s="4" t="s">
        <v>302</v>
      </c>
      <c r="BN743" s="5"/>
    </row>
    <row r="744" spans="1:66" ht="15.75" customHeight="1">
      <c r="A744" s="4" t="s">
        <v>302</v>
      </c>
      <c r="B744" s="4" t="s">
        <v>302</v>
      </c>
      <c r="BN744" s="5"/>
    </row>
    <row r="745" spans="1:66" ht="15.75" customHeight="1">
      <c r="A745" s="4" t="s">
        <v>302</v>
      </c>
      <c r="B745" s="4" t="s">
        <v>302</v>
      </c>
      <c r="BN745" s="5"/>
    </row>
    <row r="746" spans="1:66" ht="15.75" customHeight="1">
      <c r="A746" s="4" t="s">
        <v>302</v>
      </c>
      <c r="B746" s="4" t="s">
        <v>302</v>
      </c>
      <c r="BN746" s="5"/>
    </row>
    <row r="747" spans="1:66" ht="15.75" customHeight="1">
      <c r="A747" s="4" t="s">
        <v>302</v>
      </c>
      <c r="B747" s="4" t="s">
        <v>302</v>
      </c>
      <c r="BN747" s="5"/>
    </row>
    <row r="748" spans="1:66" ht="15.75" customHeight="1">
      <c r="A748" s="4" t="s">
        <v>302</v>
      </c>
      <c r="B748" s="4" t="s">
        <v>302</v>
      </c>
      <c r="BN748" s="5"/>
    </row>
    <row r="749" spans="1:66" ht="15.75" customHeight="1">
      <c r="A749" s="4" t="s">
        <v>302</v>
      </c>
      <c r="B749" s="4" t="s">
        <v>302</v>
      </c>
      <c r="BN749" s="5"/>
    </row>
    <row r="750" spans="1:66" ht="15.75" customHeight="1">
      <c r="A750" s="4" t="s">
        <v>302</v>
      </c>
      <c r="B750" s="4" t="s">
        <v>302</v>
      </c>
      <c r="BN750" s="5"/>
    </row>
    <row r="751" spans="1:66" ht="15.75" customHeight="1">
      <c r="A751" s="4" t="s">
        <v>302</v>
      </c>
      <c r="B751" s="4" t="s">
        <v>302</v>
      </c>
      <c r="BN751" s="5"/>
    </row>
    <row r="752" spans="1:66" ht="15.75" customHeight="1">
      <c r="A752" s="4" t="s">
        <v>302</v>
      </c>
      <c r="B752" s="4" t="s">
        <v>302</v>
      </c>
      <c r="BN752" s="5"/>
    </row>
    <row r="753" spans="1:66" ht="15.75" customHeight="1">
      <c r="A753" s="4" t="s">
        <v>302</v>
      </c>
      <c r="B753" s="4" t="s">
        <v>302</v>
      </c>
      <c r="BN753" s="5"/>
    </row>
    <row r="754" spans="1:66" ht="15.75" customHeight="1">
      <c r="A754" s="4" t="s">
        <v>302</v>
      </c>
      <c r="B754" s="4" t="s">
        <v>302</v>
      </c>
      <c r="BN754" s="5"/>
    </row>
    <row r="755" spans="1:66" ht="15.75" customHeight="1">
      <c r="A755" s="4" t="s">
        <v>302</v>
      </c>
      <c r="B755" s="4" t="s">
        <v>302</v>
      </c>
      <c r="BN755" s="5"/>
    </row>
    <row r="756" spans="1:66" ht="15.75" customHeight="1">
      <c r="A756" s="4" t="s">
        <v>302</v>
      </c>
      <c r="B756" s="4" t="s">
        <v>302</v>
      </c>
      <c r="BN756" s="5"/>
    </row>
    <row r="757" spans="1:66" ht="15.75" customHeight="1">
      <c r="A757" s="4" t="s">
        <v>302</v>
      </c>
      <c r="B757" s="4" t="s">
        <v>302</v>
      </c>
      <c r="BN757" s="5"/>
    </row>
    <row r="758" spans="1:66" ht="15.75" customHeight="1">
      <c r="A758" s="4" t="s">
        <v>302</v>
      </c>
      <c r="B758" s="4" t="s">
        <v>302</v>
      </c>
      <c r="BN758" s="5"/>
    </row>
    <row r="759" spans="1:66" ht="15.75" customHeight="1">
      <c r="A759" s="4" t="s">
        <v>302</v>
      </c>
      <c r="B759" s="4" t="s">
        <v>302</v>
      </c>
      <c r="BN759" s="5"/>
    </row>
    <row r="760" spans="1:66" ht="15.75" customHeight="1">
      <c r="A760" s="4" t="s">
        <v>302</v>
      </c>
      <c r="B760" s="4" t="s">
        <v>302</v>
      </c>
      <c r="BN760" s="5"/>
    </row>
    <row r="761" spans="1:66" ht="15.75" customHeight="1">
      <c r="A761" s="4" t="s">
        <v>302</v>
      </c>
      <c r="B761" s="4" t="s">
        <v>302</v>
      </c>
      <c r="BN761" s="5"/>
    </row>
    <row r="762" spans="1:66" ht="15.75" customHeight="1">
      <c r="A762" s="4" t="s">
        <v>302</v>
      </c>
      <c r="B762" s="4" t="s">
        <v>302</v>
      </c>
      <c r="BN762" s="5"/>
    </row>
    <row r="763" spans="1:66" ht="15.75" customHeight="1">
      <c r="A763" s="4" t="s">
        <v>302</v>
      </c>
      <c r="B763" s="4" t="s">
        <v>302</v>
      </c>
      <c r="BN763" s="5"/>
    </row>
    <row r="764" spans="1:66" ht="15.75" customHeight="1">
      <c r="A764" s="4" t="s">
        <v>302</v>
      </c>
      <c r="B764" s="4" t="s">
        <v>302</v>
      </c>
      <c r="BN764" s="5"/>
    </row>
    <row r="765" spans="1:66" ht="15.75" customHeight="1">
      <c r="A765" s="4" t="s">
        <v>302</v>
      </c>
      <c r="B765" s="4" t="s">
        <v>302</v>
      </c>
      <c r="BN765" s="5"/>
    </row>
    <row r="766" spans="1:66" ht="15.75" customHeight="1">
      <c r="A766" s="4" t="s">
        <v>302</v>
      </c>
      <c r="B766" s="4" t="s">
        <v>302</v>
      </c>
      <c r="BN766" s="5"/>
    </row>
    <row r="767" spans="1:66" ht="15.75" customHeight="1">
      <c r="A767" s="4" t="s">
        <v>302</v>
      </c>
      <c r="B767" s="4" t="s">
        <v>302</v>
      </c>
      <c r="BN767" s="5"/>
    </row>
    <row r="768" spans="1:66" ht="15.75" customHeight="1">
      <c r="A768" s="4" t="s">
        <v>302</v>
      </c>
      <c r="B768" s="4" t="s">
        <v>302</v>
      </c>
      <c r="BN768" s="5"/>
    </row>
    <row r="769" spans="1:66" ht="15.75" customHeight="1">
      <c r="A769" s="4" t="s">
        <v>302</v>
      </c>
      <c r="B769" s="4" t="s">
        <v>302</v>
      </c>
      <c r="BN769" s="5"/>
    </row>
    <row r="770" spans="1:66" ht="15.75" customHeight="1">
      <c r="A770" s="4" t="s">
        <v>302</v>
      </c>
      <c r="B770" s="4" t="s">
        <v>302</v>
      </c>
      <c r="BN770" s="5"/>
    </row>
    <row r="771" spans="1:66" ht="15.75" customHeight="1">
      <c r="A771" s="4" t="s">
        <v>302</v>
      </c>
      <c r="B771" s="4" t="s">
        <v>302</v>
      </c>
      <c r="BN771" s="5"/>
    </row>
    <row r="772" spans="1:66" ht="15.75" customHeight="1">
      <c r="A772" s="4" t="s">
        <v>302</v>
      </c>
      <c r="B772" s="4" t="s">
        <v>302</v>
      </c>
      <c r="BN772" s="5"/>
    </row>
    <row r="773" spans="1:66" ht="15.75" customHeight="1">
      <c r="A773" s="4" t="s">
        <v>302</v>
      </c>
      <c r="B773" s="4" t="s">
        <v>302</v>
      </c>
      <c r="BN773" s="5"/>
    </row>
    <row r="774" spans="1:66" ht="15.75" customHeight="1">
      <c r="A774" s="4" t="s">
        <v>302</v>
      </c>
      <c r="B774" s="4" t="s">
        <v>302</v>
      </c>
      <c r="BN774" s="5"/>
    </row>
    <row r="775" spans="1:66" ht="15.75" customHeight="1">
      <c r="A775" s="4" t="s">
        <v>302</v>
      </c>
      <c r="B775" s="4" t="s">
        <v>302</v>
      </c>
      <c r="BN775" s="5"/>
    </row>
    <row r="776" spans="1:66" ht="15.75" customHeight="1">
      <c r="A776" s="4" t="s">
        <v>302</v>
      </c>
      <c r="B776" s="4" t="s">
        <v>302</v>
      </c>
      <c r="BN776" s="5"/>
    </row>
    <row r="777" spans="1:66" ht="15.75" customHeight="1">
      <c r="A777" s="4" t="s">
        <v>302</v>
      </c>
      <c r="B777" s="4" t="s">
        <v>302</v>
      </c>
      <c r="BN777" s="5"/>
    </row>
    <row r="778" spans="1:66" ht="15.75" customHeight="1">
      <c r="A778" s="4" t="s">
        <v>302</v>
      </c>
      <c r="B778" s="4" t="s">
        <v>302</v>
      </c>
      <c r="BN778" s="5"/>
    </row>
    <row r="779" spans="1:66" ht="15.75" customHeight="1">
      <c r="A779" s="4" t="s">
        <v>302</v>
      </c>
      <c r="B779" s="4" t="s">
        <v>302</v>
      </c>
      <c r="BN779" s="5"/>
    </row>
    <row r="780" spans="1:66" ht="15.75" customHeight="1">
      <c r="A780" s="4" t="s">
        <v>302</v>
      </c>
      <c r="B780" s="4" t="s">
        <v>302</v>
      </c>
      <c r="BN780" s="5"/>
    </row>
    <row r="781" spans="1:66" ht="15.75" customHeight="1">
      <c r="A781" s="4" t="s">
        <v>302</v>
      </c>
      <c r="B781" s="4" t="s">
        <v>302</v>
      </c>
      <c r="BN781" s="5"/>
    </row>
    <row r="782" spans="1:66" ht="15.75" customHeight="1">
      <c r="A782" s="4" t="s">
        <v>302</v>
      </c>
      <c r="B782" s="4" t="s">
        <v>302</v>
      </c>
      <c r="BN782" s="5"/>
    </row>
    <row r="783" spans="1:66" ht="15.75" customHeight="1">
      <c r="A783" s="4" t="s">
        <v>302</v>
      </c>
      <c r="B783" s="4" t="s">
        <v>302</v>
      </c>
      <c r="BN783" s="5"/>
    </row>
    <row r="784" spans="1:66" ht="15.75" customHeight="1">
      <c r="A784" s="4" t="s">
        <v>302</v>
      </c>
      <c r="B784" s="4" t="s">
        <v>302</v>
      </c>
      <c r="BN784" s="5"/>
    </row>
    <row r="785" spans="1:66" ht="15.75" customHeight="1">
      <c r="A785" s="4" t="s">
        <v>302</v>
      </c>
      <c r="B785" s="4" t="s">
        <v>302</v>
      </c>
      <c r="BN785" s="5"/>
    </row>
    <row r="786" spans="1:66" ht="15.75" customHeight="1">
      <c r="A786" s="4" t="s">
        <v>302</v>
      </c>
      <c r="B786" s="4" t="s">
        <v>302</v>
      </c>
      <c r="BN786" s="5"/>
    </row>
    <row r="787" spans="1:66" ht="15.75" customHeight="1">
      <c r="A787" s="4" t="s">
        <v>302</v>
      </c>
      <c r="B787" s="4" t="s">
        <v>302</v>
      </c>
      <c r="BN787" s="5"/>
    </row>
    <row r="788" spans="1:66" ht="15.75" customHeight="1">
      <c r="A788" s="4" t="s">
        <v>302</v>
      </c>
      <c r="B788" s="4" t="s">
        <v>302</v>
      </c>
      <c r="BN788" s="5"/>
    </row>
    <row r="789" spans="1:66" ht="15.75" customHeight="1">
      <c r="A789" s="4" t="s">
        <v>302</v>
      </c>
      <c r="B789" s="4" t="s">
        <v>302</v>
      </c>
      <c r="BN789" s="5"/>
    </row>
    <row r="790" spans="1:66" ht="15.75" customHeight="1">
      <c r="A790" s="4" t="s">
        <v>302</v>
      </c>
      <c r="B790" s="4" t="s">
        <v>302</v>
      </c>
      <c r="BN790" s="5"/>
    </row>
    <row r="791" spans="1:66" ht="15.75" customHeight="1">
      <c r="A791" s="4" t="s">
        <v>302</v>
      </c>
      <c r="B791" s="4" t="s">
        <v>302</v>
      </c>
      <c r="BN791" s="5"/>
    </row>
    <row r="792" spans="1:66" ht="15.75" customHeight="1">
      <c r="A792" s="4" t="s">
        <v>302</v>
      </c>
      <c r="B792" s="4" t="s">
        <v>302</v>
      </c>
      <c r="BN792" s="5"/>
    </row>
    <row r="793" spans="1:66" ht="15.75" customHeight="1">
      <c r="A793" s="4" t="s">
        <v>302</v>
      </c>
      <c r="B793" s="4" t="s">
        <v>302</v>
      </c>
      <c r="BN793" s="5"/>
    </row>
    <row r="794" spans="1:66" ht="15.75" customHeight="1">
      <c r="A794" s="4" t="s">
        <v>302</v>
      </c>
      <c r="B794" s="4" t="s">
        <v>302</v>
      </c>
      <c r="BN794" s="5"/>
    </row>
    <row r="795" spans="1:66" ht="15.75" customHeight="1">
      <c r="A795" s="4" t="s">
        <v>302</v>
      </c>
      <c r="B795" s="4" t="s">
        <v>302</v>
      </c>
      <c r="BN795" s="5"/>
    </row>
    <row r="796" spans="1:66" ht="15.75" customHeight="1">
      <c r="A796" s="4" t="s">
        <v>302</v>
      </c>
      <c r="B796" s="4" t="s">
        <v>302</v>
      </c>
      <c r="BN796" s="5"/>
    </row>
    <row r="797" spans="1:66" ht="15.75" customHeight="1">
      <c r="A797" s="4" t="s">
        <v>302</v>
      </c>
      <c r="B797" s="4" t="s">
        <v>302</v>
      </c>
      <c r="BN797" s="5"/>
    </row>
    <row r="798" spans="1:66" ht="15.75" customHeight="1">
      <c r="A798" s="4" t="s">
        <v>302</v>
      </c>
      <c r="B798" s="4" t="s">
        <v>302</v>
      </c>
      <c r="BN798" s="5"/>
    </row>
    <row r="799" spans="1:66" ht="15.75" customHeight="1">
      <c r="A799" s="4" t="s">
        <v>302</v>
      </c>
      <c r="B799" s="4" t="s">
        <v>302</v>
      </c>
      <c r="BN799" s="5"/>
    </row>
    <row r="800" spans="1:66" ht="15.75" customHeight="1">
      <c r="A800" s="4" t="s">
        <v>302</v>
      </c>
      <c r="B800" s="4" t="s">
        <v>302</v>
      </c>
      <c r="BN800" s="5"/>
    </row>
    <row r="801" spans="1:66" ht="15.75" customHeight="1">
      <c r="A801" s="4" t="s">
        <v>302</v>
      </c>
      <c r="B801" s="4" t="s">
        <v>302</v>
      </c>
      <c r="BN801" s="5"/>
    </row>
    <row r="802" spans="1:66" ht="15.75" customHeight="1">
      <c r="A802" s="4" t="s">
        <v>302</v>
      </c>
      <c r="B802" s="4" t="s">
        <v>302</v>
      </c>
      <c r="BN802" s="5"/>
    </row>
    <row r="803" spans="1:66" ht="15.75" customHeight="1">
      <c r="A803" s="4" t="s">
        <v>302</v>
      </c>
      <c r="B803" s="4" t="s">
        <v>302</v>
      </c>
      <c r="BN803" s="5"/>
    </row>
    <row r="804" spans="1:66" ht="15.75" customHeight="1">
      <c r="A804" s="4" t="s">
        <v>302</v>
      </c>
      <c r="B804" s="4" t="s">
        <v>302</v>
      </c>
      <c r="BN804" s="5"/>
    </row>
    <row r="805" spans="1:66" ht="15.75" customHeight="1">
      <c r="A805" s="4" t="s">
        <v>302</v>
      </c>
      <c r="B805" s="4" t="s">
        <v>302</v>
      </c>
      <c r="BN805" s="5"/>
    </row>
    <row r="806" spans="1:66" ht="15.75" customHeight="1">
      <c r="A806" s="4" t="s">
        <v>302</v>
      </c>
      <c r="B806" s="4" t="s">
        <v>302</v>
      </c>
      <c r="BN806" s="5"/>
    </row>
    <row r="807" spans="1:66" ht="15.75" customHeight="1">
      <c r="A807" s="4" t="s">
        <v>302</v>
      </c>
      <c r="B807" s="4" t="s">
        <v>302</v>
      </c>
      <c r="BN807" s="5"/>
    </row>
    <row r="808" spans="1:66" ht="15.75" customHeight="1">
      <c r="A808" s="4" t="s">
        <v>302</v>
      </c>
      <c r="B808" s="4" t="s">
        <v>302</v>
      </c>
      <c r="BN808" s="5"/>
    </row>
    <row r="809" spans="1:66" ht="15.75" customHeight="1">
      <c r="A809" s="4" t="s">
        <v>302</v>
      </c>
      <c r="B809" s="4" t="s">
        <v>302</v>
      </c>
      <c r="BN809" s="5"/>
    </row>
    <row r="810" spans="1:66" ht="15.75" customHeight="1">
      <c r="A810" s="4" t="s">
        <v>302</v>
      </c>
      <c r="B810" s="4" t="s">
        <v>302</v>
      </c>
      <c r="BN810" s="5"/>
    </row>
    <row r="811" spans="1:66" ht="15.75" customHeight="1">
      <c r="A811" s="4" t="s">
        <v>302</v>
      </c>
      <c r="B811" s="4" t="s">
        <v>302</v>
      </c>
      <c r="BN811" s="5"/>
    </row>
    <row r="812" spans="1:66" ht="15.75" customHeight="1">
      <c r="A812" s="4" t="s">
        <v>302</v>
      </c>
      <c r="B812" s="4" t="s">
        <v>302</v>
      </c>
      <c r="BN812" s="5"/>
    </row>
    <row r="813" spans="1:66" ht="15.75" customHeight="1">
      <c r="A813" s="4" t="s">
        <v>302</v>
      </c>
      <c r="B813" s="4" t="s">
        <v>302</v>
      </c>
      <c r="BN813" s="5"/>
    </row>
    <row r="814" spans="1:66" ht="15.75" customHeight="1">
      <c r="A814" s="4" t="s">
        <v>302</v>
      </c>
      <c r="B814" s="4" t="s">
        <v>302</v>
      </c>
      <c r="BN814" s="5"/>
    </row>
    <row r="815" spans="1:66" ht="15.75" customHeight="1">
      <c r="A815" s="4" t="s">
        <v>302</v>
      </c>
      <c r="B815" s="4" t="s">
        <v>302</v>
      </c>
      <c r="BN815" s="5"/>
    </row>
    <row r="816" spans="1:66" ht="15.75" customHeight="1">
      <c r="A816" s="4" t="s">
        <v>302</v>
      </c>
      <c r="B816" s="4" t="s">
        <v>302</v>
      </c>
      <c r="BN816" s="5"/>
    </row>
    <row r="817" spans="1:66" ht="15.75" customHeight="1">
      <c r="A817" s="4" t="s">
        <v>302</v>
      </c>
      <c r="B817" s="4" t="s">
        <v>302</v>
      </c>
      <c r="BN817" s="5"/>
    </row>
    <row r="818" spans="1:66" ht="15.75" customHeight="1">
      <c r="A818" s="4" t="s">
        <v>302</v>
      </c>
      <c r="B818" s="4" t="s">
        <v>302</v>
      </c>
      <c r="BN818" s="5"/>
    </row>
    <row r="819" spans="1:66" ht="15.75" customHeight="1">
      <c r="A819" s="4" t="s">
        <v>302</v>
      </c>
      <c r="B819" s="4" t="s">
        <v>302</v>
      </c>
      <c r="BN819" s="5"/>
    </row>
    <row r="820" spans="1:66" ht="15.75" customHeight="1">
      <c r="A820" s="4" t="s">
        <v>302</v>
      </c>
      <c r="B820" s="4" t="s">
        <v>302</v>
      </c>
      <c r="BN820" s="5"/>
    </row>
    <row r="821" spans="1:66" ht="15.75" customHeight="1">
      <c r="A821" s="4" t="s">
        <v>302</v>
      </c>
      <c r="B821" s="4" t="s">
        <v>302</v>
      </c>
      <c r="BN821" s="5"/>
    </row>
    <row r="822" spans="1:66" ht="15.75" customHeight="1">
      <c r="A822" s="4" t="s">
        <v>302</v>
      </c>
      <c r="B822" s="4" t="s">
        <v>302</v>
      </c>
      <c r="BN822" s="5"/>
    </row>
    <row r="823" spans="1:66" ht="15.75" customHeight="1">
      <c r="A823" s="4" t="s">
        <v>302</v>
      </c>
      <c r="B823" s="4" t="s">
        <v>302</v>
      </c>
      <c r="BN823" s="5"/>
    </row>
    <row r="824" spans="1:66" ht="15.75" customHeight="1">
      <c r="A824" s="4" t="s">
        <v>302</v>
      </c>
      <c r="B824" s="4" t="s">
        <v>302</v>
      </c>
      <c r="BN824" s="5"/>
    </row>
    <row r="825" spans="1:66" ht="15.75" customHeight="1">
      <c r="A825" s="4" t="s">
        <v>302</v>
      </c>
      <c r="B825" s="4" t="s">
        <v>302</v>
      </c>
      <c r="BN825" s="5"/>
    </row>
    <row r="826" spans="1:66" ht="15.75" customHeight="1">
      <c r="A826" s="4" t="s">
        <v>302</v>
      </c>
      <c r="B826" s="4" t="s">
        <v>302</v>
      </c>
      <c r="BN826" s="5"/>
    </row>
    <row r="827" spans="1:66" ht="15.75" customHeight="1">
      <c r="A827" s="4" t="s">
        <v>302</v>
      </c>
      <c r="B827" s="4" t="s">
        <v>302</v>
      </c>
      <c r="BN827" s="5"/>
    </row>
    <row r="828" spans="1:66" ht="15.75" customHeight="1">
      <c r="A828" s="4" t="s">
        <v>302</v>
      </c>
      <c r="B828" s="4" t="s">
        <v>302</v>
      </c>
      <c r="BN828" s="5"/>
    </row>
    <row r="829" spans="1:66" ht="15.75" customHeight="1">
      <c r="A829" s="4" t="s">
        <v>302</v>
      </c>
      <c r="B829" s="4" t="s">
        <v>302</v>
      </c>
      <c r="BN829" s="5"/>
    </row>
    <row r="830" spans="1:66" ht="15.75" customHeight="1">
      <c r="A830" s="4" t="s">
        <v>302</v>
      </c>
      <c r="B830" s="4" t="s">
        <v>302</v>
      </c>
      <c r="BN830" s="5"/>
    </row>
    <row r="831" spans="1:66" ht="15.75" customHeight="1">
      <c r="A831" s="4" t="s">
        <v>302</v>
      </c>
      <c r="B831" s="4" t="s">
        <v>302</v>
      </c>
      <c r="BN831" s="5"/>
    </row>
    <row r="832" spans="1:66" ht="15.75" customHeight="1">
      <c r="A832" s="4" t="s">
        <v>302</v>
      </c>
      <c r="B832" s="4" t="s">
        <v>302</v>
      </c>
      <c r="BN832" s="5"/>
    </row>
    <row r="833" spans="1:66" ht="15.75" customHeight="1">
      <c r="A833" s="4" t="s">
        <v>302</v>
      </c>
      <c r="B833" s="4" t="s">
        <v>302</v>
      </c>
      <c r="BN833" s="5"/>
    </row>
    <row r="834" spans="1:66" ht="15.75" customHeight="1">
      <c r="A834" s="4" t="s">
        <v>302</v>
      </c>
      <c r="B834" s="4" t="s">
        <v>302</v>
      </c>
      <c r="BN834" s="5"/>
    </row>
    <row r="835" spans="1:66" ht="15.75" customHeight="1">
      <c r="A835" s="4" t="s">
        <v>302</v>
      </c>
      <c r="B835" s="4" t="s">
        <v>302</v>
      </c>
      <c r="BN835" s="5"/>
    </row>
    <row r="836" spans="1:66" ht="15.75" customHeight="1">
      <c r="A836" s="4" t="s">
        <v>302</v>
      </c>
      <c r="B836" s="4" t="s">
        <v>302</v>
      </c>
      <c r="BN836" s="5"/>
    </row>
    <row r="837" spans="1:66" ht="15.75" customHeight="1">
      <c r="A837" s="4" t="s">
        <v>302</v>
      </c>
      <c r="B837" s="4" t="s">
        <v>302</v>
      </c>
      <c r="BN837" s="5"/>
    </row>
    <row r="838" spans="1:66" ht="15.75" customHeight="1">
      <c r="A838" s="4" t="s">
        <v>302</v>
      </c>
      <c r="B838" s="4" t="s">
        <v>302</v>
      </c>
      <c r="BN838" s="5"/>
    </row>
    <row r="839" spans="1:66" ht="15.75" customHeight="1">
      <c r="A839" s="4" t="s">
        <v>302</v>
      </c>
      <c r="B839" s="4" t="s">
        <v>302</v>
      </c>
      <c r="BN839" s="5"/>
    </row>
    <row r="840" spans="1:66" ht="15.75" customHeight="1">
      <c r="A840" s="4" t="s">
        <v>302</v>
      </c>
      <c r="B840" s="4" t="s">
        <v>302</v>
      </c>
      <c r="BN840" s="5"/>
    </row>
    <row r="841" spans="1:66" ht="15.75" customHeight="1">
      <c r="A841" s="4" t="s">
        <v>302</v>
      </c>
      <c r="B841" s="4" t="s">
        <v>302</v>
      </c>
      <c r="BN841" s="5"/>
    </row>
    <row r="842" spans="1:66" ht="15.75" customHeight="1">
      <c r="A842" s="4" t="s">
        <v>302</v>
      </c>
      <c r="B842" s="4" t="s">
        <v>302</v>
      </c>
      <c r="BN842" s="5"/>
    </row>
    <row r="843" spans="1:66" ht="15.75" customHeight="1">
      <c r="A843" s="4" t="s">
        <v>302</v>
      </c>
      <c r="B843" s="4" t="s">
        <v>302</v>
      </c>
      <c r="BN843" s="5"/>
    </row>
    <row r="844" spans="1:66" ht="15.75" customHeight="1">
      <c r="A844" s="4" t="s">
        <v>302</v>
      </c>
      <c r="B844" s="4" t="s">
        <v>302</v>
      </c>
      <c r="BN844" s="5"/>
    </row>
    <row r="845" spans="1:66" ht="15.75" customHeight="1">
      <c r="A845" s="4" t="s">
        <v>302</v>
      </c>
      <c r="B845" s="4" t="s">
        <v>302</v>
      </c>
      <c r="BN845" s="5"/>
    </row>
    <row r="846" spans="1:66" ht="15.75" customHeight="1">
      <c r="A846" s="4" t="s">
        <v>302</v>
      </c>
      <c r="B846" s="4" t="s">
        <v>302</v>
      </c>
      <c r="BN846" s="5"/>
    </row>
    <row r="847" spans="1:66" ht="15.75" customHeight="1">
      <c r="A847" s="4" t="s">
        <v>302</v>
      </c>
      <c r="B847" s="4" t="s">
        <v>302</v>
      </c>
      <c r="BN847" s="5"/>
    </row>
    <row r="848" spans="1:66" ht="15.75" customHeight="1">
      <c r="A848" s="4" t="s">
        <v>302</v>
      </c>
      <c r="B848" s="4" t="s">
        <v>302</v>
      </c>
      <c r="BN848" s="5"/>
    </row>
    <row r="849" spans="1:66" ht="15.75" customHeight="1">
      <c r="A849" s="4" t="s">
        <v>302</v>
      </c>
      <c r="B849" s="4" t="s">
        <v>302</v>
      </c>
      <c r="BN849" s="5"/>
    </row>
    <row r="850" spans="1:66" ht="15.75" customHeight="1">
      <c r="A850" s="4" t="s">
        <v>302</v>
      </c>
      <c r="B850" s="4" t="s">
        <v>302</v>
      </c>
      <c r="BN850" s="5"/>
    </row>
    <row r="851" spans="1:66" ht="15.75" customHeight="1">
      <c r="A851" s="4" t="s">
        <v>302</v>
      </c>
      <c r="B851" s="4" t="s">
        <v>302</v>
      </c>
      <c r="BN851" s="5"/>
    </row>
    <row r="852" spans="1:66" ht="15.75" customHeight="1">
      <c r="A852" s="4" t="s">
        <v>302</v>
      </c>
      <c r="B852" s="4" t="s">
        <v>302</v>
      </c>
      <c r="BN852" s="5"/>
    </row>
    <row r="853" spans="1:66" ht="15.75" customHeight="1">
      <c r="A853" s="4" t="s">
        <v>302</v>
      </c>
      <c r="B853" s="4" t="s">
        <v>302</v>
      </c>
      <c r="BN853" s="5"/>
    </row>
    <row r="854" spans="1:66" ht="15.75" customHeight="1">
      <c r="A854" s="4" t="s">
        <v>302</v>
      </c>
      <c r="B854" s="4" t="s">
        <v>302</v>
      </c>
      <c r="BN854" s="5"/>
    </row>
    <row r="855" spans="1:66" ht="15.75" customHeight="1">
      <c r="A855" s="4" t="s">
        <v>302</v>
      </c>
      <c r="B855" s="4" t="s">
        <v>302</v>
      </c>
      <c r="BN855" s="5"/>
    </row>
    <row r="856" spans="1:66" ht="15.75" customHeight="1">
      <c r="A856" s="4" t="s">
        <v>302</v>
      </c>
      <c r="B856" s="4" t="s">
        <v>302</v>
      </c>
      <c r="BN856" s="5"/>
    </row>
    <row r="857" spans="1:66" ht="15.75" customHeight="1">
      <c r="A857" s="4" t="s">
        <v>302</v>
      </c>
      <c r="B857" s="4" t="s">
        <v>302</v>
      </c>
      <c r="BN857" s="5"/>
    </row>
    <row r="858" spans="1:66" ht="15.75" customHeight="1">
      <c r="A858" s="4" t="s">
        <v>302</v>
      </c>
      <c r="B858" s="4" t="s">
        <v>302</v>
      </c>
      <c r="BN858" s="5"/>
    </row>
    <row r="859" spans="1:66" ht="15.75" customHeight="1">
      <c r="A859" s="4" t="s">
        <v>302</v>
      </c>
      <c r="B859" s="4" t="s">
        <v>302</v>
      </c>
      <c r="BN859" s="5"/>
    </row>
    <row r="860" spans="1:66" ht="15.75" customHeight="1">
      <c r="A860" s="4" t="s">
        <v>302</v>
      </c>
      <c r="B860" s="4" t="s">
        <v>302</v>
      </c>
      <c r="BN860" s="5"/>
    </row>
    <row r="861" spans="1:66" ht="15.75" customHeight="1">
      <c r="A861" s="4" t="s">
        <v>302</v>
      </c>
      <c r="B861" s="4" t="s">
        <v>302</v>
      </c>
      <c r="BN861" s="5"/>
    </row>
    <row r="862" spans="1:66" ht="15.75" customHeight="1">
      <c r="A862" s="4" t="s">
        <v>302</v>
      </c>
      <c r="B862" s="4" t="s">
        <v>302</v>
      </c>
      <c r="BN862" s="5"/>
    </row>
    <row r="863" spans="1:66" ht="15.75" customHeight="1">
      <c r="A863" s="4" t="s">
        <v>302</v>
      </c>
      <c r="B863" s="4" t="s">
        <v>302</v>
      </c>
      <c r="BN863" s="5"/>
    </row>
    <row r="864" spans="1:66" ht="15.75" customHeight="1">
      <c r="A864" s="4" t="s">
        <v>302</v>
      </c>
      <c r="B864" s="4" t="s">
        <v>302</v>
      </c>
      <c r="BN864" s="5"/>
    </row>
    <row r="865" spans="1:66" ht="15.75" customHeight="1">
      <c r="A865" s="4" t="s">
        <v>302</v>
      </c>
      <c r="B865" s="4" t="s">
        <v>302</v>
      </c>
      <c r="BN865" s="5"/>
    </row>
    <row r="866" spans="1:66" ht="15.75" customHeight="1">
      <c r="A866" s="4" t="s">
        <v>302</v>
      </c>
      <c r="B866" s="4" t="s">
        <v>302</v>
      </c>
      <c r="BN866" s="5"/>
    </row>
    <row r="867" spans="1:66" ht="15.75" customHeight="1">
      <c r="A867" s="4" t="s">
        <v>302</v>
      </c>
      <c r="B867" s="4" t="s">
        <v>302</v>
      </c>
      <c r="BN867" s="5"/>
    </row>
    <row r="868" spans="1:66" ht="15.75" customHeight="1">
      <c r="A868" s="4" t="s">
        <v>302</v>
      </c>
      <c r="B868" s="4" t="s">
        <v>302</v>
      </c>
      <c r="BN868" s="5"/>
    </row>
    <row r="869" spans="1:66" ht="15.75" customHeight="1">
      <c r="A869" s="4" t="s">
        <v>302</v>
      </c>
      <c r="B869" s="4" t="s">
        <v>302</v>
      </c>
      <c r="BN869" s="5"/>
    </row>
    <row r="870" spans="1:66" ht="15.75" customHeight="1">
      <c r="A870" s="4" t="s">
        <v>302</v>
      </c>
      <c r="B870" s="4" t="s">
        <v>302</v>
      </c>
      <c r="BN870" s="5"/>
    </row>
    <row r="871" spans="1:66" ht="15.75" customHeight="1">
      <c r="A871" s="4" t="s">
        <v>302</v>
      </c>
      <c r="B871" s="4" t="s">
        <v>302</v>
      </c>
      <c r="BN871" s="5"/>
    </row>
    <row r="872" spans="1:66" ht="15.75" customHeight="1">
      <c r="A872" s="4" t="s">
        <v>302</v>
      </c>
      <c r="B872" s="4" t="s">
        <v>302</v>
      </c>
      <c r="BN872" s="5"/>
    </row>
    <row r="873" spans="1:66" ht="15.75" customHeight="1">
      <c r="A873" s="4" t="s">
        <v>302</v>
      </c>
      <c r="B873" s="4" t="s">
        <v>302</v>
      </c>
      <c r="BN873" s="5"/>
    </row>
    <row r="874" spans="1:66" ht="15.75" customHeight="1">
      <c r="A874" s="4" t="s">
        <v>302</v>
      </c>
      <c r="B874" s="4" t="s">
        <v>302</v>
      </c>
      <c r="BN874" s="5"/>
    </row>
    <row r="875" spans="1:66" ht="15.75" customHeight="1">
      <c r="A875" s="4" t="s">
        <v>302</v>
      </c>
      <c r="B875" s="4" t="s">
        <v>302</v>
      </c>
      <c r="BN875" s="5"/>
    </row>
    <row r="876" spans="1:66" ht="15.75" customHeight="1">
      <c r="A876" s="4" t="s">
        <v>302</v>
      </c>
      <c r="B876" s="4" t="s">
        <v>302</v>
      </c>
      <c r="BN876" s="5"/>
    </row>
    <row r="877" spans="1:66" ht="15.75" customHeight="1">
      <c r="A877" s="4" t="s">
        <v>302</v>
      </c>
      <c r="B877" s="4" t="s">
        <v>302</v>
      </c>
      <c r="BN877" s="5"/>
    </row>
    <row r="878" spans="1:66" ht="15.75" customHeight="1">
      <c r="A878" s="4" t="s">
        <v>302</v>
      </c>
      <c r="B878" s="4" t="s">
        <v>302</v>
      </c>
      <c r="BN878" s="5"/>
    </row>
    <row r="879" spans="1:66" ht="15.75" customHeight="1">
      <c r="A879" s="4" t="s">
        <v>302</v>
      </c>
      <c r="B879" s="4" t="s">
        <v>302</v>
      </c>
      <c r="BN879" s="5"/>
    </row>
    <row r="880" spans="1:66" ht="15.75" customHeight="1">
      <c r="A880" s="4" t="s">
        <v>302</v>
      </c>
      <c r="B880" s="4" t="s">
        <v>302</v>
      </c>
      <c r="BN880" s="5"/>
    </row>
    <row r="881" spans="1:66" ht="15.75" customHeight="1">
      <c r="A881" s="4" t="s">
        <v>302</v>
      </c>
      <c r="B881" s="4" t="s">
        <v>302</v>
      </c>
      <c r="BN881" s="5"/>
    </row>
    <row r="882" spans="1:66" ht="15.75" customHeight="1">
      <c r="A882" s="4" t="s">
        <v>302</v>
      </c>
      <c r="B882" s="4" t="s">
        <v>302</v>
      </c>
      <c r="BN882" s="5"/>
    </row>
    <row r="883" spans="1:66" ht="15.75" customHeight="1">
      <c r="A883" s="4" t="s">
        <v>302</v>
      </c>
      <c r="B883" s="4" t="s">
        <v>302</v>
      </c>
      <c r="BN883" s="5"/>
    </row>
    <row r="884" spans="1:66" ht="15.75" customHeight="1">
      <c r="A884" s="4" t="s">
        <v>302</v>
      </c>
      <c r="B884" s="4" t="s">
        <v>302</v>
      </c>
      <c r="BN884" s="5"/>
    </row>
    <row r="885" spans="1:66" ht="15.75" customHeight="1">
      <c r="A885" s="4" t="s">
        <v>302</v>
      </c>
      <c r="B885" s="4" t="s">
        <v>302</v>
      </c>
      <c r="BN885" s="5"/>
    </row>
    <row r="886" spans="1:66" ht="15.75" customHeight="1">
      <c r="A886" s="4" t="s">
        <v>302</v>
      </c>
      <c r="B886" s="4" t="s">
        <v>302</v>
      </c>
      <c r="BN886" s="5"/>
    </row>
    <row r="887" spans="1:66" ht="15.75" customHeight="1">
      <c r="A887" s="4" t="s">
        <v>302</v>
      </c>
      <c r="B887" s="4" t="s">
        <v>302</v>
      </c>
      <c r="BN887" s="5"/>
    </row>
    <row r="888" spans="1:66" ht="15.75" customHeight="1">
      <c r="A888" s="4" t="s">
        <v>302</v>
      </c>
      <c r="B888" s="4" t="s">
        <v>302</v>
      </c>
      <c r="BN888" s="5"/>
    </row>
    <row r="889" spans="1:66" ht="15.75" customHeight="1">
      <c r="A889" s="4" t="s">
        <v>302</v>
      </c>
      <c r="B889" s="4" t="s">
        <v>302</v>
      </c>
      <c r="BN889" s="5"/>
    </row>
    <row r="890" spans="1:66" ht="15.75" customHeight="1">
      <c r="A890" s="4" t="s">
        <v>302</v>
      </c>
      <c r="B890" s="4" t="s">
        <v>302</v>
      </c>
      <c r="BN890" s="5"/>
    </row>
    <row r="891" spans="1:66" ht="15.75" customHeight="1">
      <c r="A891" s="4" t="s">
        <v>302</v>
      </c>
      <c r="B891" s="4" t="s">
        <v>302</v>
      </c>
      <c r="BN891" s="5"/>
    </row>
    <row r="892" spans="1:66" ht="15.75" customHeight="1">
      <c r="A892" s="4" t="s">
        <v>302</v>
      </c>
      <c r="B892" s="4" t="s">
        <v>302</v>
      </c>
      <c r="BN892" s="5"/>
    </row>
    <row r="893" spans="1:66" ht="15.75" customHeight="1">
      <c r="A893" s="4" t="s">
        <v>302</v>
      </c>
      <c r="B893" s="4" t="s">
        <v>302</v>
      </c>
      <c r="BN893" s="5"/>
    </row>
    <row r="894" spans="1:66" ht="15.75" customHeight="1">
      <c r="A894" s="4" t="s">
        <v>302</v>
      </c>
      <c r="B894" s="4" t="s">
        <v>302</v>
      </c>
      <c r="BN894" s="5"/>
    </row>
    <row r="895" spans="1:66" ht="15.75" customHeight="1">
      <c r="A895" s="4" t="s">
        <v>302</v>
      </c>
      <c r="B895" s="4" t="s">
        <v>302</v>
      </c>
      <c r="BN895" s="5"/>
    </row>
    <row r="896" spans="1:66" ht="15.75" customHeight="1">
      <c r="A896" s="4" t="s">
        <v>302</v>
      </c>
      <c r="B896" s="4" t="s">
        <v>302</v>
      </c>
      <c r="BN896" s="5"/>
    </row>
    <row r="897" spans="1:66" ht="15.75" customHeight="1">
      <c r="A897" s="4" t="s">
        <v>302</v>
      </c>
      <c r="B897" s="4" t="s">
        <v>302</v>
      </c>
      <c r="BN897" s="5"/>
    </row>
    <row r="898" spans="1:66" ht="15.75" customHeight="1">
      <c r="A898" s="4" t="s">
        <v>302</v>
      </c>
      <c r="B898" s="4" t="s">
        <v>302</v>
      </c>
      <c r="BN898" s="5"/>
    </row>
    <row r="899" spans="1:66" ht="15.75" customHeight="1">
      <c r="A899" s="4" t="s">
        <v>302</v>
      </c>
      <c r="B899" s="4" t="s">
        <v>302</v>
      </c>
      <c r="BN899" s="5"/>
    </row>
    <row r="900" spans="1:66" ht="15.75" customHeight="1">
      <c r="A900" s="4" t="s">
        <v>302</v>
      </c>
      <c r="B900" s="4" t="s">
        <v>302</v>
      </c>
      <c r="BN900" s="5"/>
    </row>
    <row r="901" spans="1:66" ht="15.75" customHeight="1">
      <c r="A901" s="4" t="s">
        <v>302</v>
      </c>
      <c r="B901" s="4" t="s">
        <v>302</v>
      </c>
      <c r="BN901" s="5"/>
    </row>
    <row r="902" spans="1:66" ht="15.75" customHeight="1">
      <c r="A902" s="4" t="s">
        <v>302</v>
      </c>
      <c r="B902" s="4" t="s">
        <v>302</v>
      </c>
      <c r="BN902" s="5"/>
    </row>
    <row r="903" spans="1:66" ht="15.75" customHeight="1">
      <c r="A903" s="4" t="s">
        <v>302</v>
      </c>
      <c r="B903" s="4" t="s">
        <v>302</v>
      </c>
      <c r="BN903" s="5"/>
    </row>
    <row r="904" spans="1:66" ht="15.75" customHeight="1">
      <c r="A904" s="4" t="s">
        <v>302</v>
      </c>
      <c r="B904" s="4" t="s">
        <v>302</v>
      </c>
      <c r="BN904" s="5"/>
    </row>
    <row r="905" spans="1:66" ht="15.75" customHeight="1">
      <c r="A905" s="4" t="s">
        <v>302</v>
      </c>
      <c r="B905" s="4" t="s">
        <v>302</v>
      </c>
      <c r="BN905" s="5"/>
    </row>
    <row r="906" spans="1:66" ht="15.75" customHeight="1">
      <c r="A906" s="4" t="s">
        <v>302</v>
      </c>
      <c r="B906" s="4" t="s">
        <v>302</v>
      </c>
      <c r="BN906" s="5"/>
    </row>
    <row r="907" spans="1:66" ht="15.75" customHeight="1">
      <c r="A907" s="4" t="s">
        <v>302</v>
      </c>
      <c r="B907" s="4" t="s">
        <v>302</v>
      </c>
      <c r="BN907" s="5"/>
    </row>
    <row r="908" spans="1:66" ht="15.75" customHeight="1">
      <c r="A908" s="4" t="s">
        <v>302</v>
      </c>
      <c r="B908" s="4" t="s">
        <v>302</v>
      </c>
      <c r="BN908" s="5"/>
    </row>
    <row r="909" spans="1:66" ht="15.75" customHeight="1">
      <c r="A909" s="4" t="s">
        <v>302</v>
      </c>
      <c r="B909" s="4" t="s">
        <v>302</v>
      </c>
      <c r="BN909" s="5"/>
    </row>
    <row r="910" spans="1:66" ht="15.75" customHeight="1">
      <c r="A910" s="4" t="s">
        <v>302</v>
      </c>
      <c r="B910" s="4" t="s">
        <v>302</v>
      </c>
      <c r="BN910" s="5"/>
    </row>
    <row r="911" spans="1:66" ht="15.75" customHeight="1">
      <c r="A911" s="4" t="s">
        <v>302</v>
      </c>
      <c r="B911" s="4" t="s">
        <v>302</v>
      </c>
      <c r="BN911" s="5"/>
    </row>
    <row r="912" spans="1:66" ht="15.75" customHeight="1">
      <c r="A912" s="4" t="s">
        <v>302</v>
      </c>
      <c r="B912" s="4" t="s">
        <v>302</v>
      </c>
      <c r="BN912" s="5"/>
    </row>
    <row r="913" spans="1:66" ht="15.75" customHeight="1">
      <c r="A913" s="4" t="s">
        <v>302</v>
      </c>
      <c r="B913" s="4" t="s">
        <v>302</v>
      </c>
      <c r="BN913" s="5"/>
    </row>
    <row r="914" spans="1:66" ht="15.75" customHeight="1">
      <c r="A914" s="4" t="s">
        <v>302</v>
      </c>
      <c r="B914" s="4" t="s">
        <v>302</v>
      </c>
      <c r="BN914" s="5"/>
    </row>
    <row r="915" spans="1:66" ht="15.75" customHeight="1">
      <c r="A915" s="4" t="s">
        <v>302</v>
      </c>
      <c r="B915" s="4" t="s">
        <v>302</v>
      </c>
      <c r="BN915" s="5"/>
    </row>
    <row r="916" spans="1:66" ht="15.75" customHeight="1">
      <c r="A916" s="4" t="s">
        <v>302</v>
      </c>
      <c r="B916" s="4" t="s">
        <v>302</v>
      </c>
      <c r="BN916" s="5"/>
    </row>
    <row r="917" spans="1:66" ht="15.75" customHeight="1">
      <c r="A917" s="4" t="s">
        <v>302</v>
      </c>
      <c r="B917" s="4" t="s">
        <v>302</v>
      </c>
      <c r="BN917" s="5"/>
    </row>
    <row r="918" spans="1:66" ht="15.75" customHeight="1">
      <c r="A918" s="4" t="s">
        <v>302</v>
      </c>
      <c r="B918" s="4" t="s">
        <v>302</v>
      </c>
      <c r="BN918" s="5"/>
    </row>
    <row r="919" spans="1:66" ht="15.75" customHeight="1">
      <c r="A919" s="4" t="s">
        <v>302</v>
      </c>
      <c r="B919" s="4" t="s">
        <v>302</v>
      </c>
      <c r="BN919" s="5"/>
    </row>
    <row r="920" spans="1:66" ht="15.75" customHeight="1">
      <c r="A920" s="4" t="s">
        <v>302</v>
      </c>
      <c r="B920" s="4" t="s">
        <v>302</v>
      </c>
      <c r="BN920" s="5"/>
    </row>
    <row r="921" spans="1:66" ht="15.75" customHeight="1">
      <c r="A921" s="4" t="s">
        <v>302</v>
      </c>
      <c r="B921" s="4" t="s">
        <v>302</v>
      </c>
      <c r="BN921" s="5"/>
    </row>
    <row r="922" spans="1:66" ht="15.75" customHeight="1">
      <c r="A922" s="4" t="s">
        <v>302</v>
      </c>
      <c r="B922" s="4" t="s">
        <v>302</v>
      </c>
      <c r="BN922" s="5"/>
    </row>
    <row r="923" spans="1:66" ht="15.75" customHeight="1">
      <c r="A923" s="4" t="s">
        <v>302</v>
      </c>
      <c r="B923" s="4" t="s">
        <v>302</v>
      </c>
      <c r="BN923" s="5"/>
    </row>
    <row r="924" spans="1:66" ht="15.75" customHeight="1">
      <c r="A924" s="4" t="s">
        <v>302</v>
      </c>
      <c r="B924" s="4" t="s">
        <v>302</v>
      </c>
      <c r="BN924" s="5"/>
    </row>
    <row r="925" spans="1:66" ht="15.75" customHeight="1">
      <c r="A925" s="4" t="s">
        <v>302</v>
      </c>
      <c r="B925" s="4" t="s">
        <v>302</v>
      </c>
      <c r="BN925" s="5"/>
    </row>
    <row r="926" spans="1:66" ht="15.75" customHeight="1">
      <c r="A926" s="4" t="s">
        <v>302</v>
      </c>
      <c r="B926" s="4" t="s">
        <v>302</v>
      </c>
      <c r="BN926" s="5"/>
    </row>
    <row r="927" spans="1:66" ht="15.75" customHeight="1">
      <c r="A927" s="4" t="s">
        <v>302</v>
      </c>
      <c r="B927" s="4" t="s">
        <v>302</v>
      </c>
      <c r="BN927" s="5"/>
    </row>
    <row r="928" spans="1:66" ht="15.75" customHeight="1">
      <c r="A928" s="4" t="s">
        <v>302</v>
      </c>
      <c r="B928" s="4" t="s">
        <v>302</v>
      </c>
      <c r="BN928" s="5"/>
    </row>
    <row r="929" spans="1:66" ht="15.75" customHeight="1">
      <c r="A929" s="4" t="s">
        <v>302</v>
      </c>
      <c r="B929" s="4" t="s">
        <v>302</v>
      </c>
      <c r="BN929" s="5"/>
    </row>
    <row r="930" spans="1:66" ht="15.75" customHeight="1">
      <c r="A930" s="4" t="s">
        <v>302</v>
      </c>
      <c r="B930" s="4" t="s">
        <v>302</v>
      </c>
      <c r="BN930" s="5"/>
    </row>
    <row r="931" spans="1:66" ht="15.75" customHeight="1">
      <c r="A931" s="4" t="s">
        <v>302</v>
      </c>
      <c r="B931" s="4" t="s">
        <v>302</v>
      </c>
      <c r="BN931" s="5"/>
    </row>
    <row r="932" spans="1:66" ht="15.75" customHeight="1">
      <c r="A932" s="4" t="s">
        <v>302</v>
      </c>
      <c r="B932" s="4" t="s">
        <v>302</v>
      </c>
      <c r="BN932" s="5"/>
    </row>
    <row r="933" spans="1:66" ht="15.75" customHeight="1">
      <c r="A933" s="4" t="s">
        <v>302</v>
      </c>
      <c r="B933" s="4" t="s">
        <v>302</v>
      </c>
      <c r="BN933" s="5"/>
    </row>
    <row r="934" spans="1:66" ht="15.75" customHeight="1">
      <c r="A934" s="4" t="s">
        <v>302</v>
      </c>
      <c r="B934" s="4" t="s">
        <v>302</v>
      </c>
      <c r="BN934" s="5"/>
    </row>
    <row r="935" spans="1:66" ht="15.75" customHeight="1">
      <c r="A935" s="4" t="s">
        <v>302</v>
      </c>
      <c r="B935" s="4" t="s">
        <v>302</v>
      </c>
      <c r="BN935" s="5"/>
    </row>
    <row r="936" spans="1:66" ht="15.75" customHeight="1">
      <c r="A936" s="4" t="s">
        <v>302</v>
      </c>
      <c r="B936" s="4" t="s">
        <v>302</v>
      </c>
      <c r="BN936" s="5"/>
    </row>
    <row r="937" spans="1:66" ht="15.75" customHeight="1">
      <c r="A937" s="4" t="s">
        <v>302</v>
      </c>
      <c r="B937" s="4" t="s">
        <v>302</v>
      </c>
      <c r="BN937" s="5"/>
    </row>
    <row r="938" spans="1:66" ht="15.75" customHeight="1">
      <c r="A938" s="4" t="s">
        <v>302</v>
      </c>
      <c r="B938" s="4" t="s">
        <v>302</v>
      </c>
      <c r="BN938" s="5"/>
    </row>
    <row r="939" spans="1:66" ht="15.75" customHeight="1">
      <c r="A939" s="4" t="s">
        <v>302</v>
      </c>
      <c r="B939" s="4" t="s">
        <v>302</v>
      </c>
      <c r="BN939" s="5"/>
    </row>
    <row r="940" spans="1:66" ht="15.75" customHeight="1">
      <c r="A940" s="4" t="s">
        <v>302</v>
      </c>
      <c r="B940" s="4" t="s">
        <v>302</v>
      </c>
      <c r="BN940" s="5"/>
    </row>
    <row r="941" spans="1:66" ht="15.75" customHeight="1">
      <c r="A941" s="4" t="s">
        <v>302</v>
      </c>
      <c r="B941" s="4" t="s">
        <v>302</v>
      </c>
      <c r="BN941" s="5"/>
    </row>
    <row r="942" spans="1:66" ht="15.75" customHeight="1">
      <c r="A942" s="4" t="s">
        <v>302</v>
      </c>
      <c r="B942" s="4" t="s">
        <v>302</v>
      </c>
      <c r="BN942" s="5"/>
    </row>
    <row r="943" spans="1:66" ht="15.75" customHeight="1">
      <c r="A943" s="4" t="s">
        <v>302</v>
      </c>
      <c r="B943" s="4" t="s">
        <v>302</v>
      </c>
      <c r="BN943" s="5"/>
    </row>
    <row r="944" spans="1:66" ht="15.75" customHeight="1">
      <c r="A944" s="4" t="s">
        <v>302</v>
      </c>
      <c r="B944" s="4" t="s">
        <v>302</v>
      </c>
      <c r="BN944" s="5"/>
    </row>
    <row r="945" spans="1:66" ht="15.75" customHeight="1">
      <c r="A945" s="4" t="s">
        <v>302</v>
      </c>
      <c r="B945" s="4" t="s">
        <v>302</v>
      </c>
      <c r="BN945" s="5"/>
    </row>
    <row r="946" spans="1:66" ht="15.75" customHeight="1">
      <c r="A946" s="4" t="s">
        <v>302</v>
      </c>
      <c r="B946" s="4" t="s">
        <v>302</v>
      </c>
      <c r="BN946" s="5"/>
    </row>
    <row r="947" spans="1:66" ht="15.75" customHeight="1">
      <c r="A947" s="4" t="s">
        <v>302</v>
      </c>
      <c r="B947" s="4" t="s">
        <v>302</v>
      </c>
      <c r="BN947" s="5"/>
    </row>
    <row r="948" spans="1:66" ht="15.75" customHeight="1">
      <c r="A948" s="4" t="s">
        <v>302</v>
      </c>
      <c r="B948" s="4" t="s">
        <v>302</v>
      </c>
      <c r="BN948" s="5"/>
    </row>
    <row r="949" spans="1:66" ht="15.75" customHeight="1">
      <c r="A949" s="4" t="s">
        <v>302</v>
      </c>
      <c r="B949" s="4" t="s">
        <v>302</v>
      </c>
      <c r="BN949" s="5"/>
    </row>
    <row r="950" spans="1:66" ht="15.75" customHeight="1">
      <c r="A950" s="4" t="s">
        <v>302</v>
      </c>
      <c r="B950" s="4" t="s">
        <v>302</v>
      </c>
      <c r="BN950" s="5"/>
    </row>
    <row r="951" spans="1:66" ht="15.75" customHeight="1">
      <c r="A951" s="4" t="s">
        <v>302</v>
      </c>
      <c r="B951" s="4" t="s">
        <v>302</v>
      </c>
      <c r="BN951" s="5"/>
    </row>
    <row r="952" spans="1:66" ht="15.75" customHeight="1">
      <c r="A952" s="4" t="s">
        <v>302</v>
      </c>
      <c r="B952" s="4" t="s">
        <v>302</v>
      </c>
      <c r="BN952" s="5"/>
    </row>
    <row r="953" spans="1:66" ht="15.75" customHeight="1">
      <c r="A953" s="4" t="s">
        <v>302</v>
      </c>
      <c r="B953" s="4" t="s">
        <v>302</v>
      </c>
      <c r="BN953" s="5"/>
    </row>
    <row r="954" spans="1:66" ht="15.75" customHeight="1">
      <c r="A954" s="4" t="s">
        <v>302</v>
      </c>
      <c r="B954" s="4" t="s">
        <v>302</v>
      </c>
      <c r="BN954" s="5"/>
    </row>
    <row r="955" spans="1:66" ht="15.75" customHeight="1">
      <c r="A955" s="4" t="s">
        <v>302</v>
      </c>
      <c r="B955" s="4" t="s">
        <v>302</v>
      </c>
      <c r="BN955" s="5"/>
    </row>
    <row r="956" spans="1:66" ht="15.75" customHeight="1">
      <c r="A956" s="4" t="s">
        <v>302</v>
      </c>
      <c r="B956" s="4" t="s">
        <v>302</v>
      </c>
      <c r="BN956" s="5"/>
    </row>
    <row r="957" spans="1:66" ht="15.75" customHeight="1">
      <c r="A957" s="4" t="s">
        <v>302</v>
      </c>
      <c r="B957" s="4" t="s">
        <v>302</v>
      </c>
      <c r="BN957" s="5"/>
    </row>
    <row r="958" spans="1:66" ht="15.75" customHeight="1">
      <c r="A958" s="4" t="s">
        <v>302</v>
      </c>
      <c r="B958" s="4" t="s">
        <v>302</v>
      </c>
      <c r="BN958" s="5"/>
    </row>
    <row r="959" spans="1:66" ht="15.75" customHeight="1">
      <c r="A959" s="4" t="s">
        <v>302</v>
      </c>
      <c r="B959" s="4" t="s">
        <v>302</v>
      </c>
      <c r="BN959" s="5"/>
    </row>
    <row r="960" spans="1:66" ht="15.75" customHeight="1">
      <c r="A960" s="4" t="s">
        <v>302</v>
      </c>
      <c r="B960" s="4" t="s">
        <v>302</v>
      </c>
      <c r="BN960" s="5"/>
    </row>
    <row r="961" spans="1:66" ht="15.75" customHeight="1">
      <c r="A961" s="4" t="s">
        <v>302</v>
      </c>
      <c r="B961" s="4" t="s">
        <v>302</v>
      </c>
      <c r="BN961" s="5"/>
    </row>
    <row r="962" spans="1:66" ht="15.75" customHeight="1">
      <c r="A962" s="4" t="s">
        <v>302</v>
      </c>
      <c r="B962" s="4" t="s">
        <v>302</v>
      </c>
      <c r="BN962" s="5"/>
    </row>
    <row r="963" spans="1:66" ht="15.75" customHeight="1">
      <c r="A963" s="4" t="s">
        <v>302</v>
      </c>
      <c r="B963" s="4" t="s">
        <v>302</v>
      </c>
      <c r="BN963" s="5"/>
    </row>
    <row r="964" spans="1:66" ht="15.75" customHeight="1">
      <c r="A964" s="4" t="s">
        <v>302</v>
      </c>
      <c r="B964" s="4" t="s">
        <v>302</v>
      </c>
      <c r="BN964" s="5"/>
    </row>
    <row r="965" spans="1:66" ht="15.75" customHeight="1">
      <c r="A965" s="4" t="s">
        <v>302</v>
      </c>
      <c r="B965" s="4" t="s">
        <v>302</v>
      </c>
      <c r="BN965" s="5"/>
    </row>
    <row r="966" spans="1:66" ht="15.75" customHeight="1">
      <c r="A966" s="4" t="s">
        <v>302</v>
      </c>
      <c r="B966" s="4" t="s">
        <v>302</v>
      </c>
      <c r="BN966" s="5"/>
    </row>
    <row r="967" spans="1:66" ht="15.75" customHeight="1">
      <c r="A967" s="4" t="s">
        <v>302</v>
      </c>
      <c r="B967" s="4" t="s">
        <v>302</v>
      </c>
      <c r="BN967" s="5"/>
    </row>
    <row r="968" spans="1:66" ht="15.75" customHeight="1">
      <c r="A968" s="4" t="s">
        <v>302</v>
      </c>
      <c r="B968" s="4" t="s">
        <v>302</v>
      </c>
      <c r="BN968" s="5"/>
    </row>
    <row r="969" spans="1:66" ht="15.75" customHeight="1">
      <c r="A969" s="4" t="s">
        <v>302</v>
      </c>
      <c r="B969" s="4" t="s">
        <v>302</v>
      </c>
      <c r="BN969" s="5"/>
    </row>
    <row r="970" spans="1:66" ht="15.75" customHeight="1">
      <c r="A970" s="4" t="s">
        <v>302</v>
      </c>
      <c r="B970" s="4" t="s">
        <v>302</v>
      </c>
      <c r="BN970" s="5"/>
    </row>
    <row r="971" spans="1:66" ht="15.75" customHeight="1">
      <c r="A971" s="4" t="s">
        <v>302</v>
      </c>
      <c r="B971" s="4" t="s">
        <v>302</v>
      </c>
      <c r="BN971" s="5"/>
    </row>
    <row r="972" spans="1:66" ht="15.75" customHeight="1">
      <c r="A972" s="4" t="s">
        <v>302</v>
      </c>
      <c r="B972" s="4" t="s">
        <v>302</v>
      </c>
      <c r="BN972" s="5"/>
    </row>
    <row r="973" spans="1:66" ht="15.75" customHeight="1">
      <c r="A973" s="4" t="s">
        <v>302</v>
      </c>
      <c r="B973" s="4" t="s">
        <v>302</v>
      </c>
      <c r="BN973" s="5"/>
    </row>
    <row r="974" spans="1:66" ht="15.75" customHeight="1">
      <c r="A974" s="4" t="s">
        <v>302</v>
      </c>
      <c r="B974" s="4" t="s">
        <v>302</v>
      </c>
      <c r="BN974" s="5"/>
    </row>
    <row r="975" spans="1:66" ht="15.75" customHeight="1">
      <c r="A975" s="4" t="s">
        <v>302</v>
      </c>
      <c r="B975" s="4" t="s">
        <v>302</v>
      </c>
      <c r="BN975" s="5"/>
    </row>
    <row r="976" spans="1:66" ht="15.75" customHeight="1">
      <c r="A976" s="4" t="s">
        <v>302</v>
      </c>
      <c r="B976" s="4" t="s">
        <v>302</v>
      </c>
      <c r="BN976" s="5"/>
    </row>
    <row r="977" spans="1:66" ht="15.75" customHeight="1">
      <c r="A977" s="4" t="s">
        <v>302</v>
      </c>
      <c r="B977" s="4" t="s">
        <v>302</v>
      </c>
      <c r="BN977" s="5"/>
    </row>
    <row r="978" spans="1:66" ht="15.75" customHeight="1">
      <c r="A978" s="4" t="s">
        <v>302</v>
      </c>
      <c r="B978" s="4" t="s">
        <v>302</v>
      </c>
      <c r="BN978" s="5"/>
    </row>
    <row r="979" spans="1:66" ht="15.75" customHeight="1">
      <c r="A979" s="4" t="s">
        <v>302</v>
      </c>
      <c r="B979" s="4" t="s">
        <v>302</v>
      </c>
      <c r="BN979" s="5"/>
    </row>
    <row r="980" spans="1:66" ht="15.75" customHeight="1">
      <c r="A980" s="4" t="s">
        <v>302</v>
      </c>
      <c r="B980" s="4" t="s">
        <v>302</v>
      </c>
      <c r="BN980" s="5"/>
    </row>
    <row r="981" spans="1:66" ht="15.75" customHeight="1">
      <c r="A981" s="4" t="s">
        <v>302</v>
      </c>
      <c r="B981" s="4" t="s">
        <v>302</v>
      </c>
      <c r="BN981" s="5"/>
    </row>
    <row r="982" spans="1:66" ht="15.75" customHeight="1">
      <c r="A982" s="4" t="s">
        <v>302</v>
      </c>
      <c r="B982" s="4" t="s">
        <v>302</v>
      </c>
      <c r="BN982" s="5"/>
    </row>
    <row r="983" spans="1:66" ht="15.75" customHeight="1">
      <c r="A983" s="4" t="s">
        <v>302</v>
      </c>
      <c r="B983" s="4" t="s">
        <v>302</v>
      </c>
      <c r="BN983" s="5"/>
    </row>
    <row r="984" spans="1:66" ht="15.75" customHeight="1">
      <c r="A984" s="4" t="s">
        <v>302</v>
      </c>
      <c r="B984" s="4" t="s">
        <v>302</v>
      </c>
      <c r="BN984" s="5"/>
    </row>
    <row r="985" spans="1:66" ht="15.75" customHeight="1">
      <c r="A985" s="4" t="s">
        <v>302</v>
      </c>
      <c r="B985" s="4" t="s">
        <v>302</v>
      </c>
      <c r="BN985" s="5"/>
    </row>
    <row r="986" spans="1:66" ht="15.75" customHeight="1">
      <c r="A986" s="4" t="s">
        <v>302</v>
      </c>
      <c r="B986" s="4" t="s">
        <v>302</v>
      </c>
      <c r="BN986" s="5"/>
    </row>
    <row r="987" spans="1:66" ht="15.75" customHeight="1">
      <c r="A987" s="4" t="s">
        <v>302</v>
      </c>
      <c r="B987" s="4" t="s">
        <v>302</v>
      </c>
      <c r="BN987" s="5"/>
    </row>
    <row r="988" spans="1:66" ht="15.75" customHeight="1">
      <c r="A988" s="4" t="s">
        <v>302</v>
      </c>
      <c r="B988" s="4" t="s">
        <v>302</v>
      </c>
      <c r="BN988" s="5"/>
    </row>
    <row r="989" spans="1:66" ht="15.75" customHeight="1">
      <c r="A989" s="4" t="s">
        <v>302</v>
      </c>
      <c r="B989" s="4" t="s">
        <v>302</v>
      </c>
      <c r="BN989" s="5"/>
    </row>
    <row r="990" spans="1:66" ht="15.75" customHeight="1">
      <c r="A990" s="4" t="s">
        <v>302</v>
      </c>
      <c r="B990" s="4" t="s">
        <v>302</v>
      </c>
      <c r="BN990" s="5"/>
    </row>
    <row r="991" spans="1:66" ht="15.75" customHeight="1">
      <c r="A991" s="4" t="s">
        <v>302</v>
      </c>
      <c r="B991" s="4" t="s">
        <v>302</v>
      </c>
      <c r="BN991" s="5"/>
    </row>
    <row r="992" spans="1:66" ht="15.75" customHeight="1">
      <c r="A992" s="4" t="s">
        <v>302</v>
      </c>
      <c r="B992" s="4" t="s">
        <v>302</v>
      </c>
      <c r="BN992" s="5"/>
    </row>
    <row r="993" spans="1:66" ht="15.75" customHeight="1">
      <c r="A993" s="4" t="s">
        <v>302</v>
      </c>
      <c r="B993" s="4" t="s">
        <v>302</v>
      </c>
      <c r="BN993" s="5"/>
    </row>
    <row r="994" spans="1:66" ht="15.75" customHeight="1">
      <c r="A994" s="4" t="s">
        <v>302</v>
      </c>
      <c r="B994" s="4" t="s">
        <v>302</v>
      </c>
      <c r="BN994" s="5"/>
    </row>
    <row r="995" spans="1:66" ht="15.75" customHeight="1">
      <c r="A995" s="4" t="s">
        <v>302</v>
      </c>
      <c r="B995" s="4" t="s">
        <v>302</v>
      </c>
      <c r="BN995" s="5"/>
    </row>
    <row r="996" spans="1:66" ht="15.75" customHeight="1">
      <c r="A996" s="4" t="s">
        <v>302</v>
      </c>
      <c r="B996" s="4" t="s">
        <v>302</v>
      </c>
      <c r="BN996" s="5"/>
    </row>
    <row r="997" spans="1:66" ht="15.75" customHeight="1">
      <c r="A997" s="4" t="s">
        <v>302</v>
      </c>
      <c r="B997" s="4" t="s">
        <v>302</v>
      </c>
      <c r="BN997" s="5"/>
    </row>
    <row r="998" spans="1:66" ht="15.75" customHeight="1">
      <c r="A998" s="4" t="s">
        <v>302</v>
      </c>
      <c r="B998" s="4" t="s">
        <v>302</v>
      </c>
      <c r="BN998" s="5"/>
    </row>
    <row r="999" spans="1:66" ht="15.75" customHeight="1">
      <c r="A999" s="4" t="s">
        <v>302</v>
      </c>
      <c r="B999" s="4" t="s">
        <v>302</v>
      </c>
      <c r="BN999" s="5"/>
    </row>
    <row r="1000" spans="1:66" ht="15.75" customHeight="1">
      <c r="A1000" s="4" t="s">
        <v>302</v>
      </c>
      <c r="B1000" s="4" t="s">
        <v>302</v>
      </c>
      <c r="BN1000"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 customHeight="1"/>
  <cols>
    <col min="1" max="1" width="12.26953125" customWidth="1"/>
    <col min="2" max="2" width="5.36328125" customWidth="1"/>
    <col min="3" max="3" width="3.90625" customWidth="1"/>
    <col min="4" max="4" width="3.7265625" customWidth="1"/>
    <col min="5" max="5" width="8.453125" customWidth="1"/>
    <col min="6" max="6" width="41.36328125" customWidth="1"/>
    <col min="7" max="7" width="21.453125" customWidth="1"/>
    <col min="9" max="9" width="19" customWidth="1"/>
  </cols>
  <sheetData>
    <row r="1" spans="1:20" ht="15.75" customHeight="1">
      <c r="A1" s="4" t="s">
        <v>0</v>
      </c>
      <c r="B1" s="4" t="s">
        <v>1</v>
      </c>
      <c r="C1" s="4" t="s">
        <v>303</v>
      </c>
      <c r="D1" s="9" t="s">
        <v>2</v>
      </c>
      <c r="E1" s="4" t="s">
        <v>304</v>
      </c>
      <c r="F1" s="4" t="s">
        <v>305</v>
      </c>
      <c r="G1" s="1" t="s">
        <v>101</v>
      </c>
    </row>
    <row r="2" spans="1:20" ht="15.75" customHeight="1">
      <c r="A2" s="4" t="s">
        <v>180</v>
      </c>
      <c r="B2" s="4">
        <v>2019</v>
      </c>
      <c r="C2" s="4" t="s">
        <v>306</v>
      </c>
      <c r="D2" s="14" t="s">
        <v>181</v>
      </c>
      <c r="E2" s="4" t="s">
        <v>307</v>
      </c>
      <c r="F2" s="1"/>
      <c r="G2" s="1" t="s">
        <v>308</v>
      </c>
      <c r="H2" s="4" t="s">
        <v>309</v>
      </c>
    </row>
    <row r="3" spans="1:20" ht="15.75" customHeight="1">
      <c r="A3" s="4" t="s">
        <v>102</v>
      </c>
      <c r="B3" s="4">
        <v>2011</v>
      </c>
      <c r="C3" s="4" t="s">
        <v>310</v>
      </c>
      <c r="D3" s="14" t="s">
        <v>103</v>
      </c>
      <c r="E3" s="4" t="s">
        <v>307</v>
      </c>
      <c r="F3" s="1"/>
      <c r="G3" s="1"/>
      <c r="I3" s="4" t="s">
        <v>311</v>
      </c>
      <c r="J3" s="4">
        <f>SUMIFS(Included!F2:F1000,Included!E2:E1000,"Yes")</f>
        <v>2290</v>
      </c>
    </row>
    <row r="4" spans="1:20" ht="15.75" customHeight="1">
      <c r="A4" s="4" t="s">
        <v>108</v>
      </c>
      <c r="B4" s="4">
        <v>1997</v>
      </c>
      <c r="C4" s="4" t="s">
        <v>312</v>
      </c>
      <c r="D4" s="14" t="s">
        <v>109</v>
      </c>
      <c r="E4" s="4" t="s">
        <v>307</v>
      </c>
      <c r="F4" s="1"/>
      <c r="G4" s="1"/>
      <c r="I4" s="4" t="s">
        <v>313</v>
      </c>
    </row>
    <row r="5" spans="1:20" ht="15.75" customHeight="1">
      <c r="A5" s="4" t="s">
        <v>200</v>
      </c>
      <c r="B5" s="4">
        <v>2010</v>
      </c>
      <c r="C5" s="4" t="s">
        <v>314</v>
      </c>
      <c r="D5" s="14" t="s">
        <v>201</v>
      </c>
      <c r="E5" s="4" t="s">
        <v>307</v>
      </c>
      <c r="F5" s="1"/>
      <c r="G5" s="1" t="s">
        <v>315</v>
      </c>
      <c r="I5" s="1" t="s">
        <v>316</v>
      </c>
      <c r="J5" s="4" t="s">
        <v>311</v>
      </c>
      <c r="K5" s="1"/>
    </row>
    <row r="6" spans="1:20" ht="15.75" customHeight="1">
      <c r="A6" s="4" t="s">
        <v>202</v>
      </c>
      <c r="B6" s="4">
        <v>2016</v>
      </c>
      <c r="C6" s="4" t="s">
        <v>317</v>
      </c>
      <c r="D6" s="14" t="s">
        <v>203</v>
      </c>
      <c r="E6" s="4" t="s">
        <v>307</v>
      </c>
      <c r="F6" s="1"/>
      <c r="G6" s="1" t="s">
        <v>315</v>
      </c>
      <c r="I6" s="1" t="s">
        <v>318</v>
      </c>
    </row>
    <row r="7" spans="1:20" ht="15.75" customHeight="1">
      <c r="A7" s="4" t="s">
        <v>204</v>
      </c>
      <c r="B7" s="4">
        <v>2018</v>
      </c>
      <c r="C7" s="4" t="s">
        <v>319</v>
      </c>
      <c r="D7" s="14" t="s">
        <v>205</v>
      </c>
      <c r="E7" s="4" t="s">
        <v>307</v>
      </c>
      <c r="F7" s="1"/>
      <c r="G7" s="1" t="s">
        <v>320</v>
      </c>
      <c r="I7" s="15" t="s">
        <v>321</v>
      </c>
      <c r="J7" s="4">
        <f>SUMIFS(Included!J2:J1000,Included!E2:E1000,"Yes")</f>
        <v>365</v>
      </c>
    </row>
    <row r="8" spans="1:20" ht="15.75" customHeight="1">
      <c r="A8" s="4" t="s">
        <v>206</v>
      </c>
      <c r="B8" s="4">
        <v>2012</v>
      </c>
      <c r="C8" s="4" t="s">
        <v>322</v>
      </c>
      <c r="D8" s="14" t="s">
        <v>207</v>
      </c>
      <c r="E8" s="4" t="s">
        <v>307</v>
      </c>
      <c r="F8" s="1"/>
      <c r="G8" s="1" t="s">
        <v>320</v>
      </c>
      <c r="I8" s="16" t="s">
        <v>323</v>
      </c>
      <c r="J8" s="4">
        <f>SUMIFS(Included!K2:K1000,Included!E2:E1000,"Yes")</f>
        <v>622</v>
      </c>
    </row>
    <row r="9" spans="1:20" ht="15.75" customHeight="1">
      <c r="A9" s="4" t="s">
        <v>112</v>
      </c>
      <c r="B9" s="4">
        <v>1993</v>
      </c>
      <c r="C9" s="4" t="s">
        <v>324</v>
      </c>
      <c r="D9" s="14" t="s">
        <v>113</v>
      </c>
      <c r="E9" s="4" t="s">
        <v>307</v>
      </c>
      <c r="F9" s="1"/>
      <c r="G9" s="1"/>
      <c r="I9" s="16" t="s">
        <v>110</v>
      </c>
      <c r="J9" s="4">
        <f>SUMIFS(Included!L2:L1000,Included!E2:E1000,"Yes")</f>
        <v>168</v>
      </c>
      <c r="K9" s="1"/>
      <c r="L9" s="1"/>
    </row>
    <row r="10" spans="1:20" ht="15.75" customHeight="1">
      <c r="A10" s="4" t="s">
        <v>208</v>
      </c>
      <c r="B10" s="4">
        <v>2012</v>
      </c>
      <c r="C10" s="4" t="s">
        <v>325</v>
      </c>
      <c r="D10" s="14" t="s">
        <v>209</v>
      </c>
      <c r="E10" s="4" t="s">
        <v>307</v>
      </c>
      <c r="F10" s="1"/>
      <c r="G10" s="1" t="s">
        <v>326</v>
      </c>
      <c r="I10" s="1" t="s">
        <v>327</v>
      </c>
      <c r="J10" s="1"/>
    </row>
    <row r="11" spans="1:20" ht="15.75" customHeight="1">
      <c r="A11" s="4" t="s">
        <v>117</v>
      </c>
      <c r="B11" s="4">
        <v>2020</v>
      </c>
      <c r="C11" s="4" t="s">
        <v>328</v>
      </c>
      <c r="D11" s="14" t="s">
        <v>118</v>
      </c>
      <c r="E11" s="4" t="s">
        <v>307</v>
      </c>
      <c r="F11" s="1"/>
      <c r="G11" s="1"/>
      <c r="I11" s="16" t="s">
        <v>329</v>
      </c>
      <c r="J11" s="4">
        <f>SUMIFS(Included!M2:M1000,Included!E2:E1000,"Yes")</f>
        <v>1051</v>
      </c>
    </row>
    <row r="12" spans="1:20" ht="15.75" customHeight="1">
      <c r="A12" s="4" t="s">
        <v>120</v>
      </c>
      <c r="B12" s="4">
        <v>2010</v>
      </c>
      <c r="C12" s="4" t="s">
        <v>330</v>
      </c>
      <c r="D12" s="14" t="s">
        <v>121</v>
      </c>
      <c r="E12" s="4" t="s">
        <v>307</v>
      </c>
      <c r="F12" s="1"/>
      <c r="G12" s="1"/>
      <c r="I12" s="16" t="s">
        <v>331</v>
      </c>
      <c r="J12" s="4">
        <f>SUMIFS(Included!N2:N1000,Included!E2:E1000,"Yes")</f>
        <v>0</v>
      </c>
    </row>
    <row r="13" spans="1:20" ht="15.75" customHeight="1">
      <c r="A13" s="4" t="s">
        <v>123</v>
      </c>
      <c r="B13" s="4">
        <v>2021</v>
      </c>
      <c r="C13" s="4" t="s">
        <v>332</v>
      </c>
      <c r="D13" s="14" t="s">
        <v>124</v>
      </c>
      <c r="E13" s="4" t="s">
        <v>307</v>
      </c>
      <c r="F13" s="1"/>
      <c r="G13" s="1"/>
      <c r="I13" s="16" t="s">
        <v>333</v>
      </c>
      <c r="J13" s="4">
        <f>SUMIFS(Included!O2:O1000,Included!E2:E1000,"Yes")</f>
        <v>0</v>
      </c>
    </row>
    <row r="14" spans="1:20" ht="15.75" customHeight="1">
      <c r="A14" s="4" t="s">
        <v>212</v>
      </c>
      <c r="B14" s="4">
        <v>2014</v>
      </c>
      <c r="C14" s="4" t="s">
        <v>334</v>
      </c>
      <c r="D14" s="14" t="s">
        <v>213</v>
      </c>
      <c r="E14" s="4" t="s">
        <v>307</v>
      </c>
      <c r="F14" s="1"/>
      <c r="G14" s="1" t="s">
        <v>335</v>
      </c>
      <c r="I14" s="16" t="s">
        <v>110</v>
      </c>
      <c r="J14" s="4">
        <f>SUMIFS(Included!P2:P1000,Included!E2:E1000,"Yes")</f>
        <v>1239</v>
      </c>
      <c r="K14" s="1"/>
      <c r="L14" s="1"/>
      <c r="M14" s="1"/>
      <c r="N14" s="1"/>
      <c r="O14" s="1"/>
      <c r="P14" s="1"/>
      <c r="Q14" s="1" t="str">
        <f t="shared" ref="Q14:Q25" si="0">L14&amp;M14&amp;N14&amp;O14&amp;P14</f>
        <v/>
      </c>
      <c r="R14" s="1"/>
      <c r="S14" s="1"/>
      <c r="T14" s="1"/>
    </row>
    <row r="15" spans="1:20" ht="15.75" customHeight="1">
      <c r="A15" s="4" t="s">
        <v>214</v>
      </c>
      <c r="B15" s="4">
        <v>2021</v>
      </c>
      <c r="C15" s="4" t="s">
        <v>336</v>
      </c>
      <c r="D15" s="14" t="s">
        <v>215</v>
      </c>
      <c r="E15" s="4" t="s">
        <v>307</v>
      </c>
      <c r="F15" s="1"/>
      <c r="G15" s="1" t="s">
        <v>337</v>
      </c>
      <c r="I15" s="1" t="s">
        <v>338</v>
      </c>
      <c r="J15" s="1"/>
      <c r="K15" s="1"/>
      <c r="L15" s="1"/>
      <c r="M15" s="1"/>
      <c r="N15" s="1"/>
      <c r="O15" s="1"/>
      <c r="P15" s="1"/>
      <c r="Q15" s="1" t="str">
        <f t="shared" si="0"/>
        <v/>
      </c>
      <c r="R15" s="1"/>
      <c r="S15" s="1"/>
      <c r="T15" s="1"/>
    </row>
    <row r="16" spans="1:20" ht="15.75" customHeight="1">
      <c r="A16" s="4" t="s">
        <v>127</v>
      </c>
      <c r="B16" s="4">
        <v>2016</v>
      </c>
      <c r="C16" s="4" t="s">
        <v>339</v>
      </c>
      <c r="D16" s="14" t="s">
        <v>128</v>
      </c>
      <c r="E16" s="4" t="s">
        <v>307</v>
      </c>
      <c r="F16" s="1"/>
      <c r="G16" s="1"/>
      <c r="I16" s="15" t="s">
        <v>340</v>
      </c>
      <c r="J16" s="1">
        <f>SUMIFS(Included!Q2:Q1000,Included!E2:E1000,"Yes")</f>
        <v>122</v>
      </c>
      <c r="K16" s="1"/>
      <c r="L16" s="1"/>
      <c r="M16" s="1"/>
      <c r="N16" s="1"/>
      <c r="O16" s="1"/>
      <c r="P16" s="1"/>
      <c r="Q16" s="1" t="str">
        <f t="shared" si="0"/>
        <v/>
      </c>
      <c r="R16" s="1"/>
      <c r="S16" s="1"/>
      <c r="T16" s="1"/>
    </row>
    <row r="17" spans="1:20" ht="15.75" customHeight="1">
      <c r="A17" s="4" t="s">
        <v>216</v>
      </c>
      <c r="B17" s="4">
        <v>2014</v>
      </c>
      <c r="C17" s="4" t="s">
        <v>341</v>
      </c>
      <c r="D17" s="14" t="s">
        <v>217</v>
      </c>
      <c r="E17" s="4" t="s">
        <v>307</v>
      </c>
      <c r="F17" s="1"/>
      <c r="G17" s="1"/>
      <c r="I17" s="15" t="s">
        <v>342</v>
      </c>
      <c r="J17" s="1">
        <f>SUMIFS(Included!R2:R1000,Included!E2:E1000,"Yes")</f>
        <v>120</v>
      </c>
      <c r="K17" s="1"/>
      <c r="L17" s="1"/>
      <c r="M17" s="1"/>
      <c r="N17" s="1"/>
      <c r="O17" s="1"/>
      <c r="P17" s="1"/>
      <c r="Q17" s="1" t="str">
        <f t="shared" si="0"/>
        <v/>
      </c>
      <c r="R17" s="1"/>
      <c r="S17" s="1"/>
      <c r="T17" s="1"/>
    </row>
    <row r="18" spans="1:20" ht="15.75" customHeight="1">
      <c r="A18" s="4" t="s">
        <v>219</v>
      </c>
      <c r="B18" s="4">
        <v>2016</v>
      </c>
      <c r="C18" s="4" t="s">
        <v>343</v>
      </c>
      <c r="D18" s="14" t="s">
        <v>220</v>
      </c>
      <c r="E18" s="4" t="s">
        <v>307</v>
      </c>
      <c r="F18" s="1"/>
      <c r="G18" s="1" t="s">
        <v>344</v>
      </c>
      <c r="I18" s="15" t="s">
        <v>345</v>
      </c>
      <c r="J18" s="1">
        <f>SUMIFS(Included!S2:S1000,Included!E2:E1000,"Yes")</f>
        <v>174</v>
      </c>
      <c r="K18" s="1"/>
      <c r="L18" s="1"/>
      <c r="M18" s="1"/>
      <c r="N18" s="1"/>
      <c r="O18" s="1"/>
      <c r="P18" s="1"/>
      <c r="Q18" s="1" t="str">
        <f t="shared" si="0"/>
        <v/>
      </c>
      <c r="R18" s="1"/>
      <c r="S18" s="1"/>
      <c r="T18" s="1"/>
    </row>
    <row r="19" spans="1:20" ht="15.75" customHeight="1">
      <c r="A19" s="4" t="s">
        <v>131</v>
      </c>
      <c r="B19" s="4">
        <v>2021</v>
      </c>
      <c r="C19" s="4" t="s">
        <v>346</v>
      </c>
      <c r="D19" s="14" t="s">
        <v>132</v>
      </c>
      <c r="E19" s="4" t="s">
        <v>307</v>
      </c>
      <c r="F19" s="1"/>
      <c r="G19" s="1"/>
      <c r="I19" s="15" t="s">
        <v>347</v>
      </c>
      <c r="J19" s="1">
        <f>SUMIFS(Included!T2:T1000,Included!E2:E1000,"Yes")</f>
        <v>97</v>
      </c>
      <c r="K19" s="1"/>
      <c r="L19" s="1"/>
      <c r="M19" s="1"/>
      <c r="N19" s="1"/>
      <c r="O19" s="1"/>
      <c r="P19" s="1"/>
      <c r="Q19" s="1" t="str">
        <f t="shared" si="0"/>
        <v/>
      </c>
      <c r="R19" s="1"/>
      <c r="S19" s="1"/>
      <c r="T19" s="1"/>
    </row>
    <row r="20" spans="1:20" ht="15.75" customHeight="1">
      <c r="A20" s="4" t="s">
        <v>135</v>
      </c>
      <c r="B20" s="4">
        <v>2005</v>
      </c>
      <c r="C20" s="4" t="s">
        <v>348</v>
      </c>
      <c r="D20" s="14" t="s">
        <v>136</v>
      </c>
      <c r="E20" s="4" t="s">
        <v>307</v>
      </c>
      <c r="F20" s="1"/>
      <c r="G20" s="1"/>
      <c r="I20" s="15" t="s">
        <v>349</v>
      </c>
      <c r="J20" s="1">
        <f>SUMIFS(Included!U2:U1000,Included!E2:E1000,"Yes")</f>
        <v>9</v>
      </c>
      <c r="K20" s="1"/>
      <c r="L20" s="1"/>
      <c r="M20" s="1"/>
      <c r="N20" s="1"/>
      <c r="O20" s="1"/>
      <c r="P20" s="1"/>
      <c r="Q20" s="1" t="str">
        <f t="shared" si="0"/>
        <v/>
      </c>
      <c r="R20" s="1"/>
      <c r="S20" s="1"/>
      <c r="T20" s="1"/>
    </row>
    <row r="21" spans="1:20" ht="15.75" customHeight="1">
      <c r="A21" s="4" t="s">
        <v>221</v>
      </c>
      <c r="B21" s="4">
        <v>2024</v>
      </c>
      <c r="C21" s="4" t="s">
        <v>350</v>
      </c>
      <c r="D21" s="14" t="s">
        <v>222</v>
      </c>
      <c r="E21" s="4" t="s">
        <v>307</v>
      </c>
      <c r="F21" s="1"/>
      <c r="G21" s="1" t="s">
        <v>351</v>
      </c>
      <c r="I21" s="15" t="s">
        <v>352</v>
      </c>
      <c r="J21" s="1">
        <f>SUMIFS(Included!V2:V1000,Included!E2:E1000,"Yes")</f>
        <v>110</v>
      </c>
      <c r="K21" s="1"/>
      <c r="L21" s="1"/>
      <c r="M21" s="1"/>
      <c r="N21" s="1"/>
      <c r="O21" s="1"/>
      <c r="P21" s="1"/>
      <c r="Q21" s="1" t="str">
        <f t="shared" si="0"/>
        <v/>
      </c>
      <c r="R21" s="1"/>
      <c r="S21" s="1"/>
      <c r="T21" s="1"/>
    </row>
    <row r="22" spans="1:20" ht="15.75" customHeight="1">
      <c r="A22" s="4" t="s">
        <v>221</v>
      </c>
      <c r="B22" s="4">
        <v>2018</v>
      </c>
      <c r="C22" s="4" t="s">
        <v>353</v>
      </c>
      <c r="D22" s="14" t="s">
        <v>223</v>
      </c>
      <c r="E22" s="4" t="s">
        <v>307</v>
      </c>
      <c r="F22" s="1"/>
      <c r="G22" s="1" t="s">
        <v>354</v>
      </c>
      <c r="I22" s="15" t="s">
        <v>355</v>
      </c>
      <c r="J22" s="1">
        <f>SUMIFS(Included!X2:X1000,Included!E2:E1000,"Yes")</f>
        <v>86</v>
      </c>
      <c r="K22" s="1"/>
      <c r="L22" s="1"/>
      <c r="M22" s="1"/>
      <c r="N22" s="1"/>
      <c r="O22" s="1"/>
      <c r="P22" s="1"/>
      <c r="Q22" s="1" t="str">
        <f t="shared" si="0"/>
        <v/>
      </c>
      <c r="R22" s="1"/>
      <c r="S22" s="1"/>
      <c r="T22" s="1"/>
    </row>
    <row r="23" spans="1:20" ht="15.75" customHeight="1">
      <c r="A23" s="4" t="s">
        <v>224</v>
      </c>
      <c r="B23" s="4">
        <v>2018</v>
      </c>
      <c r="C23" s="4" t="s">
        <v>356</v>
      </c>
      <c r="D23" s="14" t="s">
        <v>225</v>
      </c>
      <c r="E23" s="4" t="s">
        <v>307</v>
      </c>
      <c r="F23" s="1"/>
      <c r="G23" s="1" t="s">
        <v>354</v>
      </c>
      <c r="I23" s="15" t="s">
        <v>357</v>
      </c>
      <c r="J23" s="1">
        <f>SUMIFS(Included!Y2:Y1000,Included!E2:E1000,"Yes")</f>
        <v>3</v>
      </c>
      <c r="K23" s="1"/>
      <c r="L23" s="1"/>
      <c r="M23" s="1"/>
      <c r="N23" s="1"/>
      <c r="O23" s="1"/>
      <c r="P23" s="1"/>
      <c r="Q23" s="1" t="str">
        <f t="shared" si="0"/>
        <v/>
      </c>
      <c r="R23" s="1"/>
      <c r="S23" s="1"/>
      <c r="T23" s="1"/>
    </row>
    <row r="24" spans="1:20" ht="15.75" customHeight="1">
      <c r="A24" s="4" t="s">
        <v>226</v>
      </c>
      <c r="B24" s="4">
        <v>2021</v>
      </c>
      <c r="C24" s="4" t="s">
        <v>358</v>
      </c>
      <c r="D24" s="14" t="s">
        <v>227</v>
      </c>
      <c r="E24" s="4" t="s">
        <v>307</v>
      </c>
      <c r="F24" s="1"/>
      <c r="G24" s="1" t="s">
        <v>354</v>
      </c>
      <c r="I24" s="15" t="s">
        <v>359</v>
      </c>
      <c r="J24" s="1">
        <f>SUMIFS(Included!Z2:Z1000,Included!E2:E1000,"Yes")</f>
        <v>8</v>
      </c>
      <c r="K24" s="1"/>
      <c r="L24" s="1"/>
      <c r="M24" s="1"/>
      <c r="N24" s="1"/>
      <c r="O24" s="1"/>
      <c r="P24" s="1"/>
      <c r="Q24" s="1" t="str">
        <f t="shared" si="0"/>
        <v/>
      </c>
      <c r="R24" s="1"/>
      <c r="S24" s="1"/>
      <c r="T24" s="1"/>
    </row>
    <row r="25" spans="1:20" ht="15.75" customHeight="1">
      <c r="A25" s="4" t="s">
        <v>228</v>
      </c>
      <c r="B25" s="4">
        <v>2014</v>
      </c>
      <c r="C25" s="4" t="s">
        <v>360</v>
      </c>
      <c r="D25" s="14" t="s">
        <v>229</v>
      </c>
      <c r="E25" s="4" t="s">
        <v>307</v>
      </c>
      <c r="F25" s="1"/>
      <c r="G25" s="1" t="s">
        <v>354</v>
      </c>
      <c r="I25" s="16" t="s">
        <v>110</v>
      </c>
      <c r="J25" s="4">
        <f>SUMIFS(Included!AA2:AA1000,Included!E2:E1000,"Yes")</f>
        <v>590</v>
      </c>
      <c r="K25" s="1"/>
      <c r="L25" s="1"/>
      <c r="M25" s="1"/>
      <c r="N25" s="1"/>
      <c r="O25" s="1"/>
      <c r="P25" s="1"/>
      <c r="Q25" s="1" t="str">
        <f t="shared" si="0"/>
        <v/>
      </c>
      <c r="R25" s="1"/>
      <c r="S25" s="1"/>
      <c r="T25" s="1"/>
    </row>
    <row r="26" spans="1:20" ht="15.75" customHeight="1">
      <c r="A26" s="4" t="s">
        <v>228</v>
      </c>
      <c r="B26" s="4">
        <v>2017</v>
      </c>
      <c r="C26" s="4" t="s">
        <v>361</v>
      </c>
      <c r="D26" s="14" t="s">
        <v>230</v>
      </c>
      <c r="E26" s="4" t="s">
        <v>307</v>
      </c>
      <c r="F26" s="1"/>
      <c r="G26" s="1" t="s">
        <v>354</v>
      </c>
      <c r="I26" s="1" t="s">
        <v>362</v>
      </c>
      <c r="J26" s="1"/>
    </row>
    <row r="27" spans="1:20" ht="15.75" customHeight="1">
      <c r="A27" s="4" t="s">
        <v>231</v>
      </c>
      <c r="B27" s="4">
        <v>2000</v>
      </c>
      <c r="C27" s="4" t="s">
        <v>363</v>
      </c>
      <c r="D27" s="14" t="s">
        <v>232</v>
      </c>
      <c r="E27" s="4" t="s">
        <v>307</v>
      </c>
      <c r="F27" s="1"/>
      <c r="G27" s="1" t="s">
        <v>354</v>
      </c>
      <c r="I27" s="16" t="s">
        <v>364</v>
      </c>
      <c r="J27" s="4">
        <f>SUMIFS(Included!AB2:AB1000,Included!E2:E1000,"Yes")</f>
        <v>961</v>
      </c>
      <c r="K27" s="1"/>
      <c r="L27" s="1"/>
    </row>
    <row r="28" spans="1:20" ht="15.75" customHeight="1">
      <c r="A28" s="4" t="s">
        <v>184</v>
      </c>
      <c r="B28" s="4">
        <v>2017</v>
      </c>
      <c r="C28" s="4" t="s">
        <v>365</v>
      </c>
      <c r="D28" s="14" t="s">
        <v>185</v>
      </c>
      <c r="E28" s="4" t="s">
        <v>307</v>
      </c>
      <c r="F28" s="1"/>
      <c r="G28" s="1" t="s">
        <v>354</v>
      </c>
      <c r="I28" s="16" t="s">
        <v>366</v>
      </c>
      <c r="J28" s="4">
        <f>SUMIFS(Included!AC2:AC1000,Included!E2:E1000,"Yes")</f>
        <v>815</v>
      </c>
    </row>
    <row r="29" spans="1:20" ht="15.75" customHeight="1">
      <c r="A29" s="4" t="s">
        <v>186</v>
      </c>
      <c r="B29" s="4">
        <v>2011</v>
      </c>
      <c r="C29" s="4" t="s">
        <v>367</v>
      </c>
      <c r="D29" s="14" t="s">
        <v>187</v>
      </c>
      <c r="E29" s="4" t="s">
        <v>307</v>
      </c>
      <c r="F29" s="1"/>
      <c r="G29" s="1" t="s">
        <v>354</v>
      </c>
      <c r="I29" s="16" t="s">
        <v>368</v>
      </c>
      <c r="J29" s="4">
        <f>SUMIFS(Included!AD2:AD1000,Included!E2:E1000,"Yes")</f>
        <v>248</v>
      </c>
    </row>
    <row r="30" spans="1:20" ht="15.75" customHeight="1">
      <c r="A30" s="4" t="s">
        <v>233</v>
      </c>
      <c r="B30" s="4">
        <v>2013</v>
      </c>
      <c r="C30" s="4" t="s">
        <v>369</v>
      </c>
      <c r="D30" s="14" t="s">
        <v>234</v>
      </c>
      <c r="E30" s="4" t="s">
        <v>307</v>
      </c>
      <c r="F30" s="1"/>
      <c r="G30" s="1" t="s">
        <v>370</v>
      </c>
      <c r="I30" s="16" t="s">
        <v>110</v>
      </c>
      <c r="J30" s="4">
        <f>SUMIFS(Included!AE2:AE1000,Included!E2:E1000,"Yes")</f>
        <v>221</v>
      </c>
    </row>
    <row r="31" spans="1:20" ht="15.75" customHeight="1">
      <c r="A31" s="4" t="s">
        <v>235</v>
      </c>
      <c r="B31" s="4">
        <v>1996</v>
      </c>
      <c r="C31" s="4" t="s">
        <v>371</v>
      </c>
      <c r="D31" s="14" t="s">
        <v>236</v>
      </c>
      <c r="E31" s="4" t="s">
        <v>307</v>
      </c>
      <c r="F31" s="1"/>
      <c r="G31" s="1" t="s">
        <v>372</v>
      </c>
    </row>
    <row r="32" spans="1:20" ht="15.75" customHeight="1">
      <c r="A32" s="4" t="s">
        <v>237</v>
      </c>
      <c r="B32" s="4">
        <v>2021</v>
      </c>
      <c r="C32" s="4" t="s">
        <v>373</v>
      </c>
      <c r="D32" s="14" t="s">
        <v>238</v>
      </c>
      <c r="E32" s="4" t="s">
        <v>307</v>
      </c>
      <c r="F32" s="1"/>
      <c r="G32" s="1" t="s">
        <v>374</v>
      </c>
    </row>
    <row r="33" spans="1:7" ht="15.75" customHeight="1">
      <c r="A33" s="4" t="s">
        <v>239</v>
      </c>
      <c r="B33" s="4">
        <v>2021</v>
      </c>
      <c r="C33" s="4" t="s">
        <v>375</v>
      </c>
      <c r="D33" s="14" t="s">
        <v>240</v>
      </c>
      <c r="E33" s="4" t="s">
        <v>307</v>
      </c>
      <c r="F33" s="1"/>
      <c r="G33" s="1" t="s">
        <v>374</v>
      </c>
    </row>
    <row r="34" spans="1:7" ht="15.75" customHeight="1">
      <c r="A34" s="4" t="s">
        <v>241</v>
      </c>
      <c r="B34" s="4">
        <v>2013</v>
      </c>
      <c r="C34" s="4" t="s">
        <v>376</v>
      </c>
      <c r="D34" s="14" t="s">
        <v>242</v>
      </c>
      <c r="E34" s="4" t="s">
        <v>307</v>
      </c>
      <c r="F34" s="1"/>
      <c r="G34" s="1" t="s">
        <v>374</v>
      </c>
    </row>
    <row r="35" spans="1:7" ht="15.75" customHeight="1">
      <c r="A35" s="4" t="s">
        <v>139</v>
      </c>
      <c r="B35" s="4">
        <v>2014</v>
      </c>
      <c r="C35" s="4" t="s">
        <v>377</v>
      </c>
      <c r="D35" s="14" t="s">
        <v>140</v>
      </c>
      <c r="E35" s="4" t="s">
        <v>307</v>
      </c>
      <c r="F35" s="1"/>
      <c r="G35" s="1"/>
    </row>
    <row r="36" spans="1:7" ht="15.75" customHeight="1">
      <c r="A36" s="4" t="s">
        <v>243</v>
      </c>
      <c r="B36" s="4">
        <v>2003</v>
      </c>
      <c r="C36" s="4" t="s">
        <v>378</v>
      </c>
      <c r="D36" s="14" t="s">
        <v>244</v>
      </c>
      <c r="E36" s="4" t="s">
        <v>307</v>
      </c>
      <c r="F36" s="1"/>
      <c r="G36" s="1" t="s">
        <v>379</v>
      </c>
    </row>
    <row r="37" spans="1:7" ht="15.75" customHeight="1">
      <c r="A37" s="4" t="s">
        <v>245</v>
      </c>
      <c r="B37" s="4">
        <v>2022</v>
      </c>
      <c r="C37" s="4" t="s">
        <v>380</v>
      </c>
      <c r="D37" s="14" t="s">
        <v>246</v>
      </c>
      <c r="E37" s="4" t="s">
        <v>307</v>
      </c>
      <c r="F37" s="1"/>
      <c r="G37" s="1" t="s">
        <v>374</v>
      </c>
    </row>
    <row r="38" spans="1:7" ht="15.75" customHeight="1">
      <c r="A38" s="4" t="s">
        <v>247</v>
      </c>
      <c r="B38" s="4">
        <v>2019</v>
      </c>
      <c r="C38" s="4" t="s">
        <v>381</v>
      </c>
      <c r="D38" s="14" t="s">
        <v>248</v>
      </c>
      <c r="E38" s="4" t="s">
        <v>307</v>
      </c>
      <c r="F38" s="1"/>
      <c r="G38" s="1" t="s">
        <v>374</v>
      </c>
    </row>
    <row r="39" spans="1:7" ht="15.75" customHeight="1">
      <c r="A39" s="4" t="s">
        <v>249</v>
      </c>
      <c r="B39" s="4">
        <v>2000</v>
      </c>
      <c r="C39" s="4" t="s">
        <v>382</v>
      </c>
      <c r="D39" s="14" t="s">
        <v>250</v>
      </c>
      <c r="E39" s="4" t="s">
        <v>307</v>
      </c>
      <c r="F39" s="1"/>
      <c r="G39" s="1" t="s">
        <v>374</v>
      </c>
    </row>
    <row r="40" spans="1:7" ht="15.75" customHeight="1">
      <c r="A40" s="4" t="s">
        <v>252</v>
      </c>
      <c r="B40" s="4">
        <v>2001</v>
      </c>
      <c r="C40" s="4" t="s">
        <v>383</v>
      </c>
      <c r="D40" s="14" t="s">
        <v>253</v>
      </c>
      <c r="E40" s="4" t="s">
        <v>307</v>
      </c>
      <c r="F40" s="1"/>
      <c r="G40" s="1" t="s">
        <v>374</v>
      </c>
    </row>
    <row r="41" spans="1:7" ht="15.75" customHeight="1">
      <c r="A41" s="4" t="s">
        <v>254</v>
      </c>
      <c r="B41" s="4">
        <v>1999</v>
      </c>
      <c r="C41" s="4" t="s">
        <v>384</v>
      </c>
      <c r="D41" s="14" t="s">
        <v>255</v>
      </c>
      <c r="E41" s="4" t="s">
        <v>307</v>
      </c>
      <c r="F41" s="1"/>
      <c r="G41" s="1" t="s">
        <v>385</v>
      </c>
    </row>
    <row r="42" spans="1:7" ht="15.75" customHeight="1">
      <c r="A42" s="4" t="s">
        <v>147</v>
      </c>
      <c r="B42" s="4">
        <v>2023</v>
      </c>
      <c r="C42" s="4" t="s">
        <v>386</v>
      </c>
      <c r="D42" s="14" t="s">
        <v>148</v>
      </c>
      <c r="E42" s="4" t="s">
        <v>307</v>
      </c>
      <c r="F42" s="1"/>
      <c r="G42" s="1"/>
    </row>
    <row r="43" spans="1:7" ht="15.75" customHeight="1">
      <c r="A43" s="4" t="s">
        <v>256</v>
      </c>
      <c r="B43" s="4">
        <v>2015</v>
      </c>
      <c r="C43" s="4" t="s">
        <v>387</v>
      </c>
      <c r="D43" s="14" t="s">
        <v>257</v>
      </c>
      <c r="E43" s="4" t="s">
        <v>307</v>
      </c>
      <c r="F43" s="1"/>
      <c r="G43" s="1" t="s">
        <v>388</v>
      </c>
    </row>
    <row r="44" spans="1:7" ht="15.75" customHeight="1">
      <c r="A44" s="4" t="s">
        <v>258</v>
      </c>
      <c r="B44" s="4">
        <v>2020</v>
      </c>
      <c r="C44" s="4" t="s">
        <v>389</v>
      </c>
      <c r="D44" s="14" t="s">
        <v>259</v>
      </c>
      <c r="E44" s="4" t="s">
        <v>307</v>
      </c>
      <c r="F44" s="1"/>
      <c r="G44" s="1" t="s">
        <v>390</v>
      </c>
    </row>
    <row r="45" spans="1:7" ht="15.75" customHeight="1">
      <c r="A45" s="4" t="s">
        <v>260</v>
      </c>
      <c r="B45" s="4">
        <v>2014</v>
      </c>
      <c r="C45" s="4" t="s">
        <v>391</v>
      </c>
      <c r="D45" s="14" t="s">
        <v>261</v>
      </c>
      <c r="E45" s="4" t="s">
        <v>307</v>
      </c>
      <c r="F45" s="1"/>
      <c r="G45" s="1" t="s">
        <v>390</v>
      </c>
    </row>
    <row r="46" spans="1:7" ht="15.75" customHeight="1">
      <c r="A46" s="4" t="s">
        <v>262</v>
      </c>
      <c r="B46" s="4">
        <v>2023</v>
      </c>
      <c r="C46" s="4" t="s">
        <v>392</v>
      </c>
      <c r="D46" s="14" t="s">
        <v>263</v>
      </c>
      <c r="E46" s="4" t="s">
        <v>307</v>
      </c>
      <c r="F46" s="1"/>
      <c r="G46" s="1" t="s">
        <v>393</v>
      </c>
    </row>
    <row r="47" spans="1:7" ht="15.75" customHeight="1">
      <c r="A47" s="4" t="s">
        <v>151</v>
      </c>
      <c r="B47" s="4">
        <v>2006</v>
      </c>
      <c r="C47" s="4" t="s">
        <v>394</v>
      </c>
      <c r="D47" s="14" t="s">
        <v>152</v>
      </c>
      <c r="E47" s="4" t="s">
        <v>307</v>
      </c>
      <c r="F47" s="1"/>
      <c r="G47" s="1"/>
    </row>
    <row r="48" spans="1:7" ht="15.75" customHeight="1">
      <c r="A48" s="4" t="s">
        <v>151</v>
      </c>
      <c r="B48" s="4">
        <v>2018</v>
      </c>
      <c r="C48" s="4" t="s">
        <v>395</v>
      </c>
      <c r="D48" s="14" t="s">
        <v>264</v>
      </c>
      <c r="E48" s="4" t="s">
        <v>307</v>
      </c>
      <c r="F48" s="1"/>
      <c r="G48" s="1" t="s">
        <v>390</v>
      </c>
    </row>
    <row r="49" spans="1:7" ht="15.75" customHeight="1">
      <c r="A49" s="4" t="s">
        <v>155</v>
      </c>
      <c r="B49" s="4">
        <v>2000</v>
      </c>
      <c r="C49" s="4" t="s">
        <v>396</v>
      </c>
      <c r="D49" s="14" t="s">
        <v>156</v>
      </c>
      <c r="E49" s="4" t="s">
        <v>307</v>
      </c>
      <c r="F49" s="1"/>
      <c r="G49" s="1"/>
    </row>
    <row r="50" spans="1:7" ht="15.75" customHeight="1">
      <c r="A50" s="4" t="s">
        <v>189</v>
      </c>
      <c r="B50" s="4">
        <v>2014</v>
      </c>
      <c r="C50" s="4" t="s">
        <v>397</v>
      </c>
      <c r="D50" s="14" t="s">
        <v>190</v>
      </c>
      <c r="E50" s="4" t="s">
        <v>307</v>
      </c>
      <c r="F50" s="1"/>
      <c r="G50" s="1" t="s">
        <v>390</v>
      </c>
    </row>
    <row r="51" spans="1:7" ht="15.75" customHeight="1">
      <c r="A51" s="4" t="s">
        <v>265</v>
      </c>
      <c r="B51" s="4">
        <v>2020</v>
      </c>
      <c r="C51" s="4" t="s">
        <v>398</v>
      </c>
      <c r="D51" s="14" t="s">
        <v>266</v>
      </c>
      <c r="E51" s="4" t="s">
        <v>307</v>
      </c>
      <c r="F51" s="1"/>
      <c r="G51" s="1" t="s">
        <v>390</v>
      </c>
    </row>
    <row r="52" spans="1:7" ht="15.75" customHeight="1">
      <c r="A52" s="4" t="s">
        <v>267</v>
      </c>
      <c r="B52" s="4">
        <v>2021</v>
      </c>
      <c r="C52" s="4" t="s">
        <v>399</v>
      </c>
      <c r="D52" s="14" t="s">
        <v>268</v>
      </c>
      <c r="E52" s="4" t="s">
        <v>307</v>
      </c>
      <c r="F52" s="1"/>
      <c r="G52" s="1" t="s">
        <v>390</v>
      </c>
    </row>
    <row r="53" spans="1:7" ht="15.75" customHeight="1">
      <c r="A53" s="4" t="s">
        <v>269</v>
      </c>
      <c r="B53" s="4">
        <v>2015</v>
      </c>
      <c r="C53" s="4" t="s">
        <v>400</v>
      </c>
      <c r="D53" s="14" t="s">
        <v>270</v>
      </c>
      <c r="E53" s="4" t="s">
        <v>307</v>
      </c>
      <c r="F53" s="1"/>
      <c r="G53" s="1" t="s">
        <v>401</v>
      </c>
    </row>
    <row r="54" spans="1:7" ht="15.75" customHeight="1">
      <c r="A54" s="4" t="s">
        <v>271</v>
      </c>
      <c r="B54" s="4">
        <v>2018</v>
      </c>
      <c r="C54" s="4" t="s">
        <v>402</v>
      </c>
      <c r="D54" s="14" t="s">
        <v>272</v>
      </c>
      <c r="E54" s="4" t="s">
        <v>307</v>
      </c>
      <c r="F54" s="1"/>
      <c r="G54" s="1" t="s">
        <v>374</v>
      </c>
    </row>
    <row r="55" spans="1:7" ht="15.75" customHeight="1">
      <c r="A55" s="4" t="s">
        <v>273</v>
      </c>
      <c r="B55" s="4">
        <v>2009</v>
      </c>
      <c r="C55" s="4" t="s">
        <v>403</v>
      </c>
      <c r="D55" s="14" t="s">
        <v>274</v>
      </c>
      <c r="E55" s="4" t="s">
        <v>307</v>
      </c>
      <c r="F55" s="1"/>
      <c r="G55" s="1" t="s">
        <v>404</v>
      </c>
    </row>
    <row r="56" spans="1:7" ht="15.75" customHeight="1">
      <c r="A56" s="4" t="s">
        <v>191</v>
      </c>
      <c r="B56" s="4">
        <v>2016</v>
      </c>
      <c r="C56" s="4" t="s">
        <v>405</v>
      </c>
      <c r="D56" s="14" t="s">
        <v>192</v>
      </c>
      <c r="E56" s="4" t="s">
        <v>307</v>
      </c>
      <c r="F56" s="1"/>
      <c r="G56" s="1" t="s">
        <v>374</v>
      </c>
    </row>
    <row r="57" spans="1:7" ht="15.75" customHeight="1">
      <c r="A57" s="4" t="s">
        <v>275</v>
      </c>
      <c r="B57" s="4">
        <v>2005</v>
      </c>
      <c r="C57" s="4" t="s">
        <v>406</v>
      </c>
      <c r="D57" s="14" t="s">
        <v>276</v>
      </c>
      <c r="E57" s="4" t="s">
        <v>307</v>
      </c>
      <c r="F57" s="1"/>
      <c r="G57" s="1" t="s">
        <v>374</v>
      </c>
    </row>
    <row r="58" spans="1:7" ht="15.75" customHeight="1">
      <c r="A58" s="4" t="s">
        <v>163</v>
      </c>
      <c r="B58" s="4">
        <v>2023</v>
      </c>
      <c r="C58" s="4" t="s">
        <v>407</v>
      </c>
      <c r="D58" s="14" t="s">
        <v>164</v>
      </c>
      <c r="E58" s="4" t="s">
        <v>307</v>
      </c>
      <c r="F58" s="1"/>
      <c r="G58" s="1"/>
    </row>
    <row r="59" spans="1:7" ht="15.75" customHeight="1">
      <c r="A59" s="4" t="s">
        <v>168</v>
      </c>
      <c r="B59" s="4">
        <v>2002</v>
      </c>
      <c r="C59" s="4" t="s">
        <v>408</v>
      </c>
      <c r="D59" s="14" t="s">
        <v>169</v>
      </c>
      <c r="E59" s="4" t="s">
        <v>307</v>
      </c>
      <c r="F59" s="1"/>
      <c r="G59" s="1"/>
    </row>
    <row r="60" spans="1:7" ht="15.75" customHeight="1">
      <c r="A60" s="4" t="s">
        <v>171</v>
      </c>
      <c r="B60" s="4">
        <v>2005</v>
      </c>
      <c r="C60" s="4" t="s">
        <v>409</v>
      </c>
      <c r="D60" s="14" t="s">
        <v>172</v>
      </c>
      <c r="E60" s="4" t="s">
        <v>307</v>
      </c>
      <c r="F60" s="1"/>
      <c r="G60" s="1"/>
    </row>
    <row r="61" spans="1:7" ht="15.75" customHeight="1">
      <c r="A61" s="4" t="s">
        <v>278</v>
      </c>
      <c r="B61" s="4">
        <v>2010</v>
      </c>
      <c r="C61" s="4" t="s">
        <v>410</v>
      </c>
      <c r="D61" s="14" t="s">
        <v>279</v>
      </c>
      <c r="E61" s="4" t="s">
        <v>307</v>
      </c>
      <c r="F61" s="1"/>
      <c r="G61" s="1" t="s">
        <v>390</v>
      </c>
    </row>
    <row r="62" spans="1:7" ht="15.75" customHeight="1">
      <c r="A62" s="4" t="s">
        <v>280</v>
      </c>
      <c r="B62" s="4">
        <v>1995</v>
      </c>
      <c r="C62" s="4" t="s">
        <v>411</v>
      </c>
      <c r="D62" s="14" t="s">
        <v>281</v>
      </c>
      <c r="E62" s="4" t="s">
        <v>307</v>
      </c>
      <c r="F62" s="1"/>
      <c r="G62" s="1" t="s">
        <v>412</v>
      </c>
    </row>
    <row r="63" spans="1:7" ht="15.75" customHeight="1">
      <c r="A63" s="4" t="s">
        <v>282</v>
      </c>
      <c r="B63" s="4">
        <v>2021</v>
      </c>
      <c r="C63" s="4" t="s">
        <v>413</v>
      </c>
      <c r="D63" s="14" t="s">
        <v>283</v>
      </c>
      <c r="E63" s="4" t="s">
        <v>307</v>
      </c>
      <c r="F63" s="1"/>
      <c r="G63" s="1" t="s">
        <v>414</v>
      </c>
    </row>
    <row r="64" spans="1:7" ht="15.75" customHeight="1">
      <c r="A64" s="4" t="s">
        <v>284</v>
      </c>
      <c r="B64" s="4">
        <v>2018</v>
      </c>
      <c r="C64" s="4" t="s">
        <v>415</v>
      </c>
      <c r="D64" s="14" t="s">
        <v>285</v>
      </c>
      <c r="E64" s="4" t="s">
        <v>307</v>
      </c>
      <c r="F64" s="1"/>
      <c r="G64" s="1" t="s">
        <v>414</v>
      </c>
    </row>
    <row r="65" spans="1:7" ht="15.75" customHeight="1">
      <c r="A65" s="4" t="s">
        <v>286</v>
      </c>
      <c r="B65" s="4">
        <v>2001</v>
      </c>
      <c r="C65" s="4" t="s">
        <v>416</v>
      </c>
      <c r="D65" s="14" t="s">
        <v>287</v>
      </c>
      <c r="E65" s="4" t="s">
        <v>307</v>
      </c>
      <c r="F65" s="1"/>
      <c r="G65" s="1" t="s">
        <v>417</v>
      </c>
    </row>
    <row r="66" spans="1:7" ht="15.75" customHeight="1">
      <c r="A66" s="4" t="s">
        <v>288</v>
      </c>
      <c r="B66" s="4">
        <v>2020</v>
      </c>
      <c r="C66" s="4" t="s">
        <v>418</v>
      </c>
      <c r="D66" s="14" t="s">
        <v>289</v>
      </c>
      <c r="E66" s="9" t="s">
        <v>307</v>
      </c>
      <c r="F66" s="1"/>
      <c r="G66" s="1" t="s">
        <v>374</v>
      </c>
    </row>
    <row r="67" spans="1:7" ht="15.75" customHeight="1">
      <c r="A67" s="4" t="s">
        <v>193</v>
      </c>
      <c r="B67" s="4">
        <v>2010</v>
      </c>
      <c r="C67" s="4" t="s">
        <v>419</v>
      </c>
      <c r="D67" s="14" t="s">
        <v>194</v>
      </c>
      <c r="E67" s="4" t="s">
        <v>307</v>
      </c>
      <c r="F67" s="1"/>
      <c r="G67" s="1" t="s">
        <v>374</v>
      </c>
    </row>
    <row r="68" spans="1:7" ht="15.75" customHeight="1">
      <c r="A68" s="4" t="s">
        <v>290</v>
      </c>
      <c r="B68" s="4">
        <v>2015</v>
      </c>
      <c r="C68" s="4" t="s">
        <v>420</v>
      </c>
      <c r="D68" s="14" t="s">
        <v>291</v>
      </c>
      <c r="E68" s="4" t="s">
        <v>307</v>
      </c>
      <c r="F68" s="1"/>
      <c r="G68" s="1" t="s">
        <v>390</v>
      </c>
    </row>
    <row r="69" spans="1:7" ht="15.75" customHeight="1">
      <c r="A69" s="4" t="s">
        <v>173</v>
      </c>
      <c r="B69" s="4">
        <v>2015</v>
      </c>
      <c r="C69" s="4" t="s">
        <v>421</v>
      </c>
      <c r="D69" s="14" t="s">
        <v>174</v>
      </c>
      <c r="E69" s="4" t="s">
        <v>307</v>
      </c>
      <c r="F69" s="1"/>
      <c r="G69" s="1"/>
    </row>
    <row r="70" spans="1:7" ht="15.75" customHeight="1">
      <c r="A70" s="4" t="s">
        <v>292</v>
      </c>
      <c r="B70" s="4">
        <v>2023</v>
      </c>
      <c r="C70" s="4" t="s">
        <v>422</v>
      </c>
      <c r="D70" s="14" t="s">
        <v>293</v>
      </c>
      <c r="E70" s="4" t="s">
        <v>307</v>
      </c>
      <c r="F70" s="1"/>
      <c r="G70" s="1" t="s">
        <v>390</v>
      </c>
    </row>
    <row r="71" spans="1:7" ht="15.75" customHeight="1">
      <c r="A71" s="4" t="s">
        <v>294</v>
      </c>
      <c r="B71" s="4">
        <v>2004</v>
      </c>
      <c r="C71" s="4" t="s">
        <v>423</v>
      </c>
      <c r="D71" s="14" t="s">
        <v>295</v>
      </c>
      <c r="E71" s="4" t="s">
        <v>307</v>
      </c>
      <c r="F71" s="1"/>
      <c r="G71" s="1" t="s">
        <v>424</v>
      </c>
    </row>
    <row r="72" spans="1:7" ht="15.75" customHeight="1">
      <c r="A72" s="4" t="s">
        <v>296</v>
      </c>
      <c r="B72" s="4">
        <v>2007</v>
      </c>
      <c r="C72" s="4" t="s">
        <v>425</v>
      </c>
      <c r="D72" s="14" t="s">
        <v>297</v>
      </c>
      <c r="E72" s="4" t="s">
        <v>307</v>
      </c>
      <c r="F72" s="1"/>
      <c r="G72" s="1" t="s">
        <v>390</v>
      </c>
    </row>
    <row r="73" spans="1:7" ht="15.75" customHeight="1">
      <c r="A73" s="4" t="s">
        <v>175</v>
      </c>
      <c r="B73" s="4">
        <v>1999</v>
      </c>
      <c r="C73" s="4" t="s">
        <v>426</v>
      </c>
      <c r="D73" s="14" t="s">
        <v>298</v>
      </c>
      <c r="E73" s="4" t="s">
        <v>307</v>
      </c>
      <c r="F73" s="1"/>
      <c r="G73" s="1" t="s">
        <v>427</v>
      </c>
    </row>
    <row r="74" spans="1:7" ht="15.75" customHeight="1">
      <c r="A74" s="4" t="s">
        <v>175</v>
      </c>
      <c r="B74" s="4">
        <v>1996</v>
      </c>
      <c r="C74" s="4" t="s">
        <v>428</v>
      </c>
      <c r="D74" s="14" t="s">
        <v>176</v>
      </c>
      <c r="E74" s="4" t="s">
        <v>307</v>
      </c>
      <c r="F74" s="1"/>
      <c r="G74" s="1" t="s">
        <v>429</v>
      </c>
    </row>
    <row r="75" spans="1:7" ht="15.75" customHeight="1">
      <c r="A75" s="4" t="s">
        <v>177</v>
      </c>
      <c r="B75" s="4">
        <v>2006</v>
      </c>
      <c r="C75" s="4" t="s">
        <v>430</v>
      </c>
      <c r="D75" s="14" t="s">
        <v>178</v>
      </c>
      <c r="E75" s="4" t="s">
        <v>307</v>
      </c>
      <c r="F75" s="1"/>
      <c r="G75" s="1" t="s">
        <v>431</v>
      </c>
    </row>
    <row r="76" spans="1:7" ht="15.75" customHeight="1">
      <c r="A76" s="4" t="s">
        <v>300</v>
      </c>
      <c r="B76" s="4">
        <v>2018</v>
      </c>
      <c r="C76" s="4" t="s">
        <v>432</v>
      </c>
      <c r="D76" s="14" t="s">
        <v>301</v>
      </c>
      <c r="E76" s="4" t="s">
        <v>307</v>
      </c>
      <c r="F76" s="1"/>
      <c r="G76" s="1" t="s">
        <v>433</v>
      </c>
    </row>
    <row r="77" spans="1:7" ht="15.75" customHeight="1">
      <c r="A77" s="4" t="s">
        <v>195</v>
      </c>
      <c r="B77" s="4">
        <v>2002</v>
      </c>
      <c r="C77" s="4" t="s">
        <v>434</v>
      </c>
      <c r="D77" s="14" t="s">
        <v>196</v>
      </c>
      <c r="E77" s="4" t="s">
        <v>307</v>
      </c>
      <c r="F77" s="1"/>
      <c r="G77" s="1" t="s">
        <v>435</v>
      </c>
    </row>
    <row r="78" spans="1:7" ht="15.75" customHeight="1">
      <c r="A78" s="4" t="s">
        <v>197</v>
      </c>
      <c r="B78" s="4">
        <v>2005</v>
      </c>
      <c r="C78" s="4" t="s">
        <v>436</v>
      </c>
      <c r="D78" s="14" t="s">
        <v>198</v>
      </c>
      <c r="E78" s="4" t="s">
        <v>307</v>
      </c>
      <c r="F78" s="1"/>
      <c r="G78" s="1" t="s">
        <v>390</v>
      </c>
    </row>
    <row r="79" spans="1:7" ht="15.75" customHeight="1">
      <c r="A79" s="4" t="s">
        <v>143</v>
      </c>
      <c r="B79" s="4">
        <v>2024</v>
      </c>
      <c r="C79" s="4" t="s">
        <v>437</v>
      </c>
      <c r="D79" s="4" t="s">
        <v>144</v>
      </c>
      <c r="E79" s="4" t="s">
        <v>307</v>
      </c>
      <c r="F79" s="1"/>
      <c r="G79" s="4" t="s">
        <v>438</v>
      </c>
    </row>
    <row r="80" spans="1:7" ht="15.75" customHeight="1">
      <c r="A80" s="4" t="s">
        <v>158</v>
      </c>
      <c r="B80" s="4">
        <v>2024</v>
      </c>
      <c r="C80" s="4" t="s">
        <v>439</v>
      </c>
      <c r="D80" s="4" t="s">
        <v>159</v>
      </c>
      <c r="E80" s="4" t="s">
        <v>307</v>
      </c>
      <c r="F80" s="1"/>
      <c r="G80" s="4" t="s">
        <v>438</v>
      </c>
    </row>
    <row r="81" spans="1:7" ht="15.75" customHeight="1">
      <c r="A81" s="4" t="s">
        <v>440</v>
      </c>
      <c r="B81" s="4">
        <v>2019</v>
      </c>
      <c r="C81" s="4" t="s">
        <v>441</v>
      </c>
      <c r="D81" s="14" t="s">
        <v>442</v>
      </c>
      <c r="E81" s="4" t="s">
        <v>443</v>
      </c>
      <c r="F81" s="1" t="s">
        <v>444</v>
      </c>
      <c r="G81" s="1"/>
    </row>
    <row r="82" spans="1:7" ht="15.75" customHeight="1">
      <c r="A82" s="4" t="s">
        <v>445</v>
      </c>
      <c r="B82" s="4">
        <v>2017</v>
      </c>
      <c r="C82" s="4" t="s">
        <v>446</v>
      </c>
      <c r="D82" s="14" t="s">
        <v>447</v>
      </c>
      <c r="E82" s="4" t="s">
        <v>443</v>
      </c>
      <c r="F82" s="1" t="s">
        <v>444</v>
      </c>
      <c r="G82" s="1" t="s">
        <v>448</v>
      </c>
    </row>
    <row r="83" spans="1:7" ht="15.75" customHeight="1">
      <c r="A83" s="4" t="s">
        <v>449</v>
      </c>
      <c r="B83" s="4">
        <v>2019</v>
      </c>
      <c r="C83" s="4" t="s">
        <v>450</v>
      </c>
      <c r="D83" s="14" t="s">
        <v>451</v>
      </c>
      <c r="E83" s="4" t="s">
        <v>443</v>
      </c>
      <c r="F83" s="1" t="s">
        <v>444</v>
      </c>
      <c r="G83" s="1" t="s">
        <v>452</v>
      </c>
    </row>
    <row r="84" spans="1:7" ht="15.75" customHeight="1">
      <c r="A84" s="4" t="s">
        <v>453</v>
      </c>
      <c r="B84" s="4">
        <v>2001</v>
      </c>
      <c r="C84" s="4" t="s">
        <v>454</v>
      </c>
      <c r="D84" s="14" t="s">
        <v>455</v>
      </c>
      <c r="E84" s="4" t="s">
        <v>443</v>
      </c>
      <c r="F84" s="1" t="s">
        <v>444</v>
      </c>
      <c r="G84" s="1" t="s">
        <v>456</v>
      </c>
    </row>
    <row r="85" spans="1:7" ht="15.75" customHeight="1">
      <c r="A85" s="4" t="s">
        <v>457</v>
      </c>
      <c r="B85" s="4">
        <v>2015</v>
      </c>
      <c r="C85" s="4" t="s">
        <v>458</v>
      </c>
      <c r="D85" s="14" t="s">
        <v>459</v>
      </c>
      <c r="E85" s="4" t="s">
        <v>443</v>
      </c>
      <c r="F85" s="1" t="s">
        <v>444</v>
      </c>
      <c r="G85" s="1" t="s">
        <v>460</v>
      </c>
    </row>
    <row r="86" spans="1:7" ht="15.75" customHeight="1">
      <c r="A86" s="4" t="s">
        <v>461</v>
      </c>
      <c r="B86" s="4">
        <v>1995</v>
      </c>
      <c r="C86" s="4" t="s">
        <v>462</v>
      </c>
      <c r="D86" s="14" t="s">
        <v>463</v>
      </c>
      <c r="E86" s="4" t="s">
        <v>443</v>
      </c>
      <c r="F86" s="1" t="s">
        <v>464</v>
      </c>
      <c r="G86" s="1"/>
    </row>
    <row r="87" spans="1:7" ht="15.75" customHeight="1">
      <c r="A87" s="4" t="s">
        <v>465</v>
      </c>
      <c r="B87" s="4">
        <v>1991</v>
      </c>
      <c r="C87" s="4" t="s">
        <v>466</v>
      </c>
      <c r="D87" s="14" t="s">
        <v>467</v>
      </c>
      <c r="E87" s="4" t="s">
        <v>443</v>
      </c>
      <c r="F87" s="1" t="s">
        <v>444</v>
      </c>
      <c r="G87" s="1"/>
    </row>
    <row r="88" spans="1:7" ht="15.75" customHeight="1">
      <c r="A88" s="4" t="s">
        <v>468</v>
      </c>
      <c r="B88" s="4">
        <v>2018</v>
      </c>
      <c r="C88" s="4" t="s">
        <v>469</v>
      </c>
      <c r="D88" s="14" t="s">
        <v>470</v>
      </c>
      <c r="E88" s="4" t="s">
        <v>443</v>
      </c>
      <c r="F88" s="1" t="s">
        <v>444</v>
      </c>
      <c r="G88" s="1" t="s">
        <v>471</v>
      </c>
    </row>
    <row r="89" spans="1:7" ht="15.75" customHeight="1">
      <c r="A89" s="4" t="s">
        <v>472</v>
      </c>
      <c r="B89" s="4">
        <v>2016</v>
      </c>
      <c r="C89" s="4" t="s">
        <v>473</v>
      </c>
      <c r="D89" s="14" t="s">
        <v>474</v>
      </c>
      <c r="E89" s="4" t="s">
        <v>443</v>
      </c>
      <c r="F89" s="1" t="s">
        <v>444</v>
      </c>
      <c r="G89" s="1" t="s">
        <v>471</v>
      </c>
    </row>
    <row r="90" spans="1:7" ht="15.75" customHeight="1">
      <c r="A90" s="4" t="s">
        <v>475</v>
      </c>
      <c r="B90" s="4">
        <v>2014</v>
      </c>
      <c r="C90" s="4" t="s">
        <v>476</v>
      </c>
      <c r="D90" s="14" t="s">
        <v>477</v>
      </c>
      <c r="E90" s="4" t="s">
        <v>443</v>
      </c>
      <c r="F90" s="1" t="s">
        <v>444</v>
      </c>
      <c r="G90" s="1" t="s">
        <v>478</v>
      </c>
    </row>
    <row r="91" spans="1:7" ht="15.75" customHeight="1">
      <c r="A91" s="4" t="s">
        <v>479</v>
      </c>
      <c r="B91" s="4">
        <v>2008</v>
      </c>
      <c r="C91" s="4" t="s">
        <v>480</v>
      </c>
      <c r="D91" s="14" t="s">
        <v>481</v>
      </c>
      <c r="E91" s="4" t="s">
        <v>443</v>
      </c>
      <c r="F91" s="1" t="s">
        <v>444</v>
      </c>
      <c r="G91" s="1"/>
    </row>
    <row r="92" spans="1:7" ht="15.75" customHeight="1">
      <c r="A92" s="4" t="s">
        <v>479</v>
      </c>
      <c r="B92" s="4">
        <v>2005</v>
      </c>
      <c r="C92" s="4" t="s">
        <v>482</v>
      </c>
      <c r="D92" s="14" t="s">
        <v>483</v>
      </c>
      <c r="E92" s="4" t="s">
        <v>443</v>
      </c>
      <c r="F92" s="1" t="s">
        <v>444</v>
      </c>
      <c r="G92" s="1"/>
    </row>
    <row r="93" spans="1:7" ht="15.75" customHeight="1">
      <c r="A93" s="4" t="s">
        <v>484</v>
      </c>
      <c r="B93" s="4">
        <v>2021</v>
      </c>
      <c r="C93" s="4" t="s">
        <v>485</v>
      </c>
      <c r="D93" s="14" t="s">
        <v>486</v>
      </c>
      <c r="E93" s="4" t="s">
        <v>443</v>
      </c>
      <c r="F93" s="1" t="s">
        <v>444</v>
      </c>
      <c r="G93" s="1" t="s">
        <v>487</v>
      </c>
    </row>
    <row r="94" spans="1:7" ht="15.75" customHeight="1">
      <c r="A94" s="4" t="s">
        <v>488</v>
      </c>
      <c r="B94" s="4">
        <v>2022</v>
      </c>
      <c r="C94" s="4" t="s">
        <v>489</v>
      </c>
      <c r="D94" s="14" t="s">
        <v>490</v>
      </c>
      <c r="E94" s="4" t="s">
        <v>443</v>
      </c>
      <c r="F94" s="1" t="s">
        <v>444</v>
      </c>
      <c r="G94" s="1" t="s">
        <v>491</v>
      </c>
    </row>
    <row r="95" spans="1:7" ht="15.75" customHeight="1">
      <c r="A95" s="4" t="s">
        <v>492</v>
      </c>
      <c r="B95" s="4">
        <v>2021</v>
      </c>
      <c r="C95" s="4" t="s">
        <v>493</v>
      </c>
      <c r="D95" s="14" t="s">
        <v>494</v>
      </c>
      <c r="E95" s="4" t="s">
        <v>443</v>
      </c>
      <c r="F95" s="1" t="s">
        <v>444</v>
      </c>
      <c r="G95" s="1"/>
    </row>
    <row r="96" spans="1:7" ht="15.75" customHeight="1">
      <c r="A96" s="4" t="s">
        <v>495</v>
      </c>
      <c r="B96" s="4">
        <v>2013</v>
      </c>
      <c r="C96" s="4" t="s">
        <v>496</v>
      </c>
      <c r="D96" s="14" t="s">
        <v>497</v>
      </c>
      <c r="E96" s="4" t="s">
        <v>443</v>
      </c>
      <c r="F96" s="1" t="s">
        <v>444</v>
      </c>
      <c r="G96" s="1"/>
    </row>
    <row r="97" spans="1:7" ht="15.75" customHeight="1">
      <c r="A97" s="4" t="s">
        <v>498</v>
      </c>
      <c r="B97" s="4">
        <v>2015</v>
      </c>
      <c r="C97" s="4" t="s">
        <v>499</v>
      </c>
      <c r="D97" s="14" t="s">
        <v>500</v>
      </c>
      <c r="E97" s="4" t="s">
        <v>443</v>
      </c>
      <c r="F97" s="1" t="s">
        <v>444</v>
      </c>
      <c r="G97" s="1"/>
    </row>
    <row r="98" spans="1:7" ht="15.75" customHeight="1">
      <c r="A98" s="4" t="s">
        <v>501</v>
      </c>
      <c r="B98" s="4">
        <v>2003</v>
      </c>
      <c r="C98" s="4" t="s">
        <v>502</v>
      </c>
      <c r="D98" s="14" t="s">
        <v>503</v>
      </c>
      <c r="E98" s="4" t="s">
        <v>443</v>
      </c>
      <c r="F98" s="1" t="s">
        <v>444</v>
      </c>
      <c r="G98" s="1" t="s">
        <v>504</v>
      </c>
    </row>
    <row r="99" spans="1:7" ht="15.75" customHeight="1">
      <c r="A99" s="4" t="s">
        <v>505</v>
      </c>
      <c r="B99" s="4">
        <v>2011</v>
      </c>
      <c r="C99" s="4" t="s">
        <v>506</v>
      </c>
      <c r="D99" s="14" t="s">
        <v>507</v>
      </c>
      <c r="E99" s="4" t="s">
        <v>443</v>
      </c>
      <c r="F99" s="1" t="s">
        <v>508</v>
      </c>
      <c r="G99" s="1"/>
    </row>
    <row r="100" spans="1:7" ht="15.75" customHeight="1">
      <c r="A100" s="4" t="s">
        <v>509</v>
      </c>
      <c r="B100" s="4">
        <v>2000</v>
      </c>
      <c r="C100" s="4" t="s">
        <v>510</v>
      </c>
      <c r="D100" s="14" t="s">
        <v>511</v>
      </c>
      <c r="E100" s="4" t="s">
        <v>443</v>
      </c>
      <c r="F100" s="1" t="s">
        <v>444</v>
      </c>
      <c r="G100" s="1" t="s">
        <v>512</v>
      </c>
    </row>
    <row r="101" spans="1:7" ht="15.75" customHeight="1">
      <c r="A101" s="4" t="s">
        <v>513</v>
      </c>
      <c r="B101" s="4">
        <v>1994</v>
      </c>
      <c r="C101" s="4" t="s">
        <v>514</v>
      </c>
      <c r="D101" s="14" t="s">
        <v>515</v>
      </c>
      <c r="E101" s="4" t="s">
        <v>443</v>
      </c>
      <c r="F101" s="1" t="s">
        <v>444</v>
      </c>
      <c r="G101" s="1" t="s">
        <v>516</v>
      </c>
    </row>
    <row r="102" spans="1:7" ht="15.75" customHeight="1">
      <c r="A102" s="4" t="s">
        <v>517</v>
      </c>
      <c r="B102" s="4">
        <v>2021</v>
      </c>
      <c r="C102" s="4" t="s">
        <v>518</v>
      </c>
      <c r="D102" s="14" t="s">
        <v>519</v>
      </c>
      <c r="E102" s="4" t="s">
        <v>443</v>
      </c>
      <c r="F102" s="1" t="s">
        <v>444</v>
      </c>
      <c r="G102" s="1" t="s">
        <v>520</v>
      </c>
    </row>
    <row r="103" spans="1:7" ht="15.75" customHeight="1">
      <c r="A103" s="4" t="s">
        <v>108</v>
      </c>
      <c r="B103" s="4">
        <v>2004</v>
      </c>
      <c r="C103" s="4" t="s">
        <v>521</v>
      </c>
      <c r="D103" s="14" t="s">
        <v>522</v>
      </c>
      <c r="E103" s="4" t="s">
        <v>443</v>
      </c>
      <c r="F103" s="1" t="s">
        <v>444</v>
      </c>
      <c r="G103" s="1" t="s">
        <v>523</v>
      </c>
    </row>
    <row r="104" spans="1:7" ht="15.75" customHeight="1">
      <c r="A104" s="4" t="s">
        <v>524</v>
      </c>
      <c r="B104" s="4">
        <v>2012</v>
      </c>
      <c r="C104" s="4" t="s">
        <v>525</v>
      </c>
      <c r="D104" s="14" t="s">
        <v>526</v>
      </c>
      <c r="E104" s="4" t="s">
        <v>443</v>
      </c>
      <c r="F104" s="1" t="s">
        <v>444</v>
      </c>
      <c r="G104" s="1" t="s">
        <v>527</v>
      </c>
    </row>
    <row r="105" spans="1:7" ht="15.75" customHeight="1">
      <c r="A105" s="4" t="s">
        <v>528</v>
      </c>
      <c r="B105" s="4">
        <v>2010</v>
      </c>
      <c r="C105" s="4" t="s">
        <v>529</v>
      </c>
      <c r="D105" s="14" t="s">
        <v>530</v>
      </c>
      <c r="E105" s="4" t="s">
        <v>443</v>
      </c>
      <c r="F105" s="1" t="s">
        <v>444</v>
      </c>
      <c r="G105" s="1" t="s">
        <v>531</v>
      </c>
    </row>
    <row r="106" spans="1:7" ht="15.75" customHeight="1">
      <c r="A106" s="4" t="s">
        <v>528</v>
      </c>
      <c r="B106" s="4">
        <v>2010</v>
      </c>
      <c r="C106" s="4" t="s">
        <v>532</v>
      </c>
      <c r="D106" s="14" t="s">
        <v>533</v>
      </c>
      <c r="E106" s="4" t="s">
        <v>443</v>
      </c>
      <c r="F106" s="1" t="s">
        <v>534</v>
      </c>
      <c r="G106" s="1" t="s">
        <v>535</v>
      </c>
    </row>
    <row r="107" spans="1:7" ht="15.75" customHeight="1">
      <c r="A107" s="4" t="s">
        <v>536</v>
      </c>
      <c r="B107" s="4">
        <v>2017</v>
      </c>
      <c r="C107" s="4" t="s">
        <v>537</v>
      </c>
      <c r="D107" s="14" t="s">
        <v>538</v>
      </c>
      <c r="E107" s="4" t="s">
        <v>443</v>
      </c>
      <c r="F107" s="1" t="s">
        <v>444</v>
      </c>
      <c r="G107" s="1"/>
    </row>
    <row r="108" spans="1:7" ht="15.75" customHeight="1">
      <c r="A108" s="4" t="s">
        <v>539</v>
      </c>
      <c r="B108" s="4">
        <v>1996</v>
      </c>
      <c r="C108" s="4" t="s">
        <v>540</v>
      </c>
      <c r="D108" s="14" t="s">
        <v>541</v>
      </c>
      <c r="E108" s="4" t="s">
        <v>443</v>
      </c>
      <c r="F108" s="1" t="s">
        <v>444</v>
      </c>
      <c r="G108" s="1"/>
    </row>
    <row r="109" spans="1:7" ht="15.75" customHeight="1">
      <c r="A109" s="4" t="s">
        <v>542</v>
      </c>
      <c r="B109" s="4">
        <v>2021</v>
      </c>
      <c r="C109" s="4" t="s">
        <v>543</v>
      </c>
      <c r="D109" s="14" t="s">
        <v>544</v>
      </c>
      <c r="E109" s="4" t="s">
        <v>443</v>
      </c>
      <c r="F109" s="1" t="s">
        <v>444</v>
      </c>
      <c r="G109" s="1"/>
    </row>
    <row r="110" spans="1:7" ht="15.75" customHeight="1">
      <c r="A110" s="4" t="s">
        <v>545</v>
      </c>
      <c r="B110" s="4">
        <v>2008</v>
      </c>
      <c r="C110" s="4" t="s">
        <v>546</v>
      </c>
      <c r="D110" s="14" t="s">
        <v>547</v>
      </c>
      <c r="E110" s="4" t="s">
        <v>443</v>
      </c>
      <c r="F110" s="1" t="s">
        <v>444</v>
      </c>
      <c r="G110" s="1"/>
    </row>
    <row r="111" spans="1:7" ht="15.75" customHeight="1">
      <c r="A111" s="4" t="s">
        <v>548</v>
      </c>
      <c r="B111" s="4">
        <v>2017</v>
      </c>
      <c r="C111" s="4" t="s">
        <v>549</v>
      </c>
      <c r="D111" s="14" t="s">
        <v>550</v>
      </c>
      <c r="E111" s="4" t="s">
        <v>443</v>
      </c>
      <c r="F111" s="1" t="s">
        <v>444</v>
      </c>
      <c r="G111" s="1"/>
    </row>
    <row r="112" spans="1:7" ht="15.75" customHeight="1">
      <c r="A112" s="4" t="s">
        <v>551</v>
      </c>
      <c r="B112" s="4">
        <v>2016</v>
      </c>
      <c r="C112" s="4" t="s">
        <v>552</v>
      </c>
      <c r="D112" s="14" t="s">
        <v>553</v>
      </c>
      <c r="E112" s="4" t="s">
        <v>443</v>
      </c>
      <c r="F112" s="1" t="s">
        <v>444</v>
      </c>
      <c r="G112" s="1"/>
    </row>
    <row r="113" spans="1:7" ht="15.75" customHeight="1">
      <c r="A113" s="4" t="s">
        <v>554</v>
      </c>
      <c r="B113" s="4">
        <v>2013</v>
      </c>
      <c r="C113" s="4" t="s">
        <v>555</v>
      </c>
      <c r="D113" s="14" t="s">
        <v>556</v>
      </c>
      <c r="E113" s="4" t="s">
        <v>443</v>
      </c>
      <c r="F113" s="1" t="s">
        <v>444</v>
      </c>
      <c r="G113" s="1" t="s">
        <v>557</v>
      </c>
    </row>
    <row r="114" spans="1:7" ht="15.75" customHeight="1">
      <c r="A114" s="4" t="s">
        <v>554</v>
      </c>
      <c r="B114" s="4">
        <v>2013</v>
      </c>
      <c r="C114" s="4" t="s">
        <v>558</v>
      </c>
      <c r="D114" s="14" t="s">
        <v>559</v>
      </c>
      <c r="E114" s="4" t="s">
        <v>443</v>
      </c>
      <c r="F114" s="1" t="s">
        <v>444</v>
      </c>
      <c r="G114" s="1" t="s">
        <v>560</v>
      </c>
    </row>
    <row r="115" spans="1:7" ht="15.75" customHeight="1">
      <c r="A115" s="4" t="s">
        <v>554</v>
      </c>
      <c r="B115" s="4">
        <v>2008</v>
      </c>
      <c r="C115" s="4" t="s">
        <v>561</v>
      </c>
      <c r="D115" s="14" t="s">
        <v>562</v>
      </c>
      <c r="E115" s="4" t="s">
        <v>443</v>
      </c>
      <c r="F115" s="1" t="s">
        <v>444</v>
      </c>
      <c r="G115" s="1" t="s">
        <v>563</v>
      </c>
    </row>
    <row r="116" spans="1:7" ht="15.75" customHeight="1">
      <c r="A116" s="4" t="s">
        <v>564</v>
      </c>
      <c r="B116" s="4">
        <v>2014</v>
      </c>
      <c r="C116" s="4" t="s">
        <v>565</v>
      </c>
      <c r="D116" s="14" t="s">
        <v>566</v>
      </c>
      <c r="E116" s="4" t="s">
        <v>443</v>
      </c>
      <c r="F116" s="1" t="s">
        <v>444</v>
      </c>
      <c r="G116" s="1"/>
    </row>
    <row r="117" spans="1:7" ht="15.75" customHeight="1">
      <c r="A117" s="4" t="s">
        <v>567</v>
      </c>
      <c r="B117" s="4">
        <v>2008</v>
      </c>
      <c r="C117" s="4" t="s">
        <v>568</v>
      </c>
      <c r="D117" s="14" t="s">
        <v>569</v>
      </c>
      <c r="E117" s="4" t="s">
        <v>443</v>
      </c>
      <c r="F117" s="1" t="s">
        <v>444</v>
      </c>
      <c r="G117" s="1"/>
    </row>
    <row r="118" spans="1:7" ht="15.75" customHeight="1">
      <c r="A118" s="4" t="s">
        <v>567</v>
      </c>
      <c r="B118" s="4">
        <v>2016</v>
      </c>
      <c r="C118" s="4" t="s">
        <v>570</v>
      </c>
      <c r="D118" s="14" t="s">
        <v>571</v>
      </c>
      <c r="E118" s="4" t="s">
        <v>443</v>
      </c>
      <c r="F118" s="1" t="s">
        <v>444</v>
      </c>
      <c r="G118" s="1"/>
    </row>
    <row r="119" spans="1:7" ht="15.75" customHeight="1">
      <c r="A119" s="4" t="s">
        <v>572</v>
      </c>
      <c r="B119" s="4">
        <v>2016</v>
      </c>
      <c r="C119" s="4" t="s">
        <v>573</v>
      </c>
      <c r="D119" s="14" t="s">
        <v>574</v>
      </c>
      <c r="E119" s="4" t="s">
        <v>443</v>
      </c>
      <c r="F119" s="1" t="s">
        <v>444</v>
      </c>
      <c r="G119" s="1"/>
    </row>
    <row r="120" spans="1:7" ht="15.75" customHeight="1">
      <c r="A120" s="4" t="s">
        <v>575</v>
      </c>
      <c r="B120" s="4">
        <v>2019</v>
      </c>
      <c r="C120" s="4" t="s">
        <v>576</v>
      </c>
      <c r="D120" s="14" t="s">
        <v>577</v>
      </c>
      <c r="E120" s="4" t="s">
        <v>443</v>
      </c>
      <c r="F120" s="1" t="s">
        <v>534</v>
      </c>
      <c r="G120" s="1"/>
    </row>
    <row r="121" spans="1:7" ht="15.75" customHeight="1">
      <c r="A121" s="4" t="s">
        <v>578</v>
      </c>
      <c r="B121" s="4">
        <v>2001</v>
      </c>
      <c r="C121" s="4" t="s">
        <v>579</v>
      </c>
      <c r="D121" s="14" t="s">
        <v>580</v>
      </c>
      <c r="E121" s="4" t="s">
        <v>443</v>
      </c>
      <c r="F121" s="1" t="s">
        <v>444</v>
      </c>
      <c r="G121" s="1"/>
    </row>
    <row r="122" spans="1:7" ht="15.75" customHeight="1">
      <c r="A122" s="4" t="s">
        <v>581</v>
      </c>
      <c r="B122" s="4">
        <v>2020</v>
      </c>
      <c r="C122" s="4" t="s">
        <v>582</v>
      </c>
      <c r="D122" s="14" t="s">
        <v>583</v>
      </c>
      <c r="E122" s="4" t="s">
        <v>443</v>
      </c>
      <c r="F122" s="1" t="s">
        <v>444</v>
      </c>
      <c r="G122" s="1"/>
    </row>
    <row r="123" spans="1:7" ht="15.75" customHeight="1">
      <c r="A123" s="4" t="s">
        <v>584</v>
      </c>
      <c r="B123" s="4">
        <v>2006</v>
      </c>
      <c r="C123" s="4" t="s">
        <v>585</v>
      </c>
      <c r="D123" s="14" t="s">
        <v>586</v>
      </c>
      <c r="E123" s="4" t="s">
        <v>443</v>
      </c>
      <c r="F123" s="1" t="s">
        <v>534</v>
      </c>
      <c r="G123" s="1"/>
    </row>
    <row r="124" spans="1:7" ht="15.75" customHeight="1">
      <c r="A124" s="4" t="s">
        <v>587</v>
      </c>
      <c r="B124" s="4">
        <v>2008</v>
      </c>
      <c r="C124" s="4" t="s">
        <v>588</v>
      </c>
      <c r="D124" s="14" t="s">
        <v>589</v>
      </c>
      <c r="E124" s="4" t="s">
        <v>443</v>
      </c>
      <c r="F124" s="1" t="s">
        <v>444</v>
      </c>
      <c r="G124" s="1"/>
    </row>
    <row r="125" spans="1:7" ht="15.75" customHeight="1">
      <c r="A125" s="4" t="s">
        <v>590</v>
      </c>
      <c r="B125" s="4">
        <v>2005</v>
      </c>
      <c r="C125" s="4" t="s">
        <v>591</v>
      </c>
      <c r="D125" s="14" t="s">
        <v>592</v>
      </c>
      <c r="E125" s="4" t="s">
        <v>443</v>
      </c>
      <c r="F125" s="1" t="s">
        <v>508</v>
      </c>
      <c r="G125" s="1"/>
    </row>
    <row r="126" spans="1:7" ht="15.75" customHeight="1">
      <c r="A126" s="4" t="s">
        <v>593</v>
      </c>
      <c r="B126" s="4">
        <v>2001</v>
      </c>
      <c r="C126" s="4" t="s">
        <v>594</v>
      </c>
      <c r="D126" s="14" t="s">
        <v>595</v>
      </c>
      <c r="E126" s="4" t="s">
        <v>443</v>
      </c>
      <c r="F126" s="1" t="s">
        <v>444</v>
      </c>
      <c r="G126" s="1"/>
    </row>
    <row r="127" spans="1:7" ht="15.75" customHeight="1">
      <c r="A127" s="4" t="s">
        <v>596</v>
      </c>
      <c r="B127" s="4">
        <v>2009</v>
      </c>
      <c r="C127" s="4" t="s">
        <v>597</v>
      </c>
      <c r="D127" s="14" t="s">
        <v>598</v>
      </c>
      <c r="E127" s="4" t="s">
        <v>443</v>
      </c>
      <c r="F127" s="1" t="s">
        <v>444</v>
      </c>
      <c r="G127" s="1"/>
    </row>
    <row r="128" spans="1:7" ht="15.75" customHeight="1">
      <c r="A128" s="4" t="s">
        <v>596</v>
      </c>
      <c r="B128" s="4">
        <v>2000</v>
      </c>
      <c r="C128" s="4" t="s">
        <v>599</v>
      </c>
      <c r="D128" s="14" t="s">
        <v>600</v>
      </c>
      <c r="E128" s="4" t="s">
        <v>443</v>
      </c>
      <c r="F128" s="1" t="s">
        <v>508</v>
      </c>
      <c r="G128" s="1"/>
    </row>
    <row r="129" spans="1:7" ht="15.75" customHeight="1">
      <c r="A129" s="4" t="s">
        <v>601</v>
      </c>
      <c r="B129" s="4">
        <v>2013</v>
      </c>
      <c r="C129" s="4" t="s">
        <v>602</v>
      </c>
      <c r="D129" s="14" t="s">
        <v>603</v>
      </c>
      <c r="E129" s="4" t="s">
        <v>443</v>
      </c>
      <c r="F129" s="1" t="s">
        <v>444</v>
      </c>
      <c r="G129" s="1"/>
    </row>
    <row r="130" spans="1:7" ht="15.75" customHeight="1">
      <c r="A130" s="4" t="s">
        <v>604</v>
      </c>
      <c r="B130" s="4">
        <v>2022</v>
      </c>
      <c r="C130" s="4" t="s">
        <v>605</v>
      </c>
      <c r="D130" s="14" t="s">
        <v>606</v>
      </c>
      <c r="E130" s="4" t="s">
        <v>443</v>
      </c>
      <c r="F130" s="1" t="s">
        <v>444</v>
      </c>
      <c r="G130" s="1"/>
    </row>
    <row r="131" spans="1:7" ht="15.75" customHeight="1">
      <c r="A131" s="4" t="s">
        <v>607</v>
      </c>
      <c r="B131" s="4">
        <v>2004</v>
      </c>
      <c r="C131" s="4" t="s">
        <v>608</v>
      </c>
      <c r="D131" s="14" t="s">
        <v>609</v>
      </c>
      <c r="E131" s="4" t="s">
        <v>443</v>
      </c>
      <c r="F131" s="1" t="s">
        <v>444</v>
      </c>
      <c r="G131" s="1"/>
    </row>
    <row r="132" spans="1:7" ht="15.75" customHeight="1">
      <c r="A132" s="4" t="s">
        <v>610</v>
      </c>
      <c r="B132" s="4">
        <v>2017</v>
      </c>
      <c r="C132" s="4" t="s">
        <v>611</v>
      </c>
      <c r="D132" s="14" t="s">
        <v>612</v>
      </c>
      <c r="E132" s="4" t="s">
        <v>443</v>
      </c>
      <c r="F132" s="1" t="s">
        <v>444</v>
      </c>
      <c r="G132" s="1"/>
    </row>
    <row r="133" spans="1:7" ht="15.75" customHeight="1">
      <c r="A133" s="4" t="s">
        <v>613</v>
      </c>
      <c r="B133" s="4">
        <v>2021</v>
      </c>
      <c r="C133" s="4" t="s">
        <v>614</v>
      </c>
      <c r="D133" s="14" t="s">
        <v>615</v>
      </c>
      <c r="E133" s="4" t="s">
        <v>443</v>
      </c>
      <c r="F133" s="1" t="s">
        <v>534</v>
      </c>
      <c r="G133" s="1"/>
    </row>
    <row r="134" spans="1:7" ht="15.75" customHeight="1">
      <c r="A134" s="4" t="s">
        <v>616</v>
      </c>
      <c r="B134" s="4">
        <v>2021</v>
      </c>
      <c r="C134" s="4" t="s">
        <v>617</v>
      </c>
      <c r="D134" s="14" t="s">
        <v>618</v>
      </c>
      <c r="E134" s="4" t="s">
        <v>443</v>
      </c>
      <c r="F134" s="1" t="s">
        <v>444</v>
      </c>
      <c r="G134" s="1"/>
    </row>
    <row r="135" spans="1:7" ht="15.75" customHeight="1">
      <c r="A135" s="4" t="s">
        <v>619</v>
      </c>
      <c r="B135" s="4">
        <v>2021</v>
      </c>
      <c r="C135" s="4" t="s">
        <v>620</v>
      </c>
      <c r="D135" s="14" t="s">
        <v>621</v>
      </c>
      <c r="E135" s="4" t="s">
        <v>443</v>
      </c>
      <c r="F135" s="1" t="s">
        <v>444</v>
      </c>
      <c r="G135" s="1"/>
    </row>
    <row r="136" spans="1:7" ht="15.75" customHeight="1">
      <c r="A136" s="4" t="s">
        <v>221</v>
      </c>
      <c r="B136" s="4">
        <v>2019</v>
      </c>
      <c r="C136" s="4" t="s">
        <v>622</v>
      </c>
      <c r="D136" s="14" t="s">
        <v>623</v>
      </c>
      <c r="E136" s="4" t="s">
        <v>443</v>
      </c>
      <c r="F136" s="1" t="s">
        <v>444</v>
      </c>
      <c r="G136" s="1"/>
    </row>
    <row r="137" spans="1:7" ht="15.75" customHeight="1">
      <c r="A137" s="4" t="s">
        <v>221</v>
      </c>
      <c r="B137" s="4">
        <v>2015</v>
      </c>
      <c r="C137" s="4" t="s">
        <v>624</v>
      </c>
      <c r="D137" s="14" t="s">
        <v>625</v>
      </c>
      <c r="E137" s="4" t="s">
        <v>443</v>
      </c>
      <c r="F137" s="1" t="s">
        <v>444</v>
      </c>
      <c r="G137" s="1" t="s">
        <v>626</v>
      </c>
    </row>
    <row r="138" spans="1:7" ht="15.75" customHeight="1">
      <c r="A138" s="4" t="s">
        <v>221</v>
      </c>
      <c r="B138" s="4">
        <v>2015</v>
      </c>
      <c r="C138" s="4" t="s">
        <v>627</v>
      </c>
      <c r="D138" s="14" t="s">
        <v>628</v>
      </c>
      <c r="E138" s="4" t="s">
        <v>443</v>
      </c>
      <c r="F138" s="1" t="s">
        <v>444</v>
      </c>
      <c r="G138" s="1" t="s">
        <v>629</v>
      </c>
    </row>
    <row r="139" spans="1:7" ht="15.75" customHeight="1">
      <c r="A139" s="4" t="s">
        <v>221</v>
      </c>
      <c r="B139" s="4">
        <v>2016</v>
      </c>
      <c r="C139" s="4" t="s">
        <v>630</v>
      </c>
      <c r="D139" s="14" t="s">
        <v>631</v>
      </c>
      <c r="E139" s="4" t="s">
        <v>443</v>
      </c>
      <c r="F139" s="1" t="s">
        <v>444</v>
      </c>
      <c r="G139" s="1"/>
    </row>
    <row r="140" spans="1:7" ht="15.75" customHeight="1">
      <c r="A140" s="4" t="s">
        <v>221</v>
      </c>
      <c r="B140" s="4">
        <v>2014</v>
      </c>
      <c r="C140" s="4" t="s">
        <v>632</v>
      </c>
      <c r="D140" s="14" t="s">
        <v>633</v>
      </c>
      <c r="E140" s="4" t="s">
        <v>443</v>
      </c>
      <c r="F140" s="1" t="s">
        <v>444</v>
      </c>
      <c r="G140" s="1"/>
    </row>
    <row r="141" spans="1:7" ht="15.75" customHeight="1">
      <c r="A141" s="4" t="s">
        <v>221</v>
      </c>
      <c r="B141" s="4">
        <v>2017</v>
      </c>
      <c r="C141" s="4" t="s">
        <v>634</v>
      </c>
      <c r="D141" s="14" t="s">
        <v>635</v>
      </c>
      <c r="E141" s="4" t="s">
        <v>443</v>
      </c>
      <c r="F141" s="1" t="s">
        <v>636</v>
      </c>
      <c r="G141" s="1"/>
    </row>
    <row r="142" spans="1:7" ht="15.75" customHeight="1">
      <c r="A142" s="4" t="s">
        <v>221</v>
      </c>
      <c r="B142" s="4">
        <v>2022</v>
      </c>
      <c r="C142" s="4" t="s">
        <v>637</v>
      </c>
      <c r="D142" s="14" t="s">
        <v>638</v>
      </c>
      <c r="E142" s="4" t="s">
        <v>443</v>
      </c>
      <c r="F142" s="1" t="s">
        <v>444</v>
      </c>
      <c r="G142" s="1"/>
    </row>
    <row r="143" spans="1:7" ht="15.75" customHeight="1">
      <c r="A143" s="4" t="s">
        <v>221</v>
      </c>
      <c r="B143" s="4">
        <v>2017</v>
      </c>
      <c r="C143" s="4" t="s">
        <v>639</v>
      </c>
      <c r="D143" s="14" t="s">
        <v>640</v>
      </c>
      <c r="E143" s="4" t="s">
        <v>443</v>
      </c>
      <c r="F143" s="1" t="s">
        <v>636</v>
      </c>
      <c r="G143" s="1"/>
    </row>
    <row r="144" spans="1:7" ht="15.75" customHeight="1">
      <c r="A144" s="4" t="s">
        <v>221</v>
      </c>
      <c r="B144" s="4">
        <v>2020</v>
      </c>
      <c r="C144" s="4" t="s">
        <v>641</v>
      </c>
      <c r="D144" s="14" t="s">
        <v>642</v>
      </c>
      <c r="E144" s="4" t="s">
        <v>443</v>
      </c>
      <c r="F144" s="1" t="s">
        <v>444</v>
      </c>
      <c r="G144" s="1"/>
    </row>
    <row r="145" spans="1:7" ht="15.75" customHeight="1">
      <c r="A145" s="4" t="s">
        <v>221</v>
      </c>
      <c r="B145" s="4">
        <v>2012</v>
      </c>
      <c r="C145" s="4" t="s">
        <v>643</v>
      </c>
      <c r="D145" s="14" t="s">
        <v>644</v>
      </c>
      <c r="E145" s="4" t="s">
        <v>443</v>
      </c>
      <c r="F145" s="1" t="s">
        <v>534</v>
      </c>
      <c r="G145" s="1"/>
    </row>
    <row r="146" spans="1:7" ht="15.75" customHeight="1">
      <c r="A146" s="4" t="s">
        <v>645</v>
      </c>
      <c r="B146" s="4">
        <v>2017</v>
      </c>
      <c r="C146" s="4" t="s">
        <v>646</v>
      </c>
      <c r="D146" s="14" t="s">
        <v>647</v>
      </c>
      <c r="E146" s="4" t="s">
        <v>443</v>
      </c>
      <c r="F146" s="1" t="s">
        <v>444</v>
      </c>
      <c r="G146" s="1"/>
    </row>
    <row r="147" spans="1:7" ht="15.75" customHeight="1">
      <c r="A147" s="4" t="s">
        <v>648</v>
      </c>
      <c r="B147" s="4">
        <v>2012</v>
      </c>
      <c r="C147" s="4" t="s">
        <v>649</v>
      </c>
      <c r="D147" s="14" t="s">
        <v>650</v>
      </c>
      <c r="E147" s="4" t="s">
        <v>443</v>
      </c>
      <c r="F147" s="1" t="s">
        <v>508</v>
      </c>
      <c r="G147" s="1"/>
    </row>
    <row r="148" spans="1:7" ht="15.75" customHeight="1">
      <c r="A148" s="4" t="s">
        <v>651</v>
      </c>
      <c r="B148" s="4">
        <v>2009</v>
      </c>
      <c r="C148" s="4" t="s">
        <v>652</v>
      </c>
      <c r="D148" s="14" t="s">
        <v>653</v>
      </c>
      <c r="E148" s="4" t="s">
        <v>443</v>
      </c>
      <c r="F148" s="1" t="s">
        <v>508</v>
      </c>
      <c r="G148" s="1"/>
    </row>
    <row r="149" spans="1:7" ht="15.75" customHeight="1">
      <c r="A149" s="4" t="s">
        <v>654</v>
      </c>
      <c r="B149" s="4">
        <v>2002</v>
      </c>
      <c r="C149" s="4" t="s">
        <v>655</v>
      </c>
      <c r="D149" s="14" t="s">
        <v>656</v>
      </c>
      <c r="E149" s="4" t="s">
        <v>443</v>
      </c>
      <c r="F149" s="1" t="s">
        <v>444</v>
      </c>
      <c r="G149" s="1"/>
    </row>
    <row r="150" spans="1:7" ht="15.75" customHeight="1">
      <c r="A150" s="4" t="s">
        <v>654</v>
      </c>
      <c r="B150" s="4">
        <v>2012</v>
      </c>
      <c r="C150" s="4" t="s">
        <v>657</v>
      </c>
      <c r="D150" s="14" t="s">
        <v>658</v>
      </c>
      <c r="E150" s="4" t="s">
        <v>443</v>
      </c>
      <c r="F150" s="1" t="s">
        <v>444</v>
      </c>
      <c r="G150" s="1"/>
    </row>
    <row r="151" spans="1:7" ht="15.75" customHeight="1">
      <c r="A151" s="4" t="s">
        <v>184</v>
      </c>
      <c r="B151" s="4">
        <v>2016</v>
      </c>
      <c r="C151" s="4" t="s">
        <v>659</v>
      </c>
      <c r="D151" s="14" t="s">
        <v>660</v>
      </c>
      <c r="E151" s="4" t="s">
        <v>443</v>
      </c>
      <c r="F151" s="1" t="s">
        <v>444</v>
      </c>
      <c r="G151" s="1"/>
    </row>
    <row r="152" spans="1:7" ht="15.75" customHeight="1">
      <c r="A152" s="4" t="s">
        <v>184</v>
      </c>
      <c r="B152" s="4">
        <v>2015</v>
      </c>
      <c r="C152" s="4" t="s">
        <v>661</v>
      </c>
      <c r="D152" s="14" t="s">
        <v>662</v>
      </c>
      <c r="E152" s="4" t="s">
        <v>443</v>
      </c>
      <c r="F152" s="1" t="s">
        <v>444</v>
      </c>
      <c r="G152" s="1"/>
    </row>
    <row r="153" spans="1:7" ht="15.75" customHeight="1">
      <c r="A153" s="4" t="s">
        <v>663</v>
      </c>
      <c r="B153" s="4">
        <v>2019</v>
      </c>
      <c r="C153" s="4" t="s">
        <v>664</v>
      </c>
      <c r="D153" s="14" t="s">
        <v>665</v>
      </c>
      <c r="E153" s="4" t="s">
        <v>443</v>
      </c>
      <c r="F153" s="1" t="s">
        <v>666</v>
      </c>
      <c r="G153" s="1"/>
    </row>
    <row r="154" spans="1:7" ht="15.75" customHeight="1">
      <c r="A154" s="4" t="s">
        <v>186</v>
      </c>
      <c r="B154" s="4">
        <v>2012</v>
      </c>
      <c r="C154" s="4" t="s">
        <v>667</v>
      </c>
      <c r="D154" s="14" t="s">
        <v>668</v>
      </c>
      <c r="E154" s="4" t="s">
        <v>443</v>
      </c>
      <c r="F154" s="1" t="s">
        <v>444</v>
      </c>
      <c r="G154" s="1"/>
    </row>
    <row r="155" spans="1:7" ht="15.75" customHeight="1">
      <c r="A155" s="4" t="s">
        <v>669</v>
      </c>
      <c r="B155" s="4">
        <v>1996</v>
      </c>
      <c r="C155" s="4" t="s">
        <v>670</v>
      </c>
      <c r="D155" s="14" t="s">
        <v>671</v>
      </c>
      <c r="E155" s="4" t="s">
        <v>443</v>
      </c>
      <c r="F155" s="1" t="s">
        <v>464</v>
      </c>
      <c r="G155" s="1" t="s">
        <v>464</v>
      </c>
    </row>
    <row r="156" spans="1:7" ht="15.75" customHeight="1">
      <c r="A156" s="4" t="s">
        <v>672</v>
      </c>
      <c r="B156" s="4">
        <v>2010</v>
      </c>
      <c r="C156" s="4" t="s">
        <v>673</v>
      </c>
      <c r="D156" s="14" t="s">
        <v>674</v>
      </c>
      <c r="E156" s="4" t="s">
        <v>443</v>
      </c>
      <c r="F156" s="1" t="s">
        <v>444</v>
      </c>
      <c r="G156" s="1"/>
    </row>
    <row r="157" spans="1:7" ht="15.75" customHeight="1">
      <c r="A157" s="4" t="s">
        <v>672</v>
      </c>
      <c r="B157" s="4">
        <v>2015</v>
      </c>
      <c r="C157" s="4" t="s">
        <v>675</v>
      </c>
      <c r="D157" s="14" t="s">
        <v>676</v>
      </c>
      <c r="E157" s="4" t="s">
        <v>443</v>
      </c>
      <c r="F157" s="1" t="s">
        <v>444</v>
      </c>
      <c r="G157" s="1"/>
    </row>
    <row r="158" spans="1:7" ht="15.75" customHeight="1">
      <c r="A158" s="4" t="s">
        <v>233</v>
      </c>
      <c r="B158" s="4">
        <v>2009</v>
      </c>
      <c r="C158" s="4" t="s">
        <v>677</v>
      </c>
      <c r="D158" s="14" t="s">
        <v>678</v>
      </c>
      <c r="E158" s="4" t="s">
        <v>443</v>
      </c>
      <c r="F158" s="1" t="s">
        <v>508</v>
      </c>
      <c r="G158" s="1"/>
    </row>
    <row r="159" spans="1:7" ht="15.75" customHeight="1">
      <c r="A159" s="4" t="s">
        <v>679</v>
      </c>
      <c r="B159" s="4">
        <v>2023</v>
      </c>
      <c r="C159" s="4" t="s">
        <v>680</v>
      </c>
      <c r="D159" s="14" t="s">
        <v>681</v>
      </c>
      <c r="E159" s="4" t="s">
        <v>443</v>
      </c>
      <c r="F159" s="1" t="s">
        <v>464</v>
      </c>
      <c r="G159" s="1" t="s">
        <v>682</v>
      </c>
    </row>
    <row r="160" spans="1:7" ht="15.75" customHeight="1">
      <c r="A160" s="4" t="s">
        <v>683</v>
      </c>
      <c r="B160" s="4">
        <v>2018</v>
      </c>
      <c r="C160" s="4" t="s">
        <v>684</v>
      </c>
      <c r="D160" s="14" t="s">
        <v>685</v>
      </c>
      <c r="E160" s="4" t="s">
        <v>443</v>
      </c>
      <c r="F160" s="1" t="s">
        <v>444</v>
      </c>
      <c r="G160" s="1"/>
    </row>
    <row r="161" spans="1:7" ht="15.75" customHeight="1">
      <c r="A161" s="4" t="s">
        <v>686</v>
      </c>
      <c r="B161" s="4">
        <v>2011</v>
      </c>
      <c r="C161" s="4" t="s">
        <v>687</v>
      </c>
      <c r="D161" s="14" t="s">
        <v>688</v>
      </c>
      <c r="E161" s="4" t="s">
        <v>443</v>
      </c>
      <c r="F161" s="1" t="s">
        <v>534</v>
      </c>
      <c r="G161" s="1"/>
    </row>
    <row r="162" spans="1:7" ht="15.75" customHeight="1">
      <c r="A162" s="4" t="s">
        <v>689</v>
      </c>
      <c r="B162" s="4">
        <v>2002</v>
      </c>
      <c r="C162" s="4" t="s">
        <v>690</v>
      </c>
      <c r="D162" s="14" t="s">
        <v>691</v>
      </c>
      <c r="E162" s="4" t="s">
        <v>443</v>
      </c>
      <c r="F162" s="1" t="s">
        <v>508</v>
      </c>
      <c r="G162" s="1"/>
    </row>
    <row r="163" spans="1:7" ht="15.75" customHeight="1">
      <c r="A163" s="4" t="s">
        <v>692</v>
      </c>
      <c r="B163" s="4">
        <v>2008</v>
      </c>
      <c r="C163" s="4" t="s">
        <v>693</v>
      </c>
      <c r="D163" s="14" t="s">
        <v>694</v>
      </c>
      <c r="E163" s="4" t="s">
        <v>443</v>
      </c>
      <c r="F163" s="1" t="s">
        <v>444</v>
      </c>
      <c r="G163" s="1"/>
    </row>
    <row r="164" spans="1:7" ht="15.75" customHeight="1">
      <c r="A164" s="4" t="s">
        <v>695</v>
      </c>
      <c r="B164" s="4">
        <v>2008</v>
      </c>
      <c r="C164" s="4" t="s">
        <v>696</v>
      </c>
      <c r="D164" s="14" t="s">
        <v>697</v>
      </c>
      <c r="E164" s="4" t="s">
        <v>443</v>
      </c>
      <c r="F164" s="1" t="s">
        <v>444</v>
      </c>
      <c r="G164" s="1"/>
    </row>
    <row r="165" spans="1:7" ht="15.75" customHeight="1">
      <c r="A165" s="4" t="s">
        <v>698</v>
      </c>
      <c r="B165" s="4">
        <v>2011</v>
      </c>
      <c r="C165" s="4" t="s">
        <v>699</v>
      </c>
      <c r="D165" s="14" t="s">
        <v>700</v>
      </c>
      <c r="E165" s="4" t="s">
        <v>443</v>
      </c>
      <c r="F165" s="1" t="s">
        <v>444</v>
      </c>
      <c r="G165" s="1"/>
    </row>
    <row r="166" spans="1:7" ht="15.75" customHeight="1">
      <c r="A166" s="4" t="s">
        <v>701</v>
      </c>
      <c r="B166" s="4">
        <v>2003</v>
      </c>
      <c r="C166" s="4" t="s">
        <v>702</v>
      </c>
      <c r="D166" s="14" t="s">
        <v>703</v>
      </c>
      <c r="E166" s="4" t="s">
        <v>443</v>
      </c>
      <c r="F166" s="1" t="s">
        <v>444</v>
      </c>
      <c r="G166" s="1"/>
    </row>
    <row r="167" spans="1:7" ht="15.75" customHeight="1">
      <c r="A167" s="4" t="s">
        <v>704</v>
      </c>
      <c r="B167" s="4">
        <v>2013</v>
      </c>
      <c r="C167" s="4" t="s">
        <v>705</v>
      </c>
      <c r="D167" s="14" t="s">
        <v>706</v>
      </c>
      <c r="E167" s="4" t="s">
        <v>443</v>
      </c>
      <c r="F167" s="1" t="s">
        <v>444</v>
      </c>
      <c r="G167" s="1"/>
    </row>
    <row r="168" spans="1:7" ht="15.75" customHeight="1">
      <c r="A168" s="4" t="s">
        <v>249</v>
      </c>
      <c r="B168" s="4">
        <v>2007</v>
      </c>
      <c r="C168" s="4" t="s">
        <v>707</v>
      </c>
      <c r="D168" s="14" t="s">
        <v>708</v>
      </c>
      <c r="E168" s="4" t="s">
        <v>443</v>
      </c>
      <c r="F168" s="1" t="s">
        <v>444</v>
      </c>
      <c r="G168" s="1"/>
    </row>
    <row r="169" spans="1:7" ht="15.75" customHeight="1">
      <c r="A169" s="4" t="s">
        <v>709</v>
      </c>
      <c r="B169" s="4">
        <v>2015</v>
      </c>
      <c r="C169" s="4" t="s">
        <v>710</v>
      </c>
      <c r="D169" s="14" t="s">
        <v>711</v>
      </c>
      <c r="E169" s="4" t="s">
        <v>443</v>
      </c>
      <c r="F169" s="1" t="s">
        <v>444</v>
      </c>
      <c r="G169" s="1"/>
    </row>
    <row r="170" spans="1:7" ht="15.75" customHeight="1">
      <c r="A170" s="4" t="s">
        <v>254</v>
      </c>
      <c r="B170" s="4">
        <v>2000</v>
      </c>
      <c r="C170" s="4" t="s">
        <v>712</v>
      </c>
      <c r="D170" s="14" t="s">
        <v>713</v>
      </c>
      <c r="E170" s="4" t="s">
        <v>443</v>
      </c>
      <c r="F170" s="1" t="s">
        <v>444</v>
      </c>
      <c r="G170" s="1"/>
    </row>
    <row r="171" spans="1:7" ht="15.75" customHeight="1">
      <c r="A171" s="4" t="s">
        <v>714</v>
      </c>
      <c r="B171" s="4">
        <v>2011</v>
      </c>
      <c r="C171" s="4" t="s">
        <v>715</v>
      </c>
      <c r="D171" s="14" t="s">
        <v>716</v>
      </c>
      <c r="E171" s="4" t="s">
        <v>443</v>
      </c>
      <c r="F171" s="1" t="s">
        <v>444</v>
      </c>
      <c r="G171" s="1"/>
    </row>
    <row r="172" spans="1:7" ht="15.75" customHeight="1">
      <c r="A172" s="4" t="s">
        <v>717</v>
      </c>
      <c r="B172" s="4">
        <v>2014</v>
      </c>
      <c r="C172" s="4" t="s">
        <v>718</v>
      </c>
      <c r="D172" s="14" t="s">
        <v>719</v>
      </c>
      <c r="E172" s="4" t="s">
        <v>443</v>
      </c>
      <c r="F172" s="1" t="s">
        <v>444</v>
      </c>
      <c r="G172" s="1"/>
    </row>
    <row r="173" spans="1:7" ht="15.75" customHeight="1">
      <c r="A173" s="4" t="s">
        <v>720</v>
      </c>
      <c r="B173" s="4">
        <v>2011</v>
      </c>
      <c r="C173" s="4" t="s">
        <v>721</v>
      </c>
      <c r="D173" s="14" t="s">
        <v>722</v>
      </c>
      <c r="E173" s="4" t="s">
        <v>443</v>
      </c>
      <c r="F173" s="1" t="s">
        <v>444</v>
      </c>
      <c r="G173" s="1"/>
    </row>
    <row r="174" spans="1:7" ht="15.75" customHeight="1">
      <c r="A174" s="4" t="s">
        <v>723</v>
      </c>
      <c r="B174" s="4">
        <v>2018</v>
      </c>
      <c r="C174" s="4" t="s">
        <v>724</v>
      </c>
      <c r="D174" s="14" t="s">
        <v>725</v>
      </c>
      <c r="E174" s="4" t="s">
        <v>443</v>
      </c>
      <c r="F174" s="1" t="s">
        <v>444</v>
      </c>
      <c r="G174" s="1"/>
    </row>
    <row r="175" spans="1:7" ht="15.75" customHeight="1">
      <c r="A175" s="4" t="s">
        <v>726</v>
      </c>
      <c r="B175" s="4">
        <v>2008</v>
      </c>
      <c r="C175" s="4" t="s">
        <v>727</v>
      </c>
      <c r="D175" s="14" t="s">
        <v>728</v>
      </c>
      <c r="E175" s="4" t="s">
        <v>443</v>
      </c>
      <c r="F175" s="1" t="s">
        <v>508</v>
      </c>
      <c r="G175" s="1"/>
    </row>
    <row r="176" spans="1:7" ht="15.75" customHeight="1">
      <c r="A176" s="4" t="s">
        <v>729</v>
      </c>
      <c r="B176" s="4">
        <v>2023</v>
      </c>
      <c r="C176" s="4" t="s">
        <v>730</v>
      </c>
      <c r="D176" s="14" t="s">
        <v>731</v>
      </c>
      <c r="E176" s="4" t="s">
        <v>443</v>
      </c>
      <c r="F176" s="1" t="s">
        <v>464</v>
      </c>
      <c r="G176" s="1" t="s">
        <v>732</v>
      </c>
    </row>
    <row r="177" spans="1:7" ht="15.75" customHeight="1">
      <c r="A177" s="4" t="s">
        <v>733</v>
      </c>
      <c r="B177" s="4">
        <v>2022</v>
      </c>
      <c r="C177" s="4" t="s">
        <v>734</v>
      </c>
      <c r="D177" s="14" t="s">
        <v>735</v>
      </c>
      <c r="E177" s="4" t="s">
        <v>443</v>
      </c>
      <c r="F177" s="1" t="s">
        <v>444</v>
      </c>
      <c r="G177" s="1"/>
    </row>
    <row r="178" spans="1:7" ht="15.75" customHeight="1">
      <c r="A178" s="4" t="s">
        <v>147</v>
      </c>
      <c r="B178" s="4">
        <v>2020</v>
      </c>
      <c r="C178" s="4" t="s">
        <v>736</v>
      </c>
      <c r="D178" s="14" t="s">
        <v>737</v>
      </c>
      <c r="E178" s="4" t="s">
        <v>443</v>
      </c>
      <c r="F178" s="1" t="s">
        <v>444</v>
      </c>
      <c r="G178" s="1"/>
    </row>
    <row r="179" spans="1:7" ht="15.75" customHeight="1">
      <c r="A179" s="4" t="s">
        <v>256</v>
      </c>
      <c r="B179" s="4">
        <v>2018</v>
      </c>
      <c r="C179" s="4" t="s">
        <v>738</v>
      </c>
      <c r="D179" s="14" t="s">
        <v>739</v>
      </c>
      <c r="E179" s="4" t="s">
        <v>443</v>
      </c>
      <c r="F179" s="1" t="s">
        <v>444</v>
      </c>
      <c r="G179" s="1"/>
    </row>
    <row r="180" spans="1:7" ht="15.75" customHeight="1">
      <c r="A180" s="4" t="s">
        <v>256</v>
      </c>
      <c r="B180" s="4">
        <v>2020</v>
      </c>
      <c r="C180" s="4" t="s">
        <v>740</v>
      </c>
      <c r="D180" s="14" t="s">
        <v>741</v>
      </c>
      <c r="E180" s="4" t="s">
        <v>443</v>
      </c>
      <c r="F180" s="1" t="s">
        <v>444</v>
      </c>
      <c r="G180" s="1"/>
    </row>
    <row r="181" spans="1:7" ht="15.75" customHeight="1">
      <c r="A181" s="4" t="s">
        <v>742</v>
      </c>
      <c r="B181" s="4">
        <v>2021</v>
      </c>
      <c r="C181" s="4" t="s">
        <v>743</v>
      </c>
      <c r="D181" s="14" t="s">
        <v>744</v>
      </c>
      <c r="E181" s="4" t="s">
        <v>443</v>
      </c>
      <c r="F181" s="1" t="s">
        <v>444</v>
      </c>
      <c r="G181" s="1"/>
    </row>
    <row r="182" spans="1:7" ht="15.75" customHeight="1">
      <c r="A182" s="4" t="s">
        <v>745</v>
      </c>
      <c r="B182" s="4">
        <v>2017</v>
      </c>
      <c r="C182" s="4" t="s">
        <v>746</v>
      </c>
      <c r="D182" s="14" t="s">
        <v>747</v>
      </c>
      <c r="E182" s="4" t="s">
        <v>443</v>
      </c>
      <c r="F182" s="1" t="s">
        <v>444</v>
      </c>
      <c r="G182" s="1"/>
    </row>
    <row r="183" spans="1:7" ht="15.75" customHeight="1">
      <c r="A183" s="4" t="s">
        <v>748</v>
      </c>
      <c r="B183" s="4">
        <v>2001</v>
      </c>
      <c r="C183" s="4" t="s">
        <v>749</v>
      </c>
      <c r="D183" s="14" t="s">
        <v>750</v>
      </c>
      <c r="E183" s="4" t="s">
        <v>443</v>
      </c>
      <c r="F183" s="1" t="s">
        <v>444</v>
      </c>
      <c r="G183" s="1"/>
    </row>
    <row r="184" spans="1:7" ht="15.75" customHeight="1">
      <c r="A184" s="4" t="s">
        <v>751</v>
      </c>
      <c r="B184" s="4">
        <v>2014</v>
      </c>
      <c r="C184" s="4" t="s">
        <v>752</v>
      </c>
      <c r="D184" s="14" t="s">
        <v>753</v>
      </c>
      <c r="E184" s="4" t="s">
        <v>443</v>
      </c>
      <c r="F184" s="1" t="s">
        <v>444</v>
      </c>
      <c r="G184" s="1"/>
    </row>
    <row r="185" spans="1:7" ht="15.75" customHeight="1">
      <c r="A185" s="4" t="s">
        <v>754</v>
      </c>
      <c r="B185" s="4">
        <v>2022</v>
      </c>
      <c r="C185" s="4" t="s">
        <v>755</v>
      </c>
      <c r="D185" s="14" t="s">
        <v>756</v>
      </c>
      <c r="E185" s="4" t="s">
        <v>443</v>
      </c>
      <c r="F185" s="1" t="s">
        <v>444</v>
      </c>
      <c r="G185" s="1"/>
    </row>
    <row r="186" spans="1:7" ht="15.75" customHeight="1">
      <c r="A186" s="4" t="s">
        <v>757</v>
      </c>
      <c r="B186" s="4">
        <v>2010</v>
      </c>
      <c r="C186" s="4" t="s">
        <v>758</v>
      </c>
      <c r="D186" s="14" t="s">
        <v>759</v>
      </c>
      <c r="E186" s="4" t="s">
        <v>443</v>
      </c>
      <c r="F186" s="1" t="s">
        <v>444</v>
      </c>
      <c r="G186" s="1"/>
    </row>
    <row r="187" spans="1:7" ht="15.75" customHeight="1">
      <c r="A187" s="4" t="s">
        <v>760</v>
      </c>
      <c r="B187" s="4">
        <v>1998</v>
      </c>
      <c r="C187" s="4" t="s">
        <v>761</v>
      </c>
      <c r="D187" s="14" t="s">
        <v>762</v>
      </c>
      <c r="E187" s="4" t="s">
        <v>443</v>
      </c>
      <c r="F187" s="1" t="s">
        <v>444</v>
      </c>
      <c r="G187" s="1"/>
    </row>
    <row r="188" spans="1:7" ht="15.75" customHeight="1">
      <c r="A188" s="4" t="s">
        <v>763</v>
      </c>
      <c r="B188" s="4">
        <v>2017</v>
      </c>
      <c r="C188" s="4" t="s">
        <v>764</v>
      </c>
      <c r="D188" s="14" t="s">
        <v>765</v>
      </c>
      <c r="E188" s="4" t="s">
        <v>443</v>
      </c>
      <c r="F188" s="1" t="s">
        <v>444</v>
      </c>
      <c r="G188" s="1"/>
    </row>
    <row r="189" spans="1:7" ht="15.75" customHeight="1">
      <c r="A189" s="4" t="s">
        <v>766</v>
      </c>
      <c r="B189" s="4">
        <v>2009</v>
      </c>
      <c r="C189" s="4" t="s">
        <v>767</v>
      </c>
      <c r="D189" s="14" t="s">
        <v>768</v>
      </c>
      <c r="E189" s="4" t="s">
        <v>443</v>
      </c>
      <c r="F189" s="1" t="s">
        <v>534</v>
      </c>
      <c r="G189" s="1"/>
    </row>
    <row r="190" spans="1:7" ht="15.75" customHeight="1">
      <c r="A190" s="4" t="s">
        <v>769</v>
      </c>
      <c r="B190" s="4">
        <v>2018</v>
      </c>
      <c r="C190" s="4" t="s">
        <v>770</v>
      </c>
      <c r="D190" s="14" t="s">
        <v>771</v>
      </c>
      <c r="E190" s="4" t="s">
        <v>443</v>
      </c>
      <c r="F190" s="1" t="s">
        <v>444</v>
      </c>
      <c r="G190" s="1"/>
    </row>
    <row r="191" spans="1:7" ht="15.75" customHeight="1">
      <c r="A191" s="4" t="s">
        <v>772</v>
      </c>
      <c r="B191" s="4">
        <v>2016</v>
      </c>
      <c r="C191" s="4" t="s">
        <v>773</v>
      </c>
      <c r="D191" s="14" t="s">
        <v>774</v>
      </c>
      <c r="E191" s="4" t="s">
        <v>443</v>
      </c>
      <c r="F191" s="1" t="s">
        <v>444</v>
      </c>
      <c r="G191" s="1"/>
    </row>
    <row r="192" spans="1:7" ht="15.75" customHeight="1">
      <c r="A192" s="4" t="s">
        <v>775</v>
      </c>
      <c r="B192" s="4">
        <v>2021</v>
      </c>
      <c r="C192" s="4" t="s">
        <v>776</v>
      </c>
      <c r="D192" s="14" t="s">
        <v>777</v>
      </c>
      <c r="E192" s="4" t="s">
        <v>443</v>
      </c>
      <c r="F192" s="1" t="s">
        <v>444</v>
      </c>
      <c r="G192" s="1"/>
    </row>
    <row r="193" spans="1:7" ht="15.75" customHeight="1">
      <c r="A193" s="4" t="s">
        <v>775</v>
      </c>
      <c r="B193" s="4">
        <v>2019</v>
      </c>
      <c r="C193" s="4" t="s">
        <v>778</v>
      </c>
      <c r="D193" s="14" t="s">
        <v>779</v>
      </c>
      <c r="E193" s="4" t="s">
        <v>443</v>
      </c>
      <c r="F193" s="1" t="s">
        <v>444</v>
      </c>
      <c r="G193" s="1"/>
    </row>
    <row r="194" spans="1:7" ht="15.75" customHeight="1">
      <c r="A194" s="4" t="s">
        <v>780</v>
      </c>
      <c r="B194" s="4">
        <v>2018</v>
      </c>
      <c r="C194" s="4" t="s">
        <v>781</v>
      </c>
      <c r="D194" s="14" t="s">
        <v>782</v>
      </c>
      <c r="E194" s="4" t="s">
        <v>443</v>
      </c>
      <c r="F194" s="1" t="s">
        <v>444</v>
      </c>
      <c r="G194" s="1"/>
    </row>
    <row r="195" spans="1:7" ht="15.75" customHeight="1">
      <c r="A195" s="4" t="s">
        <v>783</v>
      </c>
      <c r="B195" s="4">
        <v>2003</v>
      </c>
      <c r="C195" s="4" t="s">
        <v>784</v>
      </c>
      <c r="D195" s="14" t="s">
        <v>785</v>
      </c>
      <c r="E195" s="4" t="s">
        <v>443</v>
      </c>
      <c r="F195" s="1" t="s">
        <v>508</v>
      </c>
      <c r="G195" s="1"/>
    </row>
    <row r="196" spans="1:7" ht="15.75" customHeight="1">
      <c r="A196" s="4" t="s">
        <v>786</v>
      </c>
      <c r="B196" s="4">
        <v>2001</v>
      </c>
      <c r="C196" s="4" t="s">
        <v>787</v>
      </c>
      <c r="D196" s="14" t="s">
        <v>788</v>
      </c>
      <c r="E196" s="4" t="s">
        <v>443</v>
      </c>
      <c r="F196" s="1" t="s">
        <v>444</v>
      </c>
      <c r="G196" s="1"/>
    </row>
    <row r="197" spans="1:7" ht="15.75" customHeight="1">
      <c r="A197" s="4" t="s">
        <v>789</v>
      </c>
      <c r="B197" s="4">
        <v>2006</v>
      </c>
      <c r="C197" s="4" t="s">
        <v>790</v>
      </c>
      <c r="D197" s="14" t="s">
        <v>791</v>
      </c>
      <c r="E197" s="4" t="s">
        <v>443</v>
      </c>
      <c r="F197" s="1" t="s">
        <v>534</v>
      </c>
      <c r="G197" s="1"/>
    </row>
    <row r="198" spans="1:7" ht="15.75" customHeight="1">
      <c r="A198" s="4" t="s">
        <v>151</v>
      </c>
      <c r="B198" s="4">
        <v>2008</v>
      </c>
      <c r="C198" s="4" t="s">
        <v>792</v>
      </c>
      <c r="D198" s="14" t="s">
        <v>793</v>
      </c>
      <c r="E198" s="4" t="s">
        <v>443</v>
      </c>
      <c r="F198" s="1" t="s">
        <v>444</v>
      </c>
      <c r="G198" s="1"/>
    </row>
    <row r="199" spans="1:7" ht="15.75" customHeight="1">
      <c r="A199" s="4" t="s">
        <v>151</v>
      </c>
      <c r="B199" s="4">
        <v>2021</v>
      </c>
      <c r="C199" s="4" t="s">
        <v>794</v>
      </c>
      <c r="D199" s="14" t="s">
        <v>795</v>
      </c>
      <c r="E199" s="4" t="s">
        <v>443</v>
      </c>
      <c r="F199" s="1" t="s">
        <v>444</v>
      </c>
      <c r="G199" s="1"/>
    </row>
    <row r="200" spans="1:7" ht="15.75" customHeight="1">
      <c r="A200" s="4" t="s">
        <v>151</v>
      </c>
      <c r="B200" s="4">
        <v>2013</v>
      </c>
      <c r="C200" s="4" t="s">
        <v>796</v>
      </c>
      <c r="D200" s="14" t="s">
        <v>797</v>
      </c>
      <c r="E200" s="4" t="s">
        <v>443</v>
      </c>
      <c r="F200" s="1" t="s">
        <v>444</v>
      </c>
      <c r="G200" s="1" t="s">
        <v>798</v>
      </c>
    </row>
    <row r="201" spans="1:7" ht="15.75" customHeight="1">
      <c r="A201" s="4" t="s">
        <v>151</v>
      </c>
      <c r="B201" s="4">
        <v>2017</v>
      </c>
      <c r="C201" s="4" t="s">
        <v>799</v>
      </c>
      <c r="D201" s="14" t="s">
        <v>800</v>
      </c>
      <c r="E201" s="4" t="s">
        <v>443</v>
      </c>
      <c r="F201" s="1" t="s">
        <v>444</v>
      </c>
      <c r="G201" s="1"/>
    </row>
    <row r="202" spans="1:7" ht="15.75" customHeight="1">
      <c r="A202" s="4" t="s">
        <v>151</v>
      </c>
      <c r="B202" s="4">
        <v>2013</v>
      </c>
      <c r="C202" s="4" t="s">
        <v>801</v>
      </c>
      <c r="D202" s="14" t="s">
        <v>802</v>
      </c>
      <c r="E202" s="4" t="s">
        <v>443</v>
      </c>
      <c r="F202" s="1" t="s">
        <v>444</v>
      </c>
      <c r="G202" s="1" t="s">
        <v>803</v>
      </c>
    </row>
    <row r="203" spans="1:7" ht="15.75" customHeight="1">
      <c r="A203" s="4" t="s">
        <v>151</v>
      </c>
      <c r="B203" s="4">
        <v>2010</v>
      </c>
      <c r="C203" s="4" t="s">
        <v>804</v>
      </c>
      <c r="D203" s="14" t="s">
        <v>805</v>
      </c>
      <c r="E203" s="4" t="s">
        <v>443</v>
      </c>
      <c r="F203" s="1" t="s">
        <v>444</v>
      </c>
      <c r="G203" s="1"/>
    </row>
    <row r="204" spans="1:7" ht="15.75" customHeight="1">
      <c r="A204" s="4" t="s">
        <v>151</v>
      </c>
      <c r="B204" s="4">
        <v>2011</v>
      </c>
      <c r="C204" s="4" t="s">
        <v>806</v>
      </c>
      <c r="D204" s="14" t="s">
        <v>807</v>
      </c>
      <c r="E204" s="4" t="s">
        <v>443</v>
      </c>
      <c r="F204" s="1" t="s">
        <v>444</v>
      </c>
      <c r="G204" s="1"/>
    </row>
    <row r="205" spans="1:7" ht="15.75" customHeight="1">
      <c r="A205" s="4" t="s">
        <v>808</v>
      </c>
      <c r="B205" s="4">
        <v>2014</v>
      </c>
      <c r="C205" s="4" t="s">
        <v>809</v>
      </c>
      <c r="D205" s="14" t="s">
        <v>810</v>
      </c>
      <c r="E205" s="4" t="s">
        <v>443</v>
      </c>
      <c r="F205" s="1" t="s">
        <v>444</v>
      </c>
      <c r="G205" s="1"/>
    </row>
    <row r="206" spans="1:7" ht="15.75" customHeight="1">
      <c r="A206" s="4" t="s">
        <v>811</v>
      </c>
      <c r="B206" s="4">
        <v>2020</v>
      </c>
      <c r="C206" s="4" t="s">
        <v>812</v>
      </c>
      <c r="D206" s="14" t="s">
        <v>813</v>
      </c>
      <c r="E206" s="4" t="s">
        <v>443</v>
      </c>
      <c r="F206" s="1" t="s">
        <v>444</v>
      </c>
      <c r="G206" s="1"/>
    </row>
    <row r="207" spans="1:7" ht="15.75" customHeight="1">
      <c r="A207" s="4" t="s">
        <v>814</v>
      </c>
      <c r="B207" s="4">
        <v>2007</v>
      </c>
      <c r="C207" s="4" t="s">
        <v>815</v>
      </c>
      <c r="D207" s="14" t="s">
        <v>816</v>
      </c>
      <c r="E207" s="4" t="s">
        <v>443</v>
      </c>
      <c r="F207" s="1" t="s">
        <v>444</v>
      </c>
      <c r="G207" s="1"/>
    </row>
    <row r="208" spans="1:7" ht="15.75" customHeight="1">
      <c r="A208" s="4" t="s">
        <v>817</v>
      </c>
      <c r="B208" s="4">
        <v>2012</v>
      </c>
      <c r="C208" s="4" t="s">
        <v>818</v>
      </c>
      <c r="D208" s="14" t="s">
        <v>819</v>
      </c>
      <c r="E208" s="4" t="s">
        <v>443</v>
      </c>
      <c r="F208" s="1" t="s">
        <v>444</v>
      </c>
      <c r="G208" s="1"/>
    </row>
    <row r="209" spans="1:7" ht="15.75" customHeight="1">
      <c r="A209" s="4" t="s">
        <v>820</v>
      </c>
      <c r="B209" s="4">
        <v>1998</v>
      </c>
      <c r="C209" s="4" t="s">
        <v>821</v>
      </c>
      <c r="D209" s="14" t="s">
        <v>822</v>
      </c>
      <c r="E209" s="4" t="s">
        <v>443</v>
      </c>
      <c r="F209" s="1" t="s">
        <v>508</v>
      </c>
      <c r="G209" s="1"/>
    </row>
    <row r="210" spans="1:7" ht="15.75" customHeight="1">
      <c r="A210" s="4" t="s">
        <v>823</v>
      </c>
      <c r="B210" s="4">
        <v>2014</v>
      </c>
      <c r="C210" s="4" t="s">
        <v>824</v>
      </c>
      <c r="D210" s="14" t="s">
        <v>825</v>
      </c>
      <c r="E210" s="4" t="s">
        <v>443</v>
      </c>
      <c r="F210" s="1" t="s">
        <v>534</v>
      </c>
      <c r="G210" s="1"/>
    </row>
    <row r="211" spans="1:7" ht="15.75" customHeight="1">
      <c r="A211" s="4" t="s">
        <v>826</v>
      </c>
      <c r="B211" s="4">
        <v>2006</v>
      </c>
      <c r="C211" s="4" t="s">
        <v>827</v>
      </c>
      <c r="D211" s="14" t="s">
        <v>828</v>
      </c>
      <c r="E211" s="4" t="s">
        <v>443</v>
      </c>
      <c r="F211" s="1" t="s">
        <v>508</v>
      </c>
      <c r="G211" s="1" t="s">
        <v>431</v>
      </c>
    </row>
    <row r="212" spans="1:7" ht="15.75" customHeight="1">
      <c r="A212" s="4" t="s">
        <v>826</v>
      </c>
      <c r="B212" s="4">
        <v>2006</v>
      </c>
      <c r="C212" s="4" t="s">
        <v>829</v>
      </c>
      <c r="D212" s="14" t="s">
        <v>830</v>
      </c>
      <c r="E212" s="4" t="s">
        <v>443</v>
      </c>
      <c r="F212" s="1" t="s">
        <v>444</v>
      </c>
      <c r="G212" s="1" t="s">
        <v>831</v>
      </c>
    </row>
    <row r="213" spans="1:7" ht="15.75" customHeight="1">
      <c r="A213" s="4" t="s">
        <v>832</v>
      </c>
      <c r="B213" s="4">
        <v>2021</v>
      </c>
      <c r="C213" s="4" t="s">
        <v>833</v>
      </c>
      <c r="D213" s="14" t="s">
        <v>834</v>
      </c>
      <c r="E213" s="4" t="s">
        <v>443</v>
      </c>
      <c r="F213" s="1" t="s">
        <v>444</v>
      </c>
      <c r="G213" s="1"/>
    </row>
    <row r="214" spans="1:7" ht="15.75" customHeight="1">
      <c r="A214" s="4" t="s">
        <v>835</v>
      </c>
      <c r="B214" s="4">
        <v>2023</v>
      </c>
      <c r="C214" s="4" t="s">
        <v>836</v>
      </c>
      <c r="D214" s="14" t="s">
        <v>837</v>
      </c>
      <c r="E214" s="4" t="s">
        <v>443</v>
      </c>
      <c r="F214" s="1" t="s">
        <v>464</v>
      </c>
      <c r="G214" s="1" t="s">
        <v>838</v>
      </c>
    </row>
    <row r="215" spans="1:7" ht="15.75" customHeight="1">
      <c r="A215" s="4" t="s">
        <v>839</v>
      </c>
      <c r="B215" s="4">
        <v>2021</v>
      </c>
      <c r="C215" s="4" t="s">
        <v>840</v>
      </c>
      <c r="D215" s="14" t="s">
        <v>841</v>
      </c>
      <c r="E215" s="4" t="s">
        <v>443</v>
      </c>
      <c r="F215" s="1" t="s">
        <v>444</v>
      </c>
      <c r="G215" s="1"/>
    </row>
    <row r="216" spans="1:7" ht="15.75" customHeight="1">
      <c r="A216" s="4" t="s">
        <v>842</v>
      </c>
      <c r="B216" s="4">
        <v>2018</v>
      </c>
      <c r="C216" s="4" t="s">
        <v>843</v>
      </c>
      <c r="D216" s="14" t="s">
        <v>844</v>
      </c>
      <c r="E216" s="4" t="s">
        <v>443</v>
      </c>
      <c r="F216" s="1" t="s">
        <v>444</v>
      </c>
      <c r="G216" s="1"/>
    </row>
    <row r="217" spans="1:7" ht="15.75" customHeight="1">
      <c r="A217" s="4" t="s">
        <v>845</v>
      </c>
      <c r="B217" s="4">
        <v>2011</v>
      </c>
      <c r="C217" s="4" t="s">
        <v>846</v>
      </c>
      <c r="D217" s="14" t="s">
        <v>847</v>
      </c>
      <c r="E217" s="4" t="s">
        <v>443</v>
      </c>
      <c r="F217" s="1" t="s">
        <v>444</v>
      </c>
      <c r="G217" s="1"/>
    </row>
    <row r="218" spans="1:7" ht="15.75" customHeight="1">
      <c r="A218" s="4" t="s">
        <v>848</v>
      </c>
      <c r="B218" s="4">
        <v>2009</v>
      </c>
      <c r="C218" s="4" t="s">
        <v>849</v>
      </c>
      <c r="D218" s="14" t="s">
        <v>850</v>
      </c>
      <c r="E218" s="4" t="s">
        <v>443</v>
      </c>
      <c r="F218" s="1" t="s">
        <v>444</v>
      </c>
      <c r="G218" s="1"/>
    </row>
    <row r="219" spans="1:7" ht="15.75" customHeight="1">
      <c r="A219" s="4" t="s">
        <v>851</v>
      </c>
      <c r="B219" s="4">
        <v>2022</v>
      </c>
      <c r="C219" s="4" t="s">
        <v>852</v>
      </c>
      <c r="D219" s="14" t="s">
        <v>853</v>
      </c>
      <c r="E219" s="4" t="s">
        <v>443</v>
      </c>
      <c r="F219" s="1" t="s">
        <v>444</v>
      </c>
      <c r="G219" s="1"/>
    </row>
    <row r="220" spans="1:7" ht="15.75" customHeight="1">
      <c r="A220" s="4" t="s">
        <v>854</v>
      </c>
      <c r="B220" s="4">
        <v>2019</v>
      </c>
      <c r="C220" s="4" t="s">
        <v>855</v>
      </c>
      <c r="D220" s="14" t="s">
        <v>856</v>
      </c>
      <c r="E220" s="4" t="s">
        <v>443</v>
      </c>
      <c r="F220" s="1" t="s">
        <v>508</v>
      </c>
      <c r="G220" s="1"/>
    </row>
    <row r="221" spans="1:7" ht="15.75" customHeight="1">
      <c r="A221" s="4" t="s">
        <v>857</v>
      </c>
      <c r="B221" s="4">
        <v>2011</v>
      </c>
      <c r="C221" s="4" t="s">
        <v>858</v>
      </c>
      <c r="D221" s="14" t="s">
        <v>859</v>
      </c>
      <c r="E221" s="4" t="s">
        <v>443</v>
      </c>
      <c r="F221" s="1" t="s">
        <v>534</v>
      </c>
      <c r="G221" s="1"/>
    </row>
    <row r="222" spans="1:7" ht="15.75" customHeight="1">
      <c r="A222" s="4" t="s">
        <v>860</v>
      </c>
      <c r="B222" s="4">
        <v>2019</v>
      </c>
      <c r="C222" s="4" t="s">
        <v>861</v>
      </c>
      <c r="D222" s="14" t="s">
        <v>862</v>
      </c>
      <c r="E222" s="4" t="s">
        <v>443</v>
      </c>
      <c r="F222" s="1" t="s">
        <v>534</v>
      </c>
      <c r="G222" s="1"/>
    </row>
    <row r="223" spans="1:7" ht="15.75" customHeight="1">
      <c r="A223" s="4" t="s">
        <v>863</v>
      </c>
      <c r="B223" s="4">
        <v>2002</v>
      </c>
      <c r="C223" s="4" t="s">
        <v>864</v>
      </c>
      <c r="D223" s="14" t="s">
        <v>865</v>
      </c>
      <c r="E223" s="4" t="s">
        <v>443</v>
      </c>
      <c r="F223" s="1" t="s">
        <v>444</v>
      </c>
      <c r="G223" s="1"/>
    </row>
    <row r="224" spans="1:7" ht="15.75" customHeight="1">
      <c r="A224" s="4" t="s">
        <v>866</v>
      </c>
      <c r="B224" s="4">
        <v>2006</v>
      </c>
      <c r="C224" s="4" t="s">
        <v>867</v>
      </c>
      <c r="D224" s="14" t="s">
        <v>868</v>
      </c>
      <c r="E224" s="4" t="s">
        <v>443</v>
      </c>
      <c r="F224" s="1" t="s">
        <v>444</v>
      </c>
      <c r="G224" s="1"/>
    </row>
    <row r="225" spans="1:7" ht="15.75" customHeight="1">
      <c r="A225" s="4" t="s">
        <v>869</v>
      </c>
      <c r="B225" s="4">
        <v>2011</v>
      </c>
      <c r="C225" s="4" t="s">
        <v>870</v>
      </c>
      <c r="D225" s="14" t="s">
        <v>871</v>
      </c>
      <c r="E225" s="4" t="s">
        <v>443</v>
      </c>
      <c r="F225" s="1" t="s">
        <v>444</v>
      </c>
      <c r="G225" s="1"/>
    </row>
    <row r="226" spans="1:7" ht="15.75" customHeight="1">
      <c r="A226" s="4" t="s">
        <v>872</v>
      </c>
      <c r="B226" s="4">
        <v>2011</v>
      </c>
      <c r="C226" s="4" t="s">
        <v>873</v>
      </c>
      <c r="D226" s="14" t="s">
        <v>874</v>
      </c>
      <c r="E226" s="4" t="s">
        <v>443</v>
      </c>
      <c r="F226" s="1" t="s">
        <v>444</v>
      </c>
      <c r="G226" s="1"/>
    </row>
    <row r="227" spans="1:7" ht="15.75" customHeight="1">
      <c r="A227" s="4" t="s">
        <v>875</v>
      </c>
      <c r="B227" s="4">
        <v>2018</v>
      </c>
      <c r="C227" s="4" t="s">
        <v>876</v>
      </c>
      <c r="D227" s="14" t="s">
        <v>877</v>
      </c>
      <c r="E227" s="4" t="s">
        <v>443</v>
      </c>
      <c r="F227" s="1" t="s">
        <v>444</v>
      </c>
      <c r="G227" s="1"/>
    </row>
    <row r="228" spans="1:7" ht="15.75" customHeight="1">
      <c r="A228" s="4" t="s">
        <v>878</v>
      </c>
      <c r="B228" s="4">
        <v>2007</v>
      </c>
      <c r="C228" s="4" t="s">
        <v>879</v>
      </c>
      <c r="D228" s="14" t="s">
        <v>880</v>
      </c>
      <c r="E228" s="4" t="s">
        <v>443</v>
      </c>
      <c r="F228" s="1" t="s">
        <v>534</v>
      </c>
      <c r="G228" s="1"/>
    </row>
    <row r="229" spans="1:7" ht="15.75" customHeight="1">
      <c r="A229" s="4" t="s">
        <v>881</v>
      </c>
      <c r="B229" s="4">
        <v>2015</v>
      </c>
      <c r="C229" s="4" t="s">
        <v>882</v>
      </c>
      <c r="D229" s="14" t="s">
        <v>883</v>
      </c>
      <c r="E229" s="4" t="s">
        <v>443</v>
      </c>
      <c r="F229" s="1" t="s">
        <v>444</v>
      </c>
      <c r="G229" s="1"/>
    </row>
    <row r="230" spans="1:7" ht="15.75" customHeight="1">
      <c r="A230" s="4" t="s">
        <v>884</v>
      </c>
      <c r="B230" s="4">
        <v>2015</v>
      </c>
      <c r="C230" s="4" t="s">
        <v>885</v>
      </c>
      <c r="D230" s="14" t="s">
        <v>886</v>
      </c>
      <c r="E230" s="4" t="s">
        <v>443</v>
      </c>
      <c r="F230" s="1" t="s">
        <v>444</v>
      </c>
      <c r="G230" s="1"/>
    </row>
    <row r="231" spans="1:7" ht="15.75" customHeight="1">
      <c r="A231" s="4" t="s">
        <v>887</v>
      </c>
      <c r="B231" s="4">
        <v>2019</v>
      </c>
      <c r="C231" s="4" t="s">
        <v>888</v>
      </c>
      <c r="D231" s="14" t="s">
        <v>889</v>
      </c>
      <c r="E231" s="4" t="s">
        <v>443</v>
      </c>
      <c r="F231" s="1" t="s">
        <v>444</v>
      </c>
      <c r="G231" s="1"/>
    </row>
    <row r="232" spans="1:7" ht="15.75" customHeight="1">
      <c r="A232" s="4" t="s">
        <v>890</v>
      </c>
      <c r="B232" s="4">
        <v>2013</v>
      </c>
      <c r="C232" s="4" t="s">
        <v>891</v>
      </c>
      <c r="D232" s="14" t="s">
        <v>892</v>
      </c>
      <c r="E232" s="4" t="s">
        <v>443</v>
      </c>
      <c r="F232" s="1" t="s">
        <v>444</v>
      </c>
      <c r="G232" s="1"/>
    </row>
    <row r="233" spans="1:7" ht="15.75" customHeight="1">
      <c r="A233" s="4" t="s">
        <v>893</v>
      </c>
      <c r="B233" s="4">
        <v>2020</v>
      </c>
      <c r="C233" s="4" t="s">
        <v>894</v>
      </c>
      <c r="D233" s="14" t="s">
        <v>895</v>
      </c>
      <c r="E233" s="4" t="s">
        <v>443</v>
      </c>
      <c r="F233" s="1" t="s">
        <v>534</v>
      </c>
      <c r="G233" s="1"/>
    </row>
    <row r="234" spans="1:7" ht="15.75" customHeight="1">
      <c r="A234" s="4" t="s">
        <v>896</v>
      </c>
      <c r="B234" s="4">
        <v>2022</v>
      </c>
      <c r="C234" s="4" t="s">
        <v>897</v>
      </c>
      <c r="D234" s="14" t="s">
        <v>898</v>
      </c>
      <c r="E234" s="4" t="s">
        <v>443</v>
      </c>
      <c r="F234" s="1" t="s">
        <v>444</v>
      </c>
      <c r="G234" s="1"/>
    </row>
    <row r="235" spans="1:7" ht="15.75" customHeight="1">
      <c r="A235" s="4" t="s">
        <v>899</v>
      </c>
      <c r="B235" s="4">
        <v>2016</v>
      </c>
      <c r="C235" s="4" t="s">
        <v>900</v>
      </c>
      <c r="D235" s="14" t="s">
        <v>901</v>
      </c>
      <c r="E235" s="4" t="s">
        <v>443</v>
      </c>
      <c r="F235" s="1" t="s">
        <v>444</v>
      </c>
      <c r="G235" s="1"/>
    </row>
    <row r="236" spans="1:7" ht="15.75" customHeight="1">
      <c r="A236" s="4" t="s">
        <v>902</v>
      </c>
      <c r="B236" s="4">
        <v>2008</v>
      </c>
      <c r="C236" s="4" t="s">
        <v>903</v>
      </c>
      <c r="D236" s="14" t="s">
        <v>904</v>
      </c>
      <c r="E236" s="4" t="s">
        <v>443</v>
      </c>
      <c r="F236" s="1" t="s">
        <v>508</v>
      </c>
      <c r="G236" s="1"/>
    </row>
    <row r="237" spans="1:7" ht="15.75" customHeight="1">
      <c r="A237" s="4" t="s">
        <v>905</v>
      </c>
      <c r="B237" s="4">
        <v>2019</v>
      </c>
      <c r="C237" s="4" t="s">
        <v>906</v>
      </c>
      <c r="D237" s="14" t="s">
        <v>907</v>
      </c>
      <c r="E237" s="4" t="s">
        <v>443</v>
      </c>
      <c r="F237" s="1" t="s">
        <v>534</v>
      </c>
      <c r="G237" s="1"/>
    </row>
    <row r="238" spans="1:7" ht="15.75" customHeight="1">
      <c r="A238" s="4" t="s">
        <v>905</v>
      </c>
      <c r="B238" s="4">
        <v>2018</v>
      </c>
      <c r="C238" s="4" t="s">
        <v>908</v>
      </c>
      <c r="D238" s="14" t="s">
        <v>909</v>
      </c>
      <c r="E238" s="4" t="s">
        <v>443</v>
      </c>
      <c r="F238" s="1" t="s">
        <v>444</v>
      </c>
      <c r="G238" s="1"/>
    </row>
    <row r="239" spans="1:7" ht="15.75" customHeight="1">
      <c r="A239" s="4" t="s">
        <v>286</v>
      </c>
      <c r="B239" s="4">
        <v>2003</v>
      </c>
      <c r="C239" s="4" t="s">
        <v>910</v>
      </c>
      <c r="D239" s="14" t="s">
        <v>911</v>
      </c>
      <c r="E239" s="4" t="s">
        <v>443</v>
      </c>
      <c r="F239" s="1" t="s">
        <v>444</v>
      </c>
      <c r="G239" s="1"/>
    </row>
    <row r="240" spans="1:7" ht="15.75" customHeight="1">
      <c r="A240" s="4" t="s">
        <v>912</v>
      </c>
      <c r="B240" s="4">
        <v>2000</v>
      </c>
      <c r="C240" s="4" t="s">
        <v>913</v>
      </c>
      <c r="D240" s="14" t="s">
        <v>914</v>
      </c>
      <c r="E240" s="4" t="s">
        <v>443</v>
      </c>
      <c r="F240" s="1" t="s">
        <v>444</v>
      </c>
      <c r="G240" s="1"/>
    </row>
    <row r="241" spans="1:7" ht="15.75" customHeight="1">
      <c r="A241" s="4" t="s">
        <v>915</v>
      </c>
      <c r="B241" s="4">
        <v>2019</v>
      </c>
      <c r="C241" s="4" t="s">
        <v>916</v>
      </c>
      <c r="D241" s="14" t="s">
        <v>917</v>
      </c>
      <c r="E241" s="4" t="s">
        <v>443</v>
      </c>
      <c r="F241" s="1" t="s">
        <v>444</v>
      </c>
      <c r="G241" s="1"/>
    </row>
    <row r="242" spans="1:7" ht="15.75" customHeight="1">
      <c r="A242" s="4" t="s">
        <v>918</v>
      </c>
      <c r="B242" s="4">
        <v>2021</v>
      </c>
      <c r="C242" s="4" t="s">
        <v>919</v>
      </c>
      <c r="D242" s="14" t="s">
        <v>920</v>
      </c>
      <c r="E242" s="4" t="s">
        <v>443</v>
      </c>
      <c r="F242" s="1" t="s">
        <v>534</v>
      </c>
      <c r="G242" s="1"/>
    </row>
    <row r="243" spans="1:7" ht="15.75" customHeight="1">
      <c r="A243" s="4" t="s">
        <v>921</v>
      </c>
      <c r="B243" s="4">
        <v>2002</v>
      </c>
      <c r="C243" s="4" t="s">
        <v>922</v>
      </c>
      <c r="D243" s="14" t="s">
        <v>923</v>
      </c>
      <c r="E243" s="4" t="s">
        <v>443</v>
      </c>
      <c r="F243" s="1" t="s">
        <v>534</v>
      </c>
      <c r="G243" s="1"/>
    </row>
    <row r="244" spans="1:7" ht="15.75" customHeight="1">
      <c r="A244" s="4" t="s">
        <v>924</v>
      </c>
      <c r="B244" s="4">
        <v>2005</v>
      </c>
      <c r="C244" s="4" t="s">
        <v>925</v>
      </c>
      <c r="D244" s="14" t="s">
        <v>926</v>
      </c>
      <c r="E244" s="4" t="s">
        <v>443</v>
      </c>
      <c r="F244" s="1" t="s">
        <v>444</v>
      </c>
      <c r="G244" s="1"/>
    </row>
    <row r="245" spans="1:7" ht="15.75" customHeight="1">
      <c r="A245" s="4" t="s">
        <v>927</v>
      </c>
      <c r="B245" s="4">
        <v>2014</v>
      </c>
      <c r="C245" s="4" t="s">
        <v>928</v>
      </c>
      <c r="D245" s="14" t="s">
        <v>929</v>
      </c>
      <c r="E245" s="4" t="s">
        <v>443</v>
      </c>
      <c r="F245" s="1" t="s">
        <v>444</v>
      </c>
      <c r="G245" s="1"/>
    </row>
    <row r="246" spans="1:7" ht="15.75" customHeight="1">
      <c r="A246" s="4" t="s">
        <v>930</v>
      </c>
      <c r="B246" s="4">
        <v>2018</v>
      </c>
      <c r="C246" s="4" t="s">
        <v>931</v>
      </c>
      <c r="D246" s="14" t="s">
        <v>932</v>
      </c>
      <c r="E246" s="4" t="s">
        <v>443</v>
      </c>
      <c r="F246" s="1" t="s">
        <v>444</v>
      </c>
      <c r="G246" s="1"/>
    </row>
    <row r="247" spans="1:7" ht="15.75" customHeight="1">
      <c r="A247" s="4" t="s">
        <v>933</v>
      </c>
      <c r="B247" s="4">
        <v>2017</v>
      </c>
      <c r="C247" s="4" t="s">
        <v>934</v>
      </c>
      <c r="D247" s="14" t="s">
        <v>935</v>
      </c>
      <c r="E247" s="4" t="s">
        <v>443</v>
      </c>
      <c r="F247" s="1" t="s">
        <v>444</v>
      </c>
      <c r="G247" s="1"/>
    </row>
    <row r="248" spans="1:7" ht="15.75" customHeight="1">
      <c r="A248" s="4" t="s">
        <v>936</v>
      </c>
      <c r="B248" s="4">
        <v>2018</v>
      </c>
      <c r="C248" s="4" t="s">
        <v>937</v>
      </c>
      <c r="D248" s="14" t="s">
        <v>938</v>
      </c>
      <c r="E248" s="4" t="s">
        <v>443</v>
      </c>
      <c r="F248" s="1" t="s">
        <v>444</v>
      </c>
      <c r="G248" s="1"/>
    </row>
    <row r="249" spans="1:7" ht="15.75" customHeight="1">
      <c r="A249" s="4" t="s">
        <v>939</v>
      </c>
      <c r="B249" s="4">
        <v>2022</v>
      </c>
      <c r="C249" s="4" t="s">
        <v>940</v>
      </c>
      <c r="D249" s="14" t="s">
        <v>941</v>
      </c>
      <c r="E249" s="4" t="s">
        <v>443</v>
      </c>
      <c r="F249" s="1" t="s">
        <v>444</v>
      </c>
      <c r="G249" s="1"/>
    </row>
    <row r="250" spans="1:7" ht="15.75" customHeight="1">
      <c r="A250" s="4" t="s">
        <v>942</v>
      </c>
      <c r="B250" s="4">
        <v>2011</v>
      </c>
      <c r="C250" s="4" t="s">
        <v>943</v>
      </c>
      <c r="D250" s="14" t="s">
        <v>944</v>
      </c>
      <c r="E250" s="4" t="s">
        <v>443</v>
      </c>
      <c r="F250" s="1" t="s">
        <v>444</v>
      </c>
      <c r="G250" s="1"/>
    </row>
    <row r="251" spans="1:7" ht="15.75" customHeight="1">
      <c r="A251" s="4" t="s">
        <v>945</v>
      </c>
      <c r="B251" s="4">
        <v>2019</v>
      </c>
      <c r="C251" s="4" t="s">
        <v>946</v>
      </c>
      <c r="D251" s="14" t="s">
        <v>947</v>
      </c>
      <c r="E251" s="4" t="s">
        <v>443</v>
      </c>
      <c r="F251" s="1" t="s">
        <v>444</v>
      </c>
      <c r="G251" s="1"/>
    </row>
    <row r="252" spans="1:7" ht="15.75" customHeight="1">
      <c r="A252" s="4" t="s">
        <v>948</v>
      </c>
      <c r="B252" s="4">
        <v>1998</v>
      </c>
      <c r="C252" s="4" t="s">
        <v>949</v>
      </c>
      <c r="D252" s="14" t="s">
        <v>950</v>
      </c>
      <c r="E252" s="4" t="s">
        <v>443</v>
      </c>
      <c r="F252" s="1" t="s">
        <v>508</v>
      </c>
      <c r="G252" s="1"/>
    </row>
    <row r="253" spans="1:7" ht="15.75" customHeight="1">
      <c r="A253" s="4" t="s">
        <v>175</v>
      </c>
      <c r="B253" s="4">
        <v>1999</v>
      </c>
      <c r="C253" s="4" t="s">
        <v>951</v>
      </c>
      <c r="D253" s="14" t="s">
        <v>952</v>
      </c>
      <c r="E253" s="4" t="s">
        <v>443</v>
      </c>
      <c r="F253" s="1" t="s">
        <v>534</v>
      </c>
      <c r="G253" s="1" t="s">
        <v>953</v>
      </c>
    </row>
    <row r="254" spans="1:7" ht="15.75" customHeight="1">
      <c r="A254" s="4" t="s">
        <v>175</v>
      </c>
      <c r="B254" s="4">
        <v>2002</v>
      </c>
      <c r="C254" s="4" t="s">
        <v>954</v>
      </c>
      <c r="D254" s="14" t="s">
        <v>955</v>
      </c>
      <c r="E254" s="4" t="s">
        <v>443</v>
      </c>
      <c r="F254" s="1" t="s">
        <v>444</v>
      </c>
      <c r="G254" s="1"/>
    </row>
    <row r="255" spans="1:7" ht="15.75" customHeight="1">
      <c r="A255" s="4" t="s">
        <v>177</v>
      </c>
      <c r="B255" s="4">
        <v>2008</v>
      </c>
      <c r="C255" s="4" t="s">
        <v>956</v>
      </c>
      <c r="D255" s="14" t="s">
        <v>957</v>
      </c>
      <c r="E255" s="4" t="s">
        <v>443</v>
      </c>
      <c r="F255" s="1" t="s">
        <v>444</v>
      </c>
      <c r="G255" s="1"/>
    </row>
    <row r="256" spans="1:7" ht="15.75" customHeight="1">
      <c r="A256" s="4" t="s">
        <v>177</v>
      </c>
      <c r="B256" s="4">
        <v>2006</v>
      </c>
      <c r="C256" s="4" t="s">
        <v>958</v>
      </c>
      <c r="D256" s="14" t="s">
        <v>959</v>
      </c>
      <c r="E256" s="4" t="s">
        <v>443</v>
      </c>
      <c r="F256" s="1" t="s">
        <v>444</v>
      </c>
      <c r="G256" s="1" t="s">
        <v>831</v>
      </c>
    </row>
    <row r="257" spans="1:7" ht="15.75" customHeight="1">
      <c r="A257" s="4" t="s">
        <v>960</v>
      </c>
      <c r="B257" s="4">
        <v>2022</v>
      </c>
      <c r="C257" s="4" t="s">
        <v>961</v>
      </c>
      <c r="D257" s="14" t="s">
        <v>962</v>
      </c>
      <c r="E257" s="4" t="s">
        <v>443</v>
      </c>
      <c r="F257" s="1" t="s">
        <v>444</v>
      </c>
      <c r="G257" s="1" t="s">
        <v>963</v>
      </c>
    </row>
    <row r="258" spans="1:7" ht="15.75" customHeight="1">
      <c r="A258" s="4" t="s">
        <v>960</v>
      </c>
      <c r="B258" s="4">
        <v>2022</v>
      </c>
      <c r="C258" s="4" t="s">
        <v>964</v>
      </c>
      <c r="D258" s="14" t="s">
        <v>965</v>
      </c>
      <c r="E258" s="4" t="s">
        <v>443</v>
      </c>
      <c r="F258" s="1" t="s">
        <v>444</v>
      </c>
      <c r="G258" s="1" t="s">
        <v>966</v>
      </c>
    </row>
    <row r="259" spans="1:7" ht="15.75" customHeight="1">
      <c r="A259" s="4" t="s">
        <v>967</v>
      </c>
      <c r="B259" s="4">
        <v>2021</v>
      </c>
      <c r="C259" s="4" t="s">
        <v>968</v>
      </c>
      <c r="D259" s="14" t="s">
        <v>969</v>
      </c>
      <c r="E259" s="4" t="s">
        <v>443</v>
      </c>
      <c r="F259" s="1" t="s">
        <v>508</v>
      </c>
      <c r="G259" s="1"/>
    </row>
    <row r="260" spans="1:7" ht="15.75" customHeight="1">
      <c r="A260" s="4" t="s">
        <v>970</v>
      </c>
      <c r="B260" s="4">
        <v>2019</v>
      </c>
      <c r="C260" s="4" t="s">
        <v>971</v>
      </c>
      <c r="D260" s="14" t="s">
        <v>972</v>
      </c>
      <c r="E260" s="4" t="s">
        <v>443</v>
      </c>
      <c r="F260" s="1" t="s">
        <v>444</v>
      </c>
      <c r="G260" s="1"/>
    </row>
    <row r="261" spans="1:7" ht="15.75" customHeight="1">
      <c r="A261" s="4" t="s">
        <v>973</v>
      </c>
      <c r="B261" s="4">
        <v>2021</v>
      </c>
      <c r="C261" s="4" t="s">
        <v>974</v>
      </c>
      <c r="D261" s="14" t="s">
        <v>975</v>
      </c>
      <c r="E261" s="4" t="s">
        <v>443</v>
      </c>
      <c r="F261" s="1" t="s">
        <v>444</v>
      </c>
      <c r="G261" s="1"/>
    </row>
    <row r="262" spans="1:7" ht="15.75" customHeight="1">
      <c r="A262" s="4" t="s">
        <v>976</v>
      </c>
      <c r="B262" s="4">
        <v>2020</v>
      </c>
      <c r="C262" s="4" t="s">
        <v>977</v>
      </c>
      <c r="D262" s="14" t="s">
        <v>978</v>
      </c>
      <c r="E262" s="4" t="s">
        <v>443</v>
      </c>
      <c r="F262" s="1" t="s">
        <v>636</v>
      </c>
      <c r="G262" s="1"/>
    </row>
    <row r="263" spans="1:7" ht="15.75" customHeight="1">
      <c r="A263" s="4" t="s">
        <v>979</v>
      </c>
      <c r="B263" s="4">
        <v>1994</v>
      </c>
      <c r="C263" s="4" t="s">
        <v>980</v>
      </c>
      <c r="D263" s="14" t="s">
        <v>981</v>
      </c>
      <c r="E263" s="4" t="s">
        <v>443</v>
      </c>
      <c r="F263" s="1" t="s">
        <v>444</v>
      </c>
      <c r="G263" s="1"/>
    </row>
    <row r="264" spans="1:7" ht="15.75" customHeight="1">
      <c r="A264" s="4" t="s">
        <v>982</v>
      </c>
      <c r="B264" s="4">
        <v>2014</v>
      </c>
      <c r="C264" s="4" t="s">
        <v>983</v>
      </c>
      <c r="D264" s="14" t="s">
        <v>984</v>
      </c>
      <c r="E264" s="4" t="s">
        <v>443</v>
      </c>
      <c r="F264" s="1" t="s">
        <v>444</v>
      </c>
      <c r="G264" s="1"/>
    </row>
    <row r="265" spans="1:7" ht="15.75" customHeight="1">
      <c r="A265" s="4" t="s">
        <v>985</v>
      </c>
      <c r="B265" s="4">
        <v>2007</v>
      </c>
      <c r="C265" s="4" t="s">
        <v>986</v>
      </c>
      <c r="D265" s="14" t="s">
        <v>987</v>
      </c>
      <c r="E265" s="4" t="s">
        <v>443</v>
      </c>
      <c r="F265" s="1" t="s">
        <v>444</v>
      </c>
      <c r="G265" s="1"/>
    </row>
    <row r="266" spans="1:7" ht="15.75" customHeight="1">
      <c r="A266" s="4" t="s">
        <v>988</v>
      </c>
      <c r="B266" s="4">
        <v>2020</v>
      </c>
      <c r="C266" s="4" t="s">
        <v>989</v>
      </c>
      <c r="D266" s="14" t="s">
        <v>990</v>
      </c>
      <c r="E266" s="4" t="s">
        <v>443</v>
      </c>
      <c r="F266" s="1" t="s">
        <v>534</v>
      </c>
      <c r="G266" s="1"/>
    </row>
    <row r="267" spans="1:7" ht="15.75" customHeight="1">
      <c r="A267" s="4" t="s">
        <v>991</v>
      </c>
      <c r="B267" s="4">
        <v>2015</v>
      </c>
      <c r="C267" s="4" t="s">
        <v>992</v>
      </c>
      <c r="D267" s="14" t="s">
        <v>993</v>
      </c>
      <c r="E267" s="4" t="s">
        <v>443</v>
      </c>
      <c r="F267" s="1" t="s">
        <v>508</v>
      </c>
      <c r="G267" s="1"/>
    </row>
    <row r="268" spans="1:7" ht="15.75" customHeight="1">
      <c r="A268" s="4" t="s">
        <v>994</v>
      </c>
      <c r="B268" s="4">
        <v>2023</v>
      </c>
      <c r="C268" s="4" t="s">
        <v>995</v>
      </c>
      <c r="D268" s="14" t="s">
        <v>996</v>
      </c>
      <c r="E268" s="4" t="s">
        <v>443</v>
      </c>
      <c r="F268" s="1" t="s">
        <v>534</v>
      </c>
      <c r="G268" s="1"/>
    </row>
    <row r="269" spans="1:7" ht="15.75" customHeight="1">
      <c r="A269" s="4" t="s">
        <v>195</v>
      </c>
      <c r="B269" s="4">
        <v>1991</v>
      </c>
      <c r="C269" s="4" t="s">
        <v>997</v>
      </c>
      <c r="D269" s="14" t="s">
        <v>998</v>
      </c>
      <c r="E269" s="4" t="s">
        <v>443</v>
      </c>
      <c r="F269" s="1" t="s">
        <v>444</v>
      </c>
      <c r="G269" s="1"/>
    </row>
    <row r="270" spans="1:7" ht="15.75" customHeight="1">
      <c r="A270" s="4" t="s">
        <v>195</v>
      </c>
      <c r="B270" s="4">
        <v>1998</v>
      </c>
      <c r="C270" s="4" t="s">
        <v>999</v>
      </c>
      <c r="D270" s="14" t="s">
        <v>1000</v>
      </c>
      <c r="E270" s="4" t="s">
        <v>443</v>
      </c>
      <c r="F270" s="1" t="s">
        <v>444</v>
      </c>
      <c r="G270" s="1"/>
    </row>
    <row r="271" spans="1:7" ht="15.75" customHeight="1">
      <c r="A271" s="4" t="s">
        <v>195</v>
      </c>
      <c r="B271" s="4">
        <v>2001</v>
      </c>
      <c r="C271" s="4" t="s">
        <v>1001</v>
      </c>
      <c r="D271" s="14" t="s">
        <v>1002</v>
      </c>
      <c r="E271" s="4" t="s">
        <v>443</v>
      </c>
      <c r="F271" s="1" t="s">
        <v>444</v>
      </c>
      <c r="G271" s="1"/>
    </row>
    <row r="272" spans="1:7" ht="15.75" customHeight="1">
      <c r="A272" s="4" t="s">
        <v>1003</v>
      </c>
      <c r="B272" s="4">
        <v>2003</v>
      </c>
      <c r="C272" s="4" t="s">
        <v>1004</v>
      </c>
      <c r="D272" s="14" t="s">
        <v>1005</v>
      </c>
      <c r="E272" s="4" t="s">
        <v>443</v>
      </c>
      <c r="F272" s="1" t="s">
        <v>444</v>
      </c>
      <c r="G272" s="1"/>
    </row>
    <row r="273" spans="1:7" ht="15.75" customHeight="1">
      <c r="A273" s="4" t="s">
        <v>1006</v>
      </c>
      <c r="B273" s="4">
        <v>2018</v>
      </c>
      <c r="C273" s="4" t="s">
        <v>1007</v>
      </c>
      <c r="D273" s="14" t="s">
        <v>1008</v>
      </c>
      <c r="E273" s="4" t="s">
        <v>443</v>
      </c>
      <c r="F273" s="1" t="s">
        <v>444</v>
      </c>
      <c r="G273" s="1"/>
    </row>
    <row r="274" spans="1:7" ht="15.75" customHeight="1">
      <c r="A274" s="4" t="s">
        <v>1009</v>
      </c>
      <c r="B274" s="4">
        <v>2011</v>
      </c>
      <c r="C274" s="4" t="s">
        <v>1010</v>
      </c>
      <c r="D274" s="14" t="s">
        <v>1011</v>
      </c>
      <c r="E274" s="4" t="s">
        <v>443</v>
      </c>
      <c r="F274" s="1" t="s">
        <v>444</v>
      </c>
      <c r="G274" s="1"/>
    </row>
    <row r="275" spans="1:7" ht="15.75" customHeight="1">
      <c r="A275" s="4" t="s">
        <v>197</v>
      </c>
      <c r="B275" s="4">
        <v>2002</v>
      </c>
      <c r="C275" s="4" t="s">
        <v>1012</v>
      </c>
      <c r="D275" s="14" t="s">
        <v>1013</v>
      </c>
      <c r="E275" s="4" t="s">
        <v>443</v>
      </c>
      <c r="F275" s="1" t="s">
        <v>534</v>
      </c>
      <c r="G275" s="1"/>
    </row>
    <row r="276" spans="1:7" ht="15.75" customHeight="1">
      <c r="A276" s="4" t="s">
        <v>197</v>
      </c>
      <c r="B276" s="4">
        <v>2001</v>
      </c>
      <c r="C276" s="4" t="s">
        <v>1014</v>
      </c>
      <c r="D276" s="14" t="s">
        <v>1015</v>
      </c>
      <c r="E276" s="4" t="s">
        <v>443</v>
      </c>
      <c r="F276" s="1" t="s">
        <v>444</v>
      </c>
      <c r="G276" s="1"/>
    </row>
    <row r="277" spans="1:7" ht="15.75" customHeight="1">
      <c r="A277" s="4" t="s">
        <v>197</v>
      </c>
      <c r="B277" s="4">
        <v>2011</v>
      </c>
      <c r="C277" s="4" t="s">
        <v>1016</v>
      </c>
      <c r="D277" s="14" t="s">
        <v>1017</v>
      </c>
      <c r="E277" s="4" t="s">
        <v>443</v>
      </c>
      <c r="F277" s="1" t="s">
        <v>444</v>
      </c>
      <c r="G277" s="1"/>
    </row>
    <row r="278" spans="1:7" ht="15.75" customHeight="1">
      <c r="A278" s="4" t="s">
        <v>197</v>
      </c>
      <c r="B278" s="4">
        <v>2012</v>
      </c>
      <c r="C278" s="4" t="s">
        <v>1018</v>
      </c>
      <c r="D278" s="14" t="s">
        <v>1019</v>
      </c>
      <c r="E278" s="4" t="s">
        <v>443</v>
      </c>
      <c r="F278" s="1" t="s">
        <v>444</v>
      </c>
      <c r="G278" s="1"/>
    </row>
    <row r="279" spans="1:7" ht="15.75" customHeight="1">
      <c r="A279" s="4" t="s">
        <v>1020</v>
      </c>
      <c r="B279" s="4">
        <v>2017</v>
      </c>
      <c r="C279" s="4" t="s">
        <v>1021</v>
      </c>
      <c r="D279" s="14" t="s">
        <v>1022</v>
      </c>
      <c r="E279" s="4" t="s">
        <v>443</v>
      </c>
      <c r="F279" s="1" t="s">
        <v>444</v>
      </c>
      <c r="G279" s="1"/>
    </row>
    <row r="280" spans="1:7" ht="15.75" customHeight="1">
      <c r="A280" s="4" t="s">
        <v>1023</v>
      </c>
      <c r="B280" s="4">
        <v>2019</v>
      </c>
      <c r="C280" s="4" t="s">
        <v>1024</v>
      </c>
      <c r="D280" s="14" t="s">
        <v>1025</v>
      </c>
      <c r="E280" s="4" t="s">
        <v>443</v>
      </c>
      <c r="F280" s="1" t="s">
        <v>444</v>
      </c>
      <c r="G280" s="1"/>
    </row>
    <row r="281" spans="1:7" ht="15.75" customHeight="1">
      <c r="A281" s="4" t="s">
        <v>151</v>
      </c>
      <c r="B281" s="4">
        <v>2024</v>
      </c>
      <c r="C281" s="4" t="s">
        <v>1026</v>
      </c>
      <c r="D281" s="4" t="s">
        <v>1027</v>
      </c>
      <c r="E281" s="4" t="s">
        <v>443</v>
      </c>
      <c r="F281" s="1" t="s">
        <v>444</v>
      </c>
      <c r="G281" s="4" t="s">
        <v>438</v>
      </c>
    </row>
    <row r="282" spans="1:7" ht="15.75" customHeight="1">
      <c r="A282" s="4" t="s">
        <v>1028</v>
      </c>
      <c r="B282" s="4">
        <v>2024</v>
      </c>
      <c r="C282" s="4" t="s">
        <v>1029</v>
      </c>
      <c r="D282" s="4" t="s">
        <v>1030</v>
      </c>
      <c r="E282" s="4" t="s">
        <v>443</v>
      </c>
      <c r="F282" s="1" t="s">
        <v>444</v>
      </c>
      <c r="G282" s="4" t="s">
        <v>438</v>
      </c>
    </row>
    <row r="283" spans="1:7" ht="15.75" customHeight="1">
      <c r="A283" s="4" t="s">
        <v>679</v>
      </c>
      <c r="B283" s="4">
        <v>2024</v>
      </c>
      <c r="C283" s="4" t="s">
        <v>1031</v>
      </c>
      <c r="D283" s="4" t="s">
        <v>1032</v>
      </c>
      <c r="E283" s="4" t="s">
        <v>443</v>
      </c>
      <c r="F283" s="1" t="s">
        <v>444</v>
      </c>
      <c r="G283" s="1" t="s">
        <v>1033</v>
      </c>
    </row>
    <row r="284" spans="1:7" ht="15.75" customHeight="1">
      <c r="A284" s="4" t="s">
        <v>1034</v>
      </c>
      <c r="B284" s="4">
        <v>2024</v>
      </c>
      <c r="C284" s="4" t="s">
        <v>1035</v>
      </c>
      <c r="D284" s="4" t="s">
        <v>1036</v>
      </c>
      <c r="E284" s="4" t="s">
        <v>443</v>
      </c>
      <c r="F284" s="1" t="s">
        <v>444</v>
      </c>
      <c r="G284" s="1" t="s">
        <v>1037</v>
      </c>
    </row>
    <row r="285" spans="1:7" ht="15.75" customHeight="1">
      <c r="A285" s="4" t="s">
        <v>1038</v>
      </c>
      <c r="B285" s="4">
        <v>2024</v>
      </c>
      <c r="C285" s="4" t="s">
        <v>1039</v>
      </c>
      <c r="D285" s="4" t="s">
        <v>1040</v>
      </c>
      <c r="E285" s="4" t="s">
        <v>443</v>
      </c>
      <c r="F285" s="1" t="s">
        <v>444</v>
      </c>
      <c r="G285" s="1" t="s">
        <v>1041</v>
      </c>
    </row>
    <row r="286" spans="1:7" ht="15.75" customHeight="1">
      <c r="A286" s="4" t="s">
        <v>302</v>
      </c>
      <c r="B286" s="4" t="s">
        <v>302</v>
      </c>
      <c r="D286" s="14" t="s">
        <v>302</v>
      </c>
      <c r="G286" s="1"/>
    </row>
    <row r="287" spans="1:7" ht="15.75" customHeight="1">
      <c r="A287" s="4" t="s">
        <v>302</v>
      </c>
      <c r="B287" s="4" t="s">
        <v>302</v>
      </c>
      <c r="D287" s="14" t="s">
        <v>302</v>
      </c>
      <c r="G287" s="1"/>
    </row>
    <row r="288" spans="1:7" ht="15.75" customHeight="1">
      <c r="A288" s="4" t="s">
        <v>302</v>
      </c>
      <c r="B288" s="4" t="s">
        <v>302</v>
      </c>
      <c r="D288" s="14" t="s">
        <v>302</v>
      </c>
      <c r="G288" s="1"/>
    </row>
    <row r="289" spans="1:7" ht="15.75" customHeight="1">
      <c r="A289" s="4" t="s">
        <v>302</v>
      </c>
      <c r="B289" s="4" t="s">
        <v>302</v>
      </c>
      <c r="D289" s="14" t="s">
        <v>302</v>
      </c>
      <c r="G289" s="1"/>
    </row>
    <row r="290" spans="1:7" ht="15.75" customHeight="1">
      <c r="A290" s="4" t="s">
        <v>302</v>
      </c>
      <c r="B290" s="4" t="s">
        <v>302</v>
      </c>
      <c r="D290" s="14" t="s">
        <v>302</v>
      </c>
      <c r="G290" s="1"/>
    </row>
    <row r="291" spans="1:7" ht="15.75" customHeight="1">
      <c r="A291" s="4" t="s">
        <v>302</v>
      </c>
      <c r="B291" s="4" t="s">
        <v>302</v>
      </c>
      <c r="D291" s="14" t="s">
        <v>302</v>
      </c>
      <c r="G291" s="1"/>
    </row>
    <row r="292" spans="1:7" ht="15.75" customHeight="1">
      <c r="A292" s="4" t="s">
        <v>302</v>
      </c>
      <c r="B292" s="4" t="s">
        <v>302</v>
      </c>
      <c r="D292" s="14" t="s">
        <v>302</v>
      </c>
      <c r="G292" s="1"/>
    </row>
    <row r="293" spans="1:7" ht="15.75" customHeight="1">
      <c r="A293" s="4" t="s">
        <v>302</v>
      </c>
      <c r="B293" s="4" t="s">
        <v>302</v>
      </c>
      <c r="D293" s="14" t="s">
        <v>302</v>
      </c>
      <c r="G293" s="1"/>
    </row>
    <row r="294" spans="1:7" ht="15.75" customHeight="1">
      <c r="A294" s="4" t="s">
        <v>302</v>
      </c>
      <c r="B294" s="4" t="s">
        <v>302</v>
      </c>
      <c r="D294" s="14" t="s">
        <v>302</v>
      </c>
      <c r="G294" s="1"/>
    </row>
    <row r="295" spans="1:7" ht="15.75" customHeight="1">
      <c r="A295" s="4" t="s">
        <v>302</v>
      </c>
      <c r="B295" s="4" t="s">
        <v>302</v>
      </c>
      <c r="D295" s="14" t="s">
        <v>302</v>
      </c>
      <c r="G295" s="1"/>
    </row>
    <row r="296" spans="1:7" ht="15.75" customHeight="1">
      <c r="A296" s="4" t="s">
        <v>302</v>
      </c>
      <c r="B296" s="4" t="s">
        <v>302</v>
      </c>
      <c r="D296" s="14" t="s">
        <v>302</v>
      </c>
      <c r="G296" s="1"/>
    </row>
    <row r="297" spans="1:7" ht="15.75" customHeight="1">
      <c r="A297" s="4" t="s">
        <v>302</v>
      </c>
      <c r="B297" s="4" t="s">
        <v>302</v>
      </c>
      <c r="D297" s="14" t="s">
        <v>302</v>
      </c>
      <c r="G297" s="1"/>
    </row>
    <row r="298" spans="1:7" ht="15.75" customHeight="1">
      <c r="A298" s="4" t="s">
        <v>302</v>
      </c>
      <c r="B298" s="4" t="s">
        <v>302</v>
      </c>
      <c r="D298" s="14" t="s">
        <v>302</v>
      </c>
      <c r="G298" s="1"/>
    </row>
    <row r="299" spans="1:7" ht="15.75" customHeight="1">
      <c r="A299" s="4" t="s">
        <v>302</v>
      </c>
      <c r="B299" s="4" t="s">
        <v>302</v>
      </c>
      <c r="D299" s="14" t="s">
        <v>302</v>
      </c>
      <c r="G299" s="1"/>
    </row>
    <row r="300" spans="1:7" ht="15.75" customHeight="1">
      <c r="A300" s="4" t="s">
        <v>302</v>
      </c>
      <c r="B300" s="4" t="s">
        <v>302</v>
      </c>
      <c r="D300" s="14" t="s">
        <v>302</v>
      </c>
      <c r="G300" s="1"/>
    </row>
    <row r="301" spans="1:7" ht="15.75" customHeight="1">
      <c r="A301" s="4" t="s">
        <v>302</v>
      </c>
      <c r="B301" s="4" t="s">
        <v>302</v>
      </c>
      <c r="D301" s="14" t="s">
        <v>302</v>
      </c>
      <c r="G301" s="1"/>
    </row>
    <row r="302" spans="1:7" ht="15.75" customHeight="1">
      <c r="A302" s="4" t="s">
        <v>302</v>
      </c>
      <c r="B302" s="4" t="s">
        <v>302</v>
      </c>
      <c r="D302" s="14" t="s">
        <v>302</v>
      </c>
      <c r="G302" s="1"/>
    </row>
    <row r="303" spans="1:7" ht="15.75" customHeight="1">
      <c r="A303" s="4" t="s">
        <v>302</v>
      </c>
      <c r="B303" s="4" t="s">
        <v>302</v>
      </c>
      <c r="D303" s="14" t="s">
        <v>302</v>
      </c>
      <c r="G303" s="1"/>
    </row>
    <row r="304" spans="1:7" ht="15.75" customHeight="1">
      <c r="A304" s="4" t="s">
        <v>302</v>
      </c>
      <c r="B304" s="4" t="s">
        <v>302</v>
      </c>
      <c r="D304" s="14" t="s">
        <v>302</v>
      </c>
      <c r="G304" s="1"/>
    </row>
    <row r="305" spans="1:7" ht="15.75" customHeight="1">
      <c r="A305" s="4" t="s">
        <v>302</v>
      </c>
      <c r="B305" s="4" t="s">
        <v>302</v>
      </c>
      <c r="D305" s="14" t="s">
        <v>302</v>
      </c>
      <c r="G305" s="1"/>
    </row>
    <row r="306" spans="1:7" ht="15.75" customHeight="1">
      <c r="A306" s="4" t="s">
        <v>302</v>
      </c>
      <c r="B306" s="4" t="s">
        <v>302</v>
      </c>
      <c r="D306" s="14" t="s">
        <v>302</v>
      </c>
      <c r="G306" s="1"/>
    </row>
    <row r="307" spans="1:7" ht="15.75" customHeight="1">
      <c r="A307" s="4" t="s">
        <v>302</v>
      </c>
      <c r="B307" s="4" t="s">
        <v>302</v>
      </c>
      <c r="D307" s="14" t="s">
        <v>302</v>
      </c>
      <c r="G307" s="1"/>
    </row>
    <row r="308" spans="1:7" ht="15.75" customHeight="1">
      <c r="A308" s="4" t="s">
        <v>302</v>
      </c>
      <c r="B308" s="4" t="s">
        <v>302</v>
      </c>
      <c r="D308" s="14" t="s">
        <v>302</v>
      </c>
      <c r="G308" s="1"/>
    </row>
    <row r="309" spans="1:7" ht="15.75" customHeight="1">
      <c r="A309" s="4" t="s">
        <v>302</v>
      </c>
      <c r="B309" s="4" t="s">
        <v>302</v>
      </c>
      <c r="D309" s="14" t="s">
        <v>302</v>
      </c>
      <c r="G309" s="1"/>
    </row>
    <row r="310" spans="1:7" ht="15.75" customHeight="1">
      <c r="A310" s="4" t="s">
        <v>302</v>
      </c>
      <c r="B310" s="4" t="s">
        <v>302</v>
      </c>
      <c r="D310" s="14" t="s">
        <v>302</v>
      </c>
      <c r="G310" s="1"/>
    </row>
    <row r="311" spans="1:7" ht="15.75" customHeight="1">
      <c r="A311" s="4" t="s">
        <v>302</v>
      </c>
      <c r="B311" s="4" t="s">
        <v>302</v>
      </c>
      <c r="D311" s="14" t="s">
        <v>302</v>
      </c>
      <c r="G311" s="1"/>
    </row>
    <row r="312" spans="1:7" ht="15.75" customHeight="1">
      <c r="A312" s="4" t="s">
        <v>302</v>
      </c>
      <c r="B312" s="4" t="s">
        <v>302</v>
      </c>
      <c r="D312" s="14" t="s">
        <v>302</v>
      </c>
      <c r="G312" s="1"/>
    </row>
    <row r="313" spans="1:7" ht="15.75" customHeight="1">
      <c r="A313" s="4" t="s">
        <v>302</v>
      </c>
      <c r="B313" s="4" t="s">
        <v>302</v>
      </c>
      <c r="D313" s="14" t="s">
        <v>302</v>
      </c>
      <c r="G313" s="1"/>
    </row>
    <row r="314" spans="1:7" ht="15.75" customHeight="1">
      <c r="A314" s="4" t="s">
        <v>302</v>
      </c>
      <c r="B314" s="4" t="s">
        <v>302</v>
      </c>
      <c r="D314" s="14" t="s">
        <v>302</v>
      </c>
      <c r="G314" s="1"/>
    </row>
    <row r="315" spans="1:7" ht="15.75" customHeight="1">
      <c r="A315" s="4" t="s">
        <v>302</v>
      </c>
      <c r="B315" s="4" t="s">
        <v>302</v>
      </c>
      <c r="D315" s="14" t="s">
        <v>302</v>
      </c>
      <c r="G315" s="1"/>
    </row>
    <row r="316" spans="1:7" ht="15.75" customHeight="1">
      <c r="A316" s="4" t="s">
        <v>302</v>
      </c>
      <c r="B316" s="4" t="s">
        <v>302</v>
      </c>
      <c r="D316" s="14" t="s">
        <v>302</v>
      </c>
      <c r="G316" s="1"/>
    </row>
    <row r="317" spans="1:7" ht="15.75" customHeight="1">
      <c r="A317" s="4" t="s">
        <v>302</v>
      </c>
      <c r="B317" s="4" t="s">
        <v>302</v>
      </c>
      <c r="D317" s="14" t="s">
        <v>302</v>
      </c>
      <c r="G317" s="1"/>
    </row>
    <row r="318" spans="1:7" ht="15.75" customHeight="1">
      <c r="A318" s="4" t="s">
        <v>302</v>
      </c>
      <c r="B318" s="4" t="s">
        <v>302</v>
      </c>
      <c r="D318" s="14" t="s">
        <v>302</v>
      </c>
      <c r="G318" s="1"/>
    </row>
    <row r="319" spans="1:7" ht="15.75" customHeight="1">
      <c r="A319" s="4" t="s">
        <v>302</v>
      </c>
      <c r="B319" s="4" t="s">
        <v>302</v>
      </c>
      <c r="D319" s="14" t="s">
        <v>302</v>
      </c>
      <c r="G319" s="1"/>
    </row>
    <row r="320" spans="1:7" ht="15.75" customHeight="1">
      <c r="A320" s="4" t="s">
        <v>302</v>
      </c>
      <c r="B320" s="4" t="s">
        <v>302</v>
      </c>
      <c r="D320" s="14" t="s">
        <v>302</v>
      </c>
      <c r="G320" s="1"/>
    </row>
    <row r="321" spans="1:7" ht="15.75" customHeight="1">
      <c r="A321" s="4" t="s">
        <v>302</v>
      </c>
      <c r="B321" s="4" t="s">
        <v>302</v>
      </c>
      <c r="D321" s="14" t="s">
        <v>302</v>
      </c>
      <c r="G321" s="1"/>
    </row>
    <row r="322" spans="1:7" ht="15.75" customHeight="1">
      <c r="A322" s="4" t="s">
        <v>302</v>
      </c>
      <c r="B322" s="4" t="s">
        <v>302</v>
      </c>
      <c r="D322" s="14" t="s">
        <v>302</v>
      </c>
      <c r="G322" s="1"/>
    </row>
    <row r="323" spans="1:7" ht="15.75" customHeight="1">
      <c r="A323" s="4" t="s">
        <v>302</v>
      </c>
      <c r="B323" s="4" t="s">
        <v>302</v>
      </c>
      <c r="D323" s="14" t="s">
        <v>302</v>
      </c>
      <c r="G323" s="1"/>
    </row>
    <row r="324" spans="1:7" ht="15.75" customHeight="1">
      <c r="A324" s="4" t="s">
        <v>302</v>
      </c>
      <c r="B324" s="4" t="s">
        <v>302</v>
      </c>
      <c r="D324" s="14" t="s">
        <v>302</v>
      </c>
      <c r="G324" s="1"/>
    </row>
    <row r="325" spans="1:7" ht="15.75" customHeight="1">
      <c r="A325" s="4" t="s">
        <v>302</v>
      </c>
      <c r="B325" s="4" t="s">
        <v>302</v>
      </c>
      <c r="D325" s="14" t="s">
        <v>302</v>
      </c>
      <c r="G325" s="1"/>
    </row>
    <row r="326" spans="1:7" ht="15.75" customHeight="1">
      <c r="A326" s="4" t="s">
        <v>302</v>
      </c>
      <c r="B326" s="4" t="s">
        <v>302</v>
      </c>
      <c r="D326" s="14" t="s">
        <v>302</v>
      </c>
      <c r="G326" s="1"/>
    </row>
    <row r="327" spans="1:7" ht="15.75" customHeight="1">
      <c r="A327" s="4" t="s">
        <v>302</v>
      </c>
      <c r="B327" s="4" t="s">
        <v>302</v>
      </c>
      <c r="D327" s="14" t="s">
        <v>302</v>
      </c>
      <c r="G327" s="1"/>
    </row>
    <row r="328" spans="1:7" ht="15.75" customHeight="1">
      <c r="A328" s="4" t="s">
        <v>302</v>
      </c>
      <c r="B328" s="4" t="s">
        <v>302</v>
      </c>
      <c r="D328" s="14" t="s">
        <v>302</v>
      </c>
      <c r="G328" s="1"/>
    </row>
    <row r="329" spans="1:7" ht="15.75" customHeight="1">
      <c r="A329" s="4" t="s">
        <v>302</v>
      </c>
      <c r="B329" s="4" t="s">
        <v>302</v>
      </c>
      <c r="D329" s="14" t="s">
        <v>302</v>
      </c>
      <c r="G329" s="1"/>
    </row>
    <row r="330" spans="1:7" ht="15.75" customHeight="1">
      <c r="A330" s="4" t="s">
        <v>302</v>
      </c>
      <c r="B330" s="4" t="s">
        <v>302</v>
      </c>
      <c r="D330" s="14" t="s">
        <v>302</v>
      </c>
      <c r="G330" s="1"/>
    </row>
    <row r="331" spans="1:7" ht="15.75" customHeight="1">
      <c r="A331" s="4" t="s">
        <v>302</v>
      </c>
      <c r="B331" s="4" t="s">
        <v>302</v>
      </c>
      <c r="D331" s="14" t="s">
        <v>302</v>
      </c>
      <c r="G331" s="1"/>
    </row>
    <row r="332" spans="1:7" ht="15.75" customHeight="1">
      <c r="A332" s="4" t="s">
        <v>302</v>
      </c>
      <c r="B332" s="4" t="s">
        <v>302</v>
      </c>
      <c r="D332" s="14" t="s">
        <v>302</v>
      </c>
      <c r="G332" s="1"/>
    </row>
    <row r="333" spans="1:7" ht="15.75" customHeight="1">
      <c r="A333" s="4" t="s">
        <v>302</v>
      </c>
      <c r="B333" s="4" t="s">
        <v>302</v>
      </c>
      <c r="D333" s="14" t="s">
        <v>302</v>
      </c>
      <c r="G333" s="1"/>
    </row>
    <row r="334" spans="1:7" ht="15.75" customHeight="1">
      <c r="A334" s="4" t="s">
        <v>302</v>
      </c>
      <c r="B334" s="4" t="s">
        <v>302</v>
      </c>
      <c r="D334" s="14" t="s">
        <v>302</v>
      </c>
      <c r="G334" s="1"/>
    </row>
    <row r="335" spans="1:7" ht="15.75" customHeight="1">
      <c r="A335" s="4" t="s">
        <v>302</v>
      </c>
      <c r="B335" s="4" t="s">
        <v>302</v>
      </c>
      <c r="D335" s="14" t="s">
        <v>302</v>
      </c>
      <c r="G335" s="1"/>
    </row>
    <row r="336" spans="1:7" ht="15.75" customHeight="1">
      <c r="A336" s="4" t="s">
        <v>302</v>
      </c>
      <c r="B336" s="4" t="s">
        <v>302</v>
      </c>
      <c r="D336" s="14" t="s">
        <v>302</v>
      </c>
      <c r="G336" s="1"/>
    </row>
    <row r="337" spans="1:7" ht="15.75" customHeight="1">
      <c r="A337" s="4" t="s">
        <v>302</v>
      </c>
      <c r="B337" s="4" t="s">
        <v>302</v>
      </c>
      <c r="D337" s="14" t="s">
        <v>302</v>
      </c>
      <c r="G337" s="1"/>
    </row>
    <row r="338" spans="1:7" ht="15.75" customHeight="1">
      <c r="A338" s="4" t="s">
        <v>302</v>
      </c>
      <c r="B338" s="4" t="s">
        <v>302</v>
      </c>
      <c r="D338" s="14" t="s">
        <v>302</v>
      </c>
      <c r="G338" s="1"/>
    </row>
    <row r="339" spans="1:7" ht="15.75" customHeight="1">
      <c r="A339" s="4" t="s">
        <v>302</v>
      </c>
      <c r="B339" s="4" t="s">
        <v>302</v>
      </c>
      <c r="D339" s="14" t="s">
        <v>302</v>
      </c>
      <c r="G339" s="1"/>
    </row>
    <row r="340" spans="1:7" ht="15.75" customHeight="1">
      <c r="A340" s="4" t="s">
        <v>302</v>
      </c>
      <c r="B340" s="4" t="s">
        <v>302</v>
      </c>
      <c r="D340" s="14" t="s">
        <v>302</v>
      </c>
      <c r="G340" s="1"/>
    </row>
    <row r="341" spans="1:7" ht="15.75" customHeight="1">
      <c r="A341" s="4" t="s">
        <v>302</v>
      </c>
      <c r="B341" s="4" t="s">
        <v>302</v>
      </c>
      <c r="D341" s="14" t="s">
        <v>302</v>
      </c>
      <c r="G341" s="1"/>
    </row>
    <row r="342" spans="1:7" ht="15.75" customHeight="1">
      <c r="A342" s="4" t="s">
        <v>302</v>
      </c>
      <c r="B342" s="4" t="s">
        <v>302</v>
      </c>
      <c r="D342" s="14" t="s">
        <v>302</v>
      </c>
      <c r="G342" s="1"/>
    </row>
    <row r="343" spans="1:7" ht="15.75" customHeight="1">
      <c r="A343" s="4" t="s">
        <v>302</v>
      </c>
      <c r="B343" s="4" t="s">
        <v>302</v>
      </c>
      <c r="D343" s="14" t="s">
        <v>302</v>
      </c>
      <c r="G343" s="1"/>
    </row>
    <row r="344" spans="1:7" ht="15.75" customHeight="1">
      <c r="A344" s="4" t="s">
        <v>302</v>
      </c>
      <c r="B344" s="4" t="s">
        <v>302</v>
      </c>
      <c r="D344" s="14" t="s">
        <v>302</v>
      </c>
      <c r="G344" s="1"/>
    </row>
    <row r="345" spans="1:7" ht="15.75" customHeight="1">
      <c r="A345" s="4" t="s">
        <v>302</v>
      </c>
      <c r="B345" s="4" t="s">
        <v>302</v>
      </c>
      <c r="D345" s="14" t="s">
        <v>302</v>
      </c>
      <c r="G345" s="1"/>
    </row>
    <row r="346" spans="1:7" ht="15.75" customHeight="1">
      <c r="A346" s="4" t="s">
        <v>302</v>
      </c>
      <c r="B346" s="4" t="s">
        <v>302</v>
      </c>
      <c r="D346" s="14" t="s">
        <v>302</v>
      </c>
      <c r="G346" s="1"/>
    </row>
    <row r="347" spans="1:7" ht="15.75" customHeight="1">
      <c r="A347" s="4" t="s">
        <v>302</v>
      </c>
      <c r="B347" s="4" t="s">
        <v>302</v>
      </c>
      <c r="D347" s="14" t="s">
        <v>302</v>
      </c>
      <c r="G347" s="1"/>
    </row>
    <row r="348" spans="1:7" ht="15.75" customHeight="1">
      <c r="A348" s="4" t="s">
        <v>302</v>
      </c>
      <c r="B348" s="4" t="s">
        <v>302</v>
      </c>
      <c r="D348" s="14" t="s">
        <v>302</v>
      </c>
      <c r="G348" s="1"/>
    </row>
    <row r="349" spans="1:7" ht="15.75" customHeight="1">
      <c r="A349" s="4" t="s">
        <v>302</v>
      </c>
      <c r="B349" s="4" t="s">
        <v>302</v>
      </c>
      <c r="D349" s="14" t="s">
        <v>302</v>
      </c>
      <c r="G349" s="1"/>
    </row>
    <row r="350" spans="1:7" ht="15.75" customHeight="1">
      <c r="A350" s="4" t="s">
        <v>302</v>
      </c>
      <c r="B350" s="4" t="s">
        <v>302</v>
      </c>
      <c r="D350" s="14" t="s">
        <v>302</v>
      </c>
      <c r="G350" s="1"/>
    </row>
    <row r="351" spans="1:7" ht="15.75" customHeight="1">
      <c r="A351" s="4" t="s">
        <v>302</v>
      </c>
      <c r="B351" s="4" t="s">
        <v>302</v>
      </c>
      <c r="D351" s="14" t="s">
        <v>302</v>
      </c>
      <c r="G351" s="1"/>
    </row>
    <row r="352" spans="1:7" ht="15.75" customHeight="1">
      <c r="A352" s="4" t="s">
        <v>302</v>
      </c>
      <c r="B352" s="4" t="s">
        <v>302</v>
      </c>
      <c r="D352" s="14" t="s">
        <v>302</v>
      </c>
      <c r="G352" s="1"/>
    </row>
    <row r="353" spans="1:7" ht="15.75" customHeight="1">
      <c r="A353" s="4" t="s">
        <v>302</v>
      </c>
      <c r="B353" s="4" t="s">
        <v>302</v>
      </c>
      <c r="D353" s="14" t="s">
        <v>302</v>
      </c>
      <c r="G353" s="1"/>
    </row>
    <row r="354" spans="1:7" ht="15.75" customHeight="1">
      <c r="A354" s="4" t="s">
        <v>302</v>
      </c>
      <c r="B354" s="4" t="s">
        <v>302</v>
      </c>
      <c r="D354" s="14" t="s">
        <v>302</v>
      </c>
      <c r="G354" s="1"/>
    </row>
    <row r="355" spans="1:7" ht="15.75" customHeight="1">
      <c r="A355" s="4" t="s">
        <v>302</v>
      </c>
      <c r="B355" s="4" t="s">
        <v>302</v>
      </c>
      <c r="D355" s="14" t="s">
        <v>302</v>
      </c>
      <c r="G355" s="1"/>
    </row>
    <row r="356" spans="1:7" ht="15.75" customHeight="1">
      <c r="A356" s="4" t="s">
        <v>302</v>
      </c>
      <c r="B356" s="4" t="s">
        <v>302</v>
      </c>
      <c r="D356" s="14" t="s">
        <v>302</v>
      </c>
      <c r="G356" s="1"/>
    </row>
    <row r="357" spans="1:7" ht="15.75" customHeight="1">
      <c r="A357" s="4" t="s">
        <v>302</v>
      </c>
      <c r="B357" s="4" t="s">
        <v>302</v>
      </c>
      <c r="D357" s="14" t="s">
        <v>302</v>
      </c>
      <c r="G357" s="1"/>
    </row>
    <row r="358" spans="1:7" ht="15.75" customHeight="1">
      <c r="A358" s="4" t="s">
        <v>302</v>
      </c>
      <c r="B358" s="4" t="s">
        <v>302</v>
      </c>
      <c r="D358" s="14" t="s">
        <v>302</v>
      </c>
      <c r="G358" s="1"/>
    </row>
    <row r="359" spans="1:7" ht="15.75" customHeight="1">
      <c r="A359" s="4" t="s">
        <v>302</v>
      </c>
      <c r="B359" s="4" t="s">
        <v>302</v>
      </c>
      <c r="D359" s="14" t="s">
        <v>302</v>
      </c>
      <c r="G359" s="1"/>
    </row>
    <row r="360" spans="1:7" ht="15.75" customHeight="1">
      <c r="A360" s="4" t="s">
        <v>302</v>
      </c>
      <c r="B360" s="4" t="s">
        <v>302</v>
      </c>
      <c r="D360" s="14" t="s">
        <v>302</v>
      </c>
      <c r="G360" s="1"/>
    </row>
    <row r="361" spans="1:7" ht="15.75" customHeight="1">
      <c r="A361" s="4" t="s">
        <v>302</v>
      </c>
      <c r="B361" s="4" t="s">
        <v>302</v>
      </c>
      <c r="D361" s="14" t="s">
        <v>302</v>
      </c>
      <c r="G361" s="1"/>
    </row>
    <row r="362" spans="1:7" ht="15.75" customHeight="1">
      <c r="A362" s="4" t="s">
        <v>302</v>
      </c>
      <c r="B362" s="4" t="s">
        <v>302</v>
      </c>
      <c r="D362" s="14" t="s">
        <v>302</v>
      </c>
      <c r="G362" s="1"/>
    </row>
    <row r="363" spans="1:7" ht="15.75" customHeight="1">
      <c r="A363" s="4" t="s">
        <v>302</v>
      </c>
      <c r="B363" s="4" t="s">
        <v>302</v>
      </c>
      <c r="D363" s="14" t="s">
        <v>302</v>
      </c>
      <c r="G363" s="1"/>
    </row>
    <row r="364" spans="1:7" ht="15.75" customHeight="1">
      <c r="A364" s="4" t="s">
        <v>302</v>
      </c>
      <c r="B364" s="4" t="s">
        <v>302</v>
      </c>
      <c r="D364" s="14" t="s">
        <v>302</v>
      </c>
      <c r="G364" s="1"/>
    </row>
    <row r="365" spans="1:7" ht="15.75" customHeight="1">
      <c r="A365" s="4" t="s">
        <v>302</v>
      </c>
      <c r="B365" s="4" t="s">
        <v>302</v>
      </c>
      <c r="D365" s="14" t="s">
        <v>302</v>
      </c>
      <c r="G365" s="1"/>
    </row>
    <row r="366" spans="1:7" ht="15.75" customHeight="1">
      <c r="A366" s="4" t="s">
        <v>302</v>
      </c>
      <c r="B366" s="4" t="s">
        <v>302</v>
      </c>
      <c r="D366" s="14" t="s">
        <v>302</v>
      </c>
      <c r="G366" s="1"/>
    </row>
    <row r="367" spans="1:7" ht="15.75" customHeight="1">
      <c r="A367" s="4" t="s">
        <v>302</v>
      </c>
      <c r="B367" s="4" t="s">
        <v>302</v>
      </c>
      <c r="D367" s="14" t="s">
        <v>302</v>
      </c>
      <c r="G367" s="1"/>
    </row>
    <row r="368" spans="1:7" ht="15.75" customHeight="1">
      <c r="A368" s="4" t="s">
        <v>302</v>
      </c>
      <c r="B368" s="4" t="s">
        <v>302</v>
      </c>
      <c r="D368" s="14" t="s">
        <v>302</v>
      </c>
      <c r="G368" s="1"/>
    </row>
    <row r="369" spans="1:7" ht="15.75" customHeight="1">
      <c r="A369" s="4" t="s">
        <v>302</v>
      </c>
      <c r="B369" s="4" t="s">
        <v>302</v>
      </c>
      <c r="D369" s="14" t="s">
        <v>302</v>
      </c>
      <c r="G369" s="1"/>
    </row>
    <row r="370" spans="1:7" ht="15.75" customHeight="1">
      <c r="A370" s="4" t="s">
        <v>302</v>
      </c>
      <c r="B370" s="4" t="s">
        <v>302</v>
      </c>
      <c r="D370" s="14" t="s">
        <v>302</v>
      </c>
      <c r="G370" s="1"/>
    </row>
    <row r="371" spans="1:7" ht="15.75" customHeight="1">
      <c r="A371" s="4" t="s">
        <v>302</v>
      </c>
      <c r="B371" s="4" t="s">
        <v>302</v>
      </c>
      <c r="D371" s="14" t="s">
        <v>302</v>
      </c>
      <c r="G371" s="1"/>
    </row>
    <row r="372" spans="1:7" ht="15.75" customHeight="1">
      <c r="A372" s="4" t="s">
        <v>302</v>
      </c>
      <c r="B372" s="4" t="s">
        <v>302</v>
      </c>
      <c r="D372" s="14" t="s">
        <v>302</v>
      </c>
      <c r="G372" s="1"/>
    </row>
    <row r="373" spans="1:7" ht="15.75" customHeight="1">
      <c r="A373" s="4" t="s">
        <v>302</v>
      </c>
      <c r="B373" s="4" t="s">
        <v>302</v>
      </c>
      <c r="D373" s="14" t="s">
        <v>302</v>
      </c>
      <c r="G373" s="1"/>
    </row>
    <row r="374" spans="1:7" ht="15.75" customHeight="1">
      <c r="A374" s="4" t="s">
        <v>302</v>
      </c>
      <c r="B374" s="4" t="s">
        <v>302</v>
      </c>
      <c r="D374" s="14" t="s">
        <v>302</v>
      </c>
      <c r="G374" s="1"/>
    </row>
    <row r="375" spans="1:7" ht="15.75" customHeight="1">
      <c r="A375" s="4" t="s">
        <v>302</v>
      </c>
      <c r="B375" s="4" t="s">
        <v>302</v>
      </c>
      <c r="D375" s="14" t="s">
        <v>302</v>
      </c>
      <c r="G375" s="1"/>
    </row>
    <row r="376" spans="1:7" ht="15.75" customHeight="1">
      <c r="A376" s="4" t="s">
        <v>302</v>
      </c>
      <c r="B376" s="4" t="s">
        <v>302</v>
      </c>
      <c r="D376" s="14" t="s">
        <v>302</v>
      </c>
      <c r="G376" s="1"/>
    </row>
    <row r="377" spans="1:7" ht="15.75" customHeight="1">
      <c r="A377" s="4" t="s">
        <v>302</v>
      </c>
      <c r="B377" s="4" t="s">
        <v>302</v>
      </c>
      <c r="D377" s="14" t="s">
        <v>302</v>
      </c>
      <c r="G377" s="1"/>
    </row>
    <row r="378" spans="1:7" ht="15.75" customHeight="1">
      <c r="A378" s="4" t="s">
        <v>302</v>
      </c>
      <c r="B378" s="4" t="s">
        <v>302</v>
      </c>
      <c r="D378" s="14" t="s">
        <v>302</v>
      </c>
      <c r="G378" s="1"/>
    </row>
    <row r="379" spans="1:7" ht="15.75" customHeight="1">
      <c r="A379" s="4" t="s">
        <v>302</v>
      </c>
      <c r="B379" s="4" t="s">
        <v>302</v>
      </c>
      <c r="D379" s="14" t="s">
        <v>302</v>
      </c>
      <c r="G379" s="1"/>
    </row>
    <row r="380" spans="1:7" ht="15.75" customHeight="1">
      <c r="A380" s="4" t="s">
        <v>302</v>
      </c>
      <c r="B380" s="4" t="s">
        <v>302</v>
      </c>
      <c r="D380" s="14" t="s">
        <v>302</v>
      </c>
      <c r="G380" s="1"/>
    </row>
    <row r="381" spans="1:7" ht="15.75" customHeight="1">
      <c r="A381" s="4" t="s">
        <v>302</v>
      </c>
      <c r="B381" s="4" t="s">
        <v>302</v>
      </c>
      <c r="D381" s="14" t="s">
        <v>302</v>
      </c>
      <c r="G381" s="1"/>
    </row>
    <row r="382" spans="1:7" ht="15.75" customHeight="1">
      <c r="A382" s="4" t="s">
        <v>302</v>
      </c>
      <c r="B382" s="4" t="s">
        <v>302</v>
      </c>
      <c r="D382" s="14" t="s">
        <v>302</v>
      </c>
      <c r="G382" s="1"/>
    </row>
    <row r="383" spans="1:7" ht="15.75" customHeight="1">
      <c r="A383" s="4" t="s">
        <v>302</v>
      </c>
      <c r="B383" s="4" t="s">
        <v>302</v>
      </c>
      <c r="D383" s="14" t="s">
        <v>302</v>
      </c>
      <c r="G383" s="1"/>
    </row>
    <row r="384" spans="1:7" ht="15.75" customHeight="1">
      <c r="A384" s="4" t="s">
        <v>302</v>
      </c>
      <c r="B384" s="4" t="s">
        <v>302</v>
      </c>
      <c r="D384" s="14" t="s">
        <v>302</v>
      </c>
      <c r="G384" s="1"/>
    </row>
    <row r="385" spans="1:7" ht="15.75" customHeight="1">
      <c r="A385" s="4" t="s">
        <v>302</v>
      </c>
      <c r="B385" s="4" t="s">
        <v>302</v>
      </c>
      <c r="D385" s="14" t="s">
        <v>302</v>
      </c>
      <c r="G385" s="1"/>
    </row>
    <row r="386" spans="1:7" ht="15.75" customHeight="1">
      <c r="A386" s="4" t="s">
        <v>302</v>
      </c>
      <c r="B386" s="4" t="s">
        <v>302</v>
      </c>
      <c r="D386" s="14" t="s">
        <v>302</v>
      </c>
      <c r="G386" s="1"/>
    </row>
    <row r="387" spans="1:7" ht="15.75" customHeight="1">
      <c r="A387" s="4" t="s">
        <v>302</v>
      </c>
      <c r="B387" s="4" t="s">
        <v>302</v>
      </c>
      <c r="D387" s="14" t="s">
        <v>302</v>
      </c>
      <c r="G387" s="1"/>
    </row>
    <row r="388" spans="1:7" ht="15.75" customHeight="1">
      <c r="A388" s="4" t="s">
        <v>302</v>
      </c>
      <c r="B388" s="4" t="s">
        <v>302</v>
      </c>
      <c r="D388" s="14" t="s">
        <v>302</v>
      </c>
      <c r="G388" s="1"/>
    </row>
    <row r="389" spans="1:7" ht="15.75" customHeight="1">
      <c r="A389" s="4" t="s">
        <v>302</v>
      </c>
      <c r="B389" s="4" t="s">
        <v>302</v>
      </c>
      <c r="D389" s="14" t="s">
        <v>302</v>
      </c>
      <c r="G389" s="1"/>
    </row>
    <row r="390" spans="1:7" ht="15.75" customHeight="1">
      <c r="A390" s="4" t="s">
        <v>302</v>
      </c>
      <c r="B390" s="4" t="s">
        <v>302</v>
      </c>
      <c r="D390" s="14" t="s">
        <v>302</v>
      </c>
      <c r="G390" s="1"/>
    </row>
    <row r="391" spans="1:7" ht="15.75" customHeight="1">
      <c r="A391" s="4" t="s">
        <v>302</v>
      </c>
      <c r="B391" s="4" t="s">
        <v>302</v>
      </c>
      <c r="D391" s="14" t="s">
        <v>302</v>
      </c>
      <c r="G391" s="1"/>
    </row>
    <row r="392" spans="1:7" ht="15.75" customHeight="1">
      <c r="A392" s="4" t="s">
        <v>302</v>
      </c>
      <c r="B392" s="4" t="s">
        <v>302</v>
      </c>
      <c r="D392" s="14" t="s">
        <v>302</v>
      </c>
      <c r="G392" s="1"/>
    </row>
    <row r="393" spans="1:7" ht="15.75" customHeight="1">
      <c r="A393" s="4" t="s">
        <v>302</v>
      </c>
      <c r="B393" s="4" t="s">
        <v>302</v>
      </c>
      <c r="D393" s="14" t="s">
        <v>302</v>
      </c>
      <c r="G393" s="1"/>
    </row>
    <row r="394" spans="1:7" ht="15.75" customHeight="1">
      <c r="A394" s="4" t="s">
        <v>302</v>
      </c>
      <c r="B394" s="4" t="s">
        <v>302</v>
      </c>
      <c r="D394" s="14" t="s">
        <v>302</v>
      </c>
      <c r="G394" s="1"/>
    </row>
    <row r="395" spans="1:7" ht="15.75" customHeight="1">
      <c r="A395" s="4" t="s">
        <v>302</v>
      </c>
      <c r="B395" s="4" t="s">
        <v>302</v>
      </c>
      <c r="D395" s="14" t="s">
        <v>302</v>
      </c>
      <c r="G395" s="1"/>
    </row>
    <row r="396" spans="1:7" ht="15.75" customHeight="1">
      <c r="A396" s="4" t="s">
        <v>302</v>
      </c>
      <c r="B396" s="4" t="s">
        <v>302</v>
      </c>
      <c r="D396" s="14" t="s">
        <v>302</v>
      </c>
      <c r="G396" s="1"/>
    </row>
    <row r="397" spans="1:7" ht="15.75" customHeight="1">
      <c r="A397" s="4" t="s">
        <v>302</v>
      </c>
      <c r="B397" s="4" t="s">
        <v>302</v>
      </c>
      <c r="D397" s="14" t="s">
        <v>302</v>
      </c>
      <c r="G397" s="1"/>
    </row>
    <row r="398" spans="1:7" ht="15.75" customHeight="1">
      <c r="A398" s="4" t="s">
        <v>302</v>
      </c>
      <c r="B398" s="4" t="s">
        <v>302</v>
      </c>
      <c r="D398" s="14" t="s">
        <v>302</v>
      </c>
      <c r="G398" s="1"/>
    </row>
    <row r="399" spans="1:7" ht="15.75" customHeight="1">
      <c r="A399" s="4" t="s">
        <v>302</v>
      </c>
      <c r="B399" s="4" t="s">
        <v>302</v>
      </c>
      <c r="D399" s="14" t="s">
        <v>302</v>
      </c>
      <c r="G399" s="1"/>
    </row>
    <row r="400" spans="1:7" ht="15.75" customHeight="1">
      <c r="A400" s="4" t="s">
        <v>302</v>
      </c>
      <c r="B400" s="4" t="s">
        <v>302</v>
      </c>
      <c r="D400" s="14" t="s">
        <v>302</v>
      </c>
      <c r="G400" s="1"/>
    </row>
    <row r="401" spans="1:7" ht="15.75" customHeight="1">
      <c r="A401" s="4" t="s">
        <v>302</v>
      </c>
      <c r="B401" s="4" t="s">
        <v>302</v>
      </c>
      <c r="D401" s="14" t="s">
        <v>302</v>
      </c>
      <c r="G401" s="1"/>
    </row>
    <row r="402" spans="1:7" ht="15.75" customHeight="1">
      <c r="A402" s="4" t="s">
        <v>302</v>
      </c>
      <c r="B402" s="4" t="s">
        <v>302</v>
      </c>
      <c r="D402" s="14" t="s">
        <v>302</v>
      </c>
      <c r="G402" s="1"/>
    </row>
    <row r="403" spans="1:7" ht="15.75" customHeight="1">
      <c r="A403" s="4" t="s">
        <v>302</v>
      </c>
      <c r="B403" s="4" t="s">
        <v>302</v>
      </c>
      <c r="D403" s="14" t="s">
        <v>302</v>
      </c>
      <c r="G403" s="1"/>
    </row>
    <row r="404" spans="1:7" ht="15.75" customHeight="1">
      <c r="A404" s="4" t="s">
        <v>302</v>
      </c>
      <c r="B404" s="4" t="s">
        <v>302</v>
      </c>
      <c r="D404" s="14" t="s">
        <v>302</v>
      </c>
      <c r="G404" s="1"/>
    </row>
    <row r="405" spans="1:7" ht="15.75" customHeight="1">
      <c r="A405" s="4" t="s">
        <v>302</v>
      </c>
      <c r="B405" s="4" t="s">
        <v>302</v>
      </c>
      <c r="D405" s="14" t="s">
        <v>302</v>
      </c>
      <c r="G405" s="1"/>
    </row>
    <row r="406" spans="1:7" ht="15.75" customHeight="1">
      <c r="A406" s="4" t="s">
        <v>302</v>
      </c>
      <c r="B406" s="4" t="s">
        <v>302</v>
      </c>
      <c r="D406" s="14" t="s">
        <v>302</v>
      </c>
      <c r="G406" s="1"/>
    </row>
    <row r="407" spans="1:7" ht="15.75" customHeight="1">
      <c r="A407" s="4" t="s">
        <v>302</v>
      </c>
      <c r="B407" s="4" t="s">
        <v>302</v>
      </c>
      <c r="D407" s="14" t="s">
        <v>302</v>
      </c>
      <c r="G407" s="1"/>
    </row>
    <row r="408" spans="1:7" ht="15.75" customHeight="1">
      <c r="A408" s="4" t="s">
        <v>302</v>
      </c>
      <c r="B408" s="4" t="s">
        <v>302</v>
      </c>
      <c r="D408" s="14" t="s">
        <v>302</v>
      </c>
      <c r="G408" s="1"/>
    </row>
    <row r="409" spans="1:7" ht="15.75" customHeight="1">
      <c r="A409" s="4" t="s">
        <v>302</v>
      </c>
      <c r="B409" s="4" t="s">
        <v>302</v>
      </c>
      <c r="D409" s="14" t="s">
        <v>302</v>
      </c>
      <c r="G409" s="1"/>
    </row>
    <row r="410" spans="1:7" ht="15.75" customHeight="1">
      <c r="A410" s="4" t="s">
        <v>302</v>
      </c>
      <c r="B410" s="4" t="s">
        <v>302</v>
      </c>
      <c r="D410" s="14" t="s">
        <v>302</v>
      </c>
      <c r="G410" s="1"/>
    </row>
    <row r="411" spans="1:7" ht="15.75" customHeight="1">
      <c r="A411" s="4" t="s">
        <v>302</v>
      </c>
      <c r="B411" s="4" t="s">
        <v>302</v>
      </c>
      <c r="D411" s="14" t="s">
        <v>302</v>
      </c>
      <c r="G411" s="1"/>
    </row>
    <row r="412" spans="1:7" ht="15.75" customHeight="1">
      <c r="A412" s="4" t="s">
        <v>302</v>
      </c>
      <c r="B412" s="4" t="s">
        <v>302</v>
      </c>
      <c r="D412" s="14" t="s">
        <v>302</v>
      </c>
      <c r="G412" s="1"/>
    </row>
    <row r="413" spans="1:7" ht="15.75" customHeight="1">
      <c r="A413" s="4" t="s">
        <v>302</v>
      </c>
      <c r="B413" s="4" t="s">
        <v>302</v>
      </c>
      <c r="D413" s="14" t="s">
        <v>302</v>
      </c>
      <c r="G413" s="1"/>
    </row>
    <row r="414" spans="1:7" ht="15.75" customHeight="1">
      <c r="A414" s="4" t="s">
        <v>302</v>
      </c>
      <c r="B414" s="4" t="s">
        <v>302</v>
      </c>
      <c r="D414" s="14" t="s">
        <v>302</v>
      </c>
      <c r="G414" s="1"/>
    </row>
    <row r="415" spans="1:7" ht="15.75" customHeight="1">
      <c r="A415" s="4" t="s">
        <v>302</v>
      </c>
      <c r="B415" s="4" t="s">
        <v>302</v>
      </c>
      <c r="D415" s="14" t="s">
        <v>302</v>
      </c>
      <c r="G415" s="1"/>
    </row>
    <row r="416" spans="1:7" ht="15.75" customHeight="1">
      <c r="A416" s="4" t="s">
        <v>302</v>
      </c>
      <c r="B416" s="4" t="s">
        <v>302</v>
      </c>
      <c r="D416" s="14" t="s">
        <v>302</v>
      </c>
      <c r="G416" s="1"/>
    </row>
    <row r="417" spans="1:7" ht="15.75" customHeight="1">
      <c r="A417" s="4" t="s">
        <v>302</v>
      </c>
      <c r="B417" s="4" t="s">
        <v>302</v>
      </c>
      <c r="D417" s="14" t="s">
        <v>302</v>
      </c>
      <c r="G417" s="1"/>
    </row>
    <row r="418" spans="1:7" ht="15.75" customHeight="1">
      <c r="A418" s="4" t="s">
        <v>302</v>
      </c>
      <c r="B418" s="4" t="s">
        <v>302</v>
      </c>
      <c r="D418" s="14" t="s">
        <v>302</v>
      </c>
      <c r="G418" s="1"/>
    </row>
    <row r="419" spans="1:7" ht="15.75" customHeight="1">
      <c r="A419" s="4" t="s">
        <v>302</v>
      </c>
      <c r="B419" s="4" t="s">
        <v>302</v>
      </c>
      <c r="D419" s="14" t="s">
        <v>302</v>
      </c>
      <c r="G419" s="1"/>
    </row>
    <row r="420" spans="1:7" ht="15.75" customHeight="1">
      <c r="A420" s="4" t="s">
        <v>302</v>
      </c>
      <c r="B420" s="4" t="s">
        <v>302</v>
      </c>
      <c r="D420" s="14" t="s">
        <v>302</v>
      </c>
      <c r="G420" s="1"/>
    </row>
    <row r="421" spans="1:7" ht="15.75" customHeight="1">
      <c r="A421" s="4" t="s">
        <v>302</v>
      </c>
      <c r="B421" s="4" t="s">
        <v>302</v>
      </c>
      <c r="D421" s="14" t="s">
        <v>302</v>
      </c>
      <c r="G421" s="1"/>
    </row>
    <row r="422" spans="1:7" ht="15.75" customHeight="1">
      <c r="A422" s="4" t="s">
        <v>302</v>
      </c>
      <c r="B422" s="4" t="s">
        <v>302</v>
      </c>
      <c r="D422" s="14" t="s">
        <v>302</v>
      </c>
      <c r="G422" s="1"/>
    </row>
    <row r="423" spans="1:7" ht="15.75" customHeight="1">
      <c r="A423" s="4" t="s">
        <v>302</v>
      </c>
      <c r="B423" s="4" t="s">
        <v>302</v>
      </c>
      <c r="D423" s="14" t="s">
        <v>302</v>
      </c>
      <c r="G423" s="1"/>
    </row>
    <row r="424" spans="1:7" ht="15.75" customHeight="1">
      <c r="A424" s="4" t="s">
        <v>302</v>
      </c>
      <c r="B424" s="4" t="s">
        <v>302</v>
      </c>
      <c r="D424" s="14" t="s">
        <v>302</v>
      </c>
      <c r="G424" s="1"/>
    </row>
    <row r="425" spans="1:7" ht="15.75" customHeight="1">
      <c r="A425" s="4" t="s">
        <v>302</v>
      </c>
      <c r="B425" s="4" t="s">
        <v>302</v>
      </c>
      <c r="D425" s="14" t="s">
        <v>302</v>
      </c>
      <c r="G425" s="1"/>
    </row>
    <row r="426" spans="1:7" ht="15.75" customHeight="1">
      <c r="A426" s="4" t="s">
        <v>302</v>
      </c>
      <c r="B426" s="4" t="s">
        <v>302</v>
      </c>
      <c r="D426" s="14" t="s">
        <v>302</v>
      </c>
      <c r="G426" s="1"/>
    </row>
    <row r="427" spans="1:7" ht="15.75" customHeight="1">
      <c r="A427" s="4" t="s">
        <v>302</v>
      </c>
      <c r="B427" s="4" t="s">
        <v>302</v>
      </c>
      <c r="D427" s="14" t="s">
        <v>302</v>
      </c>
      <c r="G427" s="1"/>
    </row>
    <row r="428" spans="1:7" ht="15.75" customHeight="1">
      <c r="A428" s="4" t="s">
        <v>302</v>
      </c>
      <c r="B428" s="4" t="s">
        <v>302</v>
      </c>
      <c r="D428" s="14" t="s">
        <v>302</v>
      </c>
      <c r="G428" s="1"/>
    </row>
    <row r="429" spans="1:7" ht="15.75" customHeight="1">
      <c r="A429" s="4" t="s">
        <v>302</v>
      </c>
      <c r="B429" s="4" t="s">
        <v>302</v>
      </c>
      <c r="D429" s="14" t="s">
        <v>302</v>
      </c>
      <c r="G429" s="1"/>
    </row>
    <row r="430" spans="1:7" ht="15.75" customHeight="1">
      <c r="A430" s="4" t="s">
        <v>302</v>
      </c>
      <c r="B430" s="4" t="s">
        <v>302</v>
      </c>
      <c r="D430" s="14" t="s">
        <v>302</v>
      </c>
      <c r="G430" s="1"/>
    </row>
    <row r="431" spans="1:7" ht="15.75" customHeight="1">
      <c r="A431" s="4" t="s">
        <v>302</v>
      </c>
      <c r="B431" s="4" t="s">
        <v>302</v>
      </c>
      <c r="D431" s="14" t="s">
        <v>302</v>
      </c>
      <c r="G431" s="1"/>
    </row>
    <row r="432" spans="1:7" ht="15.75" customHeight="1">
      <c r="A432" s="4" t="s">
        <v>302</v>
      </c>
      <c r="B432" s="4" t="s">
        <v>302</v>
      </c>
      <c r="D432" s="14" t="s">
        <v>302</v>
      </c>
      <c r="G432" s="1"/>
    </row>
    <row r="433" spans="1:7" ht="15.75" customHeight="1">
      <c r="A433" s="4" t="s">
        <v>302</v>
      </c>
      <c r="B433" s="4" t="s">
        <v>302</v>
      </c>
      <c r="D433" s="14" t="s">
        <v>302</v>
      </c>
      <c r="G433" s="1"/>
    </row>
    <row r="434" spans="1:7" ht="15.75" customHeight="1">
      <c r="A434" s="4" t="s">
        <v>302</v>
      </c>
      <c r="B434" s="4" t="s">
        <v>302</v>
      </c>
      <c r="D434" s="14" t="s">
        <v>302</v>
      </c>
      <c r="G434" s="1"/>
    </row>
    <row r="435" spans="1:7" ht="15.75" customHeight="1">
      <c r="A435" s="4" t="s">
        <v>302</v>
      </c>
      <c r="B435" s="4" t="s">
        <v>302</v>
      </c>
      <c r="D435" s="14" t="s">
        <v>302</v>
      </c>
      <c r="G435" s="1"/>
    </row>
    <row r="436" spans="1:7" ht="15.75" customHeight="1">
      <c r="A436" s="4" t="s">
        <v>302</v>
      </c>
      <c r="B436" s="4" t="s">
        <v>302</v>
      </c>
      <c r="D436" s="14" t="s">
        <v>302</v>
      </c>
      <c r="G436" s="1"/>
    </row>
    <row r="437" spans="1:7" ht="15.75" customHeight="1">
      <c r="A437" s="4" t="s">
        <v>302</v>
      </c>
      <c r="B437" s="4" t="s">
        <v>302</v>
      </c>
      <c r="D437" s="14" t="s">
        <v>302</v>
      </c>
      <c r="G437" s="1"/>
    </row>
    <row r="438" spans="1:7" ht="15.75" customHeight="1">
      <c r="A438" s="4" t="s">
        <v>302</v>
      </c>
      <c r="B438" s="4" t="s">
        <v>302</v>
      </c>
      <c r="D438" s="14" t="s">
        <v>302</v>
      </c>
      <c r="G438" s="1"/>
    </row>
    <row r="439" spans="1:7" ht="15.75" customHeight="1">
      <c r="A439" s="4" t="s">
        <v>302</v>
      </c>
      <c r="B439" s="4" t="s">
        <v>302</v>
      </c>
      <c r="D439" s="14" t="s">
        <v>302</v>
      </c>
      <c r="G439" s="1"/>
    </row>
    <row r="440" spans="1:7" ht="15.75" customHeight="1">
      <c r="A440" s="4" t="s">
        <v>302</v>
      </c>
      <c r="B440" s="4" t="s">
        <v>302</v>
      </c>
      <c r="D440" s="14" t="s">
        <v>302</v>
      </c>
      <c r="G440" s="1"/>
    </row>
    <row r="441" spans="1:7" ht="15.75" customHeight="1">
      <c r="A441" s="4" t="s">
        <v>302</v>
      </c>
      <c r="B441" s="4" t="s">
        <v>302</v>
      </c>
      <c r="D441" s="14" t="s">
        <v>302</v>
      </c>
      <c r="G441" s="1"/>
    </row>
    <row r="442" spans="1:7" ht="15.75" customHeight="1">
      <c r="A442" s="4" t="s">
        <v>302</v>
      </c>
      <c r="B442" s="4" t="s">
        <v>302</v>
      </c>
      <c r="D442" s="14" t="s">
        <v>302</v>
      </c>
      <c r="G442" s="1"/>
    </row>
    <row r="443" spans="1:7" ht="15.75" customHeight="1">
      <c r="A443" s="4" t="s">
        <v>302</v>
      </c>
      <c r="B443" s="4" t="s">
        <v>302</v>
      </c>
      <c r="D443" s="14" t="s">
        <v>302</v>
      </c>
      <c r="G443" s="1"/>
    </row>
    <row r="444" spans="1:7" ht="15.75" customHeight="1">
      <c r="A444" s="4" t="s">
        <v>302</v>
      </c>
      <c r="B444" s="4" t="s">
        <v>302</v>
      </c>
      <c r="D444" s="14" t="s">
        <v>302</v>
      </c>
      <c r="G444" s="1"/>
    </row>
    <row r="445" spans="1:7" ht="15.75" customHeight="1">
      <c r="A445" s="4" t="s">
        <v>302</v>
      </c>
      <c r="B445" s="4" t="s">
        <v>302</v>
      </c>
      <c r="D445" s="14" t="s">
        <v>302</v>
      </c>
      <c r="G445" s="1"/>
    </row>
    <row r="446" spans="1:7" ht="15.75" customHeight="1">
      <c r="A446" s="4" t="s">
        <v>302</v>
      </c>
      <c r="B446" s="4" t="s">
        <v>302</v>
      </c>
      <c r="D446" s="14" t="s">
        <v>302</v>
      </c>
      <c r="G446" s="1"/>
    </row>
    <row r="447" spans="1:7" ht="15.75" customHeight="1">
      <c r="A447" s="4" t="s">
        <v>302</v>
      </c>
      <c r="B447" s="4" t="s">
        <v>302</v>
      </c>
      <c r="D447" s="14" t="s">
        <v>302</v>
      </c>
      <c r="G447" s="1"/>
    </row>
    <row r="448" spans="1:7" ht="15.75" customHeight="1">
      <c r="A448" s="4" t="s">
        <v>302</v>
      </c>
      <c r="B448" s="4" t="s">
        <v>302</v>
      </c>
      <c r="D448" s="14" t="s">
        <v>302</v>
      </c>
      <c r="G448" s="1"/>
    </row>
    <row r="449" spans="1:7" ht="15.75" customHeight="1">
      <c r="A449" s="4" t="s">
        <v>302</v>
      </c>
      <c r="B449" s="4" t="s">
        <v>302</v>
      </c>
      <c r="D449" s="14" t="s">
        <v>302</v>
      </c>
      <c r="G449" s="1"/>
    </row>
    <row r="450" spans="1:7" ht="15.75" customHeight="1">
      <c r="A450" s="4" t="s">
        <v>302</v>
      </c>
      <c r="B450" s="4" t="s">
        <v>302</v>
      </c>
      <c r="D450" s="14" t="s">
        <v>302</v>
      </c>
      <c r="G450" s="1"/>
    </row>
    <row r="451" spans="1:7" ht="15.75" customHeight="1">
      <c r="A451" s="4" t="s">
        <v>302</v>
      </c>
      <c r="B451" s="4" t="s">
        <v>302</v>
      </c>
      <c r="D451" s="14" t="s">
        <v>302</v>
      </c>
      <c r="G451" s="1"/>
    </row>
    <row r="452" spans="1:7" ht="15.75" customHeight="1">
      <c r="A452" s="4" t="s">
        <v>302</v>
      </c>
      <c r="B452" s="4" t="s">
        <v>302</v>
      </c>
      <c r="D452" s="14" t="s">
        <v>302</v>
      </c>
      <c r="G452" s="1"/>
    </row>
    <row r="453" spans="1:7" ht="15.75" customHeight="1">
      <c r="A453" s="4" t="s">
        <v>302</v>
      </c>
      <c r="B453" s="4" t="s">
        <v>302</v>
      </c>
      <c r="D453" s="14" t="s">
        <v>302</v>
      </c>
      <c r="G453" s="1"/>
    </row>
    <row r="454" spans="1:7" ht="15.75" customHeight="1">
      <c r="A454" s="4" t="s">
        <v>302</v>
      </c>
      <c r="B454" s="4" t="s">
        <v>302</v>
      </c>
      <c r="D454" s="14" t="s">
        <v>302</v>
      </c>
      <c r="G454" s="1"/>
    </row>
    <row r="455" spans="1:7" ht="15.75" customHeight="1">
      <c r="A455" s="4" t="s">
        <v>302</v>
      </c>
      <c r="B455" s="4" t="s">
        <v>302</v>
      </c>
      <c r="D455" s="14" t="s">
        <v>302</v>
      </c>
      <c r="G455" s="1"/>
    </row>
    <row r="456" spans="1:7" ht="15.75" customHeight="1">
      <c r="A456" s="4" t="s">
        <v>302</v>
      </c>
      <c r="B456" s="4" t="s">
        <v>302</v>
      </c>
      <c r="D456" s="14" t="s">
        <v>302</v>
      </c>
      <c r="G456" s="1"/>
    </row>
    <row r="457" spans="1:7" ht="15.75" customHeight="1">
      <c r="A457" s="4" t="s">
        <v>302</v>
      </c>
      <c r="B457" s="4" t="s">
        <v>302</v>
      </c>
      <c r="D457" s="14" t="s">
        <v>302</v>
      </c>
      <c r="G457" s="1"/>
    </row>
    <row r="458" spans="1:7" ht="15.75" customHeight="1">
      <c r="A458" s="4" t="s">
        <v>302</v>
      </c>
      <c r="B458" s="4" t="s">
        <v>302</v>
      </c>
      <c r="D458" s="14" t="s">
        <v>302</v>
      </c>
      <c r="G458" s="1"/>
    </row>
    <row r="459" spans="1:7" ht="15.75" customHeight="1">
      <c r="A459" s="4" t="s">
        <v>302</v>
      </c>
      <c r="B459" s="4" t="s">
        <v>302</v>
      </c>
      <c r="D459" s="14" t="s">
        <v>302</v>
      </c>
      <c r="G459" s="1"/>
    </row>
    <row r="460" spans="1:7" ht="15.75" customHeight="1">
      <c r="A460" s="4" t="s">
        <v>302</v>
      </c>
      <c r="B460" s="4" t="s">
        <v>302</v>
      </c>
      <c r="D460" s="14" t="s">
        <v>302</v>
      </c>
      <c r="G460" s="1"/>
    </row>
    <row r="461" spans="1:7" ht="15.75" customHeight="1">
      <c r="A461" s="4" t="s">
        <v>302</v>
      </c>
      <c r="B461" s="4" t="s">
        <v>302</v>
      </c>
      <c r="D461" s="14" t="s">
        <v>302</v>
      </c>
      <c r="G461" s="1"/>
    </row>
    <row r="462" spans="1:7" ht="15.75" customHeight="1">
      <c r="A462" s="4" t="s">
        <v>302</v>
      </c>
      <c r="B462" s="4" t="s">
        <v>302</v>
      </c>
      <c r="D462" s="14" t="s">
        <v>302</v>
      </c>
      <c r="G462" s="1"/>
    </row>
    <row r="463" spans="1:7" ht="15.75" customHeight="1">
      <c r="A463" s="4" t="s">
        <v>302</v>
      </c>
      <c r="B463" s="4" t="s">
        <v>302</v>
      </c>
      <c r="D463" s="14" t="s">
        <v>302</v>
      </c>
      <c r="G463" s="1"/>
    </row>
    <row r="464" spans="1:7" ht="15.75" customHeight="1">
      <c r="A464" s="4" t="s">
        <v>302</v>
      </c>
      <c r="B464" s="4" t="s">
        <v>302</v>
      </c>
      <c r="D464" s="14" t="s">
        <v>302</v>
      </c>
      <c r="G464" s="1"/>
    </row>
    <row r="465" spans="1:7" ht="15.75" customHeight="1">
      <c r="A465" s="4" t="s">
        <v>302</v>
      </c>
      <c r="B465" s="4" t="s">
        <v>302</v>
      </c>
      <c r="D465" s="14" t="s">
        <v>302</v>
      </c>
      <c r="G465" s="1"/>
    </row>
    <row r="466" spans="1:7" ht="15.75" customHeight="1">
      <c r="A466" s="4" t="s">
        <v>302</v>
      </c>
      <c r="B466" s="4" t="s">
        <v>302</v>
      </c>
      <c r="D466" s="14" t="s">
        <v>302</v>
      </c>
      <c r="G466" s="1"/>
    </row>
    <row r="467" spans="1:7" ht="15.75" customHeight="1">
      <c r="A467" s="4" t="s">
        <v>302</v>
      </c>
      <c r="B467" s="4" t="s">
        <v>302</v>
      </c>
      <c r="D467" s="14" t="s">
        <v>302</v>
      </c>
      <c r="G467" s="1"/>
    </row>
    <row r="468" spans="1:7" ht="15.75" customHeight="1">
      <c r="A468" s="4" t="s">
        <v>302</v>
      </c>
      <c r="B468" s="4" t="s">
        <v>302</v>
      </c>
      <c r="D468" s="14" t="s">
        <v>302</v>
      </c>
      <c r="G468" s="1"/>
    </row>
    <row r="469" spans="1:7" ht="15.75" customHeight="1">
      <c r="A469" s="4" t="s">
        <v>302</v>
      </c>
      <c r="B469" s="4" t="s">
        <v>302</v>
      </c>
      <c r="D469" s="14" t="s">
        <v>302</v>
      </c>
      <c r="G469" s="1"/>
    </row>
    <row r="470" spans="1:7" ht="15.75" customHeight="1">
      <c r="A470" s="4" t="s">
        <v>302</v>
      </c>
      <c r="B470" s="4" t="s">
        <v>302</v>
      </c>
      <c r="D470" s="14" t="s">
        <v>302</v>
      </c>
      <c r="G470" s="1"/>
    </row>
    <row r="471" spans="1:7" ht="15.75" customHeight="1">
      <c r="A471" s="4" t="s">
        <v>302</v>
      </c>
      <c r="B471" s="4" t="s">
        <v>302</v>
      </c>
      <c r="D471" s="14" t="s">
        <v>302</v>
      </c>
      <c r="G471" s="1"/>
    </row>
    <row r="472" spans="1:7" ht="15.75" customHeight="1">
      <c r="A472" s="4" t="s">
        <v>302</v>
      </c>
      <c r="B472" s="4" t="s">
        <v>302</v>
      </c>
      <c r="D472" s="14" t="s">
        <v>302</v>
      </c>
      <c r="G472" s="1"/>
    </row>
    <row r="473" spans="1:7" ht="15.75" customHeight="1">
      <c r="A473" s="4" t="s">
        <v>302</v>
      </c>
      <c r="B473" s="4" t="s">
        <v>302</v>
      </c>
      <c r="D473" s="14" t="s">
        <v>302</v>
      </c>
      <c r="G473" s="1"/>
    </row>
    <row r="474" spans="1:7" ht="15.75" customHeight="1">
      <c r="A474" s="4" t="s">
        <v>302</v>
      </c>
      <c r="B474" s="4" t="s">
        <v>302</v>
      </c>
      <c r="D474" s="14" t="s">
        <v>302</v>
      </c>
      <c r="G474" s="1"/>
    </row>
    <row r="475" spans="1:7" ht="15.75" customHeight="1">
      <c r="A475" s="4" t="s">
        <v>302</v>
      </c>
      <c r="B475" s="4" t="s">
        <v>302</v>
      </c>
      <c r="D475" s="14" t="s">
        <v>302</v>
      </c>
      <c r="G475" s="1"/>
    </row>
    <row r="476" spans="1:7" ht="15.75" customHeight="1">
      <c r="A476" s="4" t="s">
        <v>302</v>
      </c>
      <c r="B476" s="4" t="s">
        <v>302</v>
      </c>
      <c r="D476" s="14" t="s">
        <v>302</v>
      </c>
      <c r="G476" s="1"/>
    </row>
    <row r="477" spans="1:7" ht="15.75" customHeight="1">
      <c r="A477" s="4" t="s">
        <v>302</v>
      </c>
      <c r="B477" s="4" t="s">
        <v>302</v>
      </c>
      <c r="D477" s="14" t="s">
        <v>302</v>
      </c>
      <c r="G477" s="1"/>
    </row>
    <row r="478" spans="1:7" ht="15.75" customHeight="1">
      <c r="A478" s="4" t="s">
        <v>302</v>
      </c>
      <c r="B478" s="4" t="s">
        <v>302</v>
      </c>
      <c r="D478" s="14" t="s">
        <v>302</v>
      </c>
      <c r="G478" s="1"/>
    </row>
    <row r="479" spans="1:7" ht="15.75" customHeight="1">
      <c r="A479" s="4" t="s">
        <v>302</v>
      </c>
      <c r="B479" s="4" t="s">
        <v>302</v>
      </c>
      <c r="D479" s="14" t="s">
        <v>302</v>
      </c>
      <c r="G479" s="1"/>
    </row>
    <row r="480" spans="1:7" ht="15.75" customHeight="1">
      <c r="A480" s="4" t="s">
        <v>302</v>
      </c>
      <c r="B480" s="4" t="s">
        <v>302</v>
      </c>
      <c r="D480" s="14" t="s">
        <v>302</v>
      </c>
      <c r="G480" s="1"/>
    </row>
    <row r="481" spans="1:7" ht="15.75" customHeight="1">
      <c r="A481" s="4" t="s">
        <v>302</v>
      </c>
      <c r="B481" s="4" t="s">
        <v>302</v>
      </c>
      <c r="D481" s="14" t="s">
        <v>302</v>
      </c>
      <c r="G481" s="1"/>
    </row>
    <row r="482" spans="1:7" ht="15.75" customHeight="1">
      <c r="A482" s="4" t="s">
        <v>302</v>
      </c>
      <c r="B482" s="4" t="s">
        <v>302</v>
      </c>
      <c r="D482" s="14" t="s">
        <v>302</v>
      </c>
      <c r="G482" s="1"/>
    </row>
    <row r="483" spans="1:7" ht="15.75" customHeight="1">
      <c r="A483" s="4" t="s">
        <v>302</v>
      </c>
      <c r="B483" s="4" t="s">
        <v>302</v>
      </c>
      <c r="D483" s="14" t="s">
        <v>302</v>
      </c>
      <c r="G483" s="1"/>
    </row>
    <row r="484" spans="1:7" ht="15.75" customHeight="1">
      <c r="A484" s="4" t="s">
        <v>302</v>
      </c>
      <c r="B484" s="4" t="s">
        <v>302</v>
      </c>
      <c r="D484" s="14" t="s">
        <v>302</v>
      </c>
      <c r="G484" s="1"/>
    </row>
    <row r="485" spans="1:7" ht="15.75" customHeight="1">
      <c r="A485" s="4" t="s">
        <v>302</v>
      </c>
      <c r="B485" s="4" t="s">
        <v>302</v>
      </c>
      <c r="D485" s="14" t="s">
        <v>302</v>
      </c>
      <c r="G485" s="1"/>
    </row>
    <row r="486" spans="1:7" ht="15.75" customHeight="1">
      <c r="A486" s="4" t="s">
        <v>302</v>
      </c>
      <c r="B486" s="4" t="s">
        <v>302</v>
      </c>
      <c r="D486" s="14" t="s">
        <v>302</v>
      </c>
      <c r="G486" s="1"/>
    </row>
    <row r="487" spans="1:7" ht="15.75" customHeight="1">
      <c r="A487" s="4" t="s">
        <v>302</v>
      </c>
      <c r="B487" s="4" t="s">
        <v>302</v>
      </c>
      <c r="D487" s="14" t="s">
        <v>302</v>
      </c>
      <c r="G487" s="1"/>
    </row>
    <row r="488" spans="1:7" ht="15.75" customHeight="1">
      <c r="A488" s="4" t="s">
        <v>302</v>
      </c>
      <c r="B488" s="4" t="s">
        <v>302</v>
      </c>
      <c r="D488" s="14" t="s">
        <v>302</v>
      </c>
      <c r="G488" s="1"/>
    </row>
    <row r="489" spans="1:7" ht="15.75" customHeight="1">
      <c r="A489" s="4" t="s">
        <v>302</v>
      </c>
      <c r="B489" s="4" t="s">
        <v>302</v>
      </c>
      <c r="D489" s="14" t="s">
        <v>302</v>
      </c>
      <c r="G489" s="1"/>
    </row>
    <row r="490" spans="1:7" ht="15.75" customHeight="1">
      <c r="A490" s="4" t="s">
        <v>302</v>
      </c>
      <c r="B490" s="4" t="s">
        <v>302</v>
      </c>
      <c r="D490" s="14" t="s">
        <v>302</v>
      </c>
      <c r="G490" s="1"/>
    </row>
    <row r="491" spans="1:7" ht="15.75" customHeight="1">
      <c r="A491" s="4" t="s">
        <v>302</v>
      </c>
      <c r="B491" s="4" t="s">
        <v>302</v>
      </c>
      <c r="D491" s="14" t="s">
        <v>302</v>
      </c>
      <c r="G491" s="1"/>
    </row>
    <row r="492" spans="1:7" ht="15.75" customHeight="1">
      <c r="A492" s="4" t="s">
        <v>302</v>
      </c>
      <c r="B492" s="4" t="s">
        <v>302</v>
      </c>
      <c r="D492" s="14" t="s">
        <v>302</v>
      </c>
      <c r="G492" s="1"/>
    </row>
    <row r="493" spans="1:7" ht="15.75" customHeight="1">
      <c r="A493" s="4" t="s">
        <v>302</v>
      </c>
      <c r="B493" s="4" t="s">
        <v>302</v>
      </c>
      <c r="D493" s="14" t="s">
        <v>302</v>
      </c>
      <c r="G493" s="1"/>
    </row>
    <row r="494" spans="1:7" ht="15.75" customHeight="1">
      <c r="A494" s="4" t="s">
        <v>302</v>
      </c>
      <c r="B494" s="4" t="s">
        <v>302</v>
      </c>
      <c r="D494" s="14" t="s">
        <v>302</v>
      </c>
      <c r="G494" s="1"/>
    </row>
    <row r="495" spans="1:7" ht="15.75" customHeight="1">
      <c r="A495" s="4" t="s">
        <v>302</v>
      </c>
      <c r="B495" s="4" t="s">
        <v>302</v>
      </c>
      <c r="D495" s="14" t="s">
        <v>302</v>
      </c>
      <c r="G495" s="1"/>
    </row>
    <row r="496" spans="1:7" ht="15.75" customHeight="1">
      <c r="A496" s="4" t="s">
        <v>302</v>
      </c>
      <c r="B496" s="4" t="s">
        <v>302</v>
      </c>
      <c r="D496" s="14" t="s">
        <v>302</v>
      </c>
      <c r="G496" s="1"/>
    </row>
    <row r="497" spans="1:7" ht="15.75" customHeight="1">
      <c r="A497" s="4" t="s">
        <v>302</v>
      </c>
      <c r="B497" s="4" t="s">
        <v>302</v>
      </c>
      <c r="D497" s="14" t="s">
        <v>302</v>
      </c>
      <c r="G497" s="1"/>
    </row>
    <row r="498" spans="1:7" ht="15.75" customHeight="1">
      <c r="A498" s="4" t="s">
        <v>302</v>
      </c>
      <c r="B498" s="4" t="s">
        <v>302</v>
      </c>
      <c r="D498" s="14" t="s">
        <v>302</v>
      </c>
      <c r="G498" s="1"/>
    </row>
    <row r="499" spans="1:7" ht="15.75" customHeight="1">
      <c r="A499" s="4" t="s">
        <v>302</v>
      </c>
      <c r="B499" s="4" t="s">
        <v>302</v>
      </c>
      <c r="D499" s="14" t="s">
        <v>302</v>
      </c>
      <c r="G499" s="1"/>
    </row>
    <row r="500" spans="1:7" ht="15.75" customHeight="1">
      <c r="A500" s="4" t="s">
        <v>302</v>
      </c>
      <c r="B500" s="4" t="s">
        <v>302</v>
      </c>
      <c r="D500" s="14" t="s">
        <v>302</v>
      </c>
      <c r="G500" s="1"/>
    </row>
    <row r="501" spans="1:7" ht="15.75" customHeight="1">
      <c r="A501" s="4" t="s">
        <v>302</v>
      </c>
      <c r="B501" s="4" t="s">
        <v>302</v>
      </c>
      <c r="D501" s="14" t="s">
        <v>302</v>
      </c>
      <c r="G501" s="1"/>
    </row>
    <row r="502" spans="1:7" ht="15.75" customHeight="1">
      <c r="A502" s="4" t="s">
        <v>302</v>
      </c>
      <c r="B502" s="4" t="s">
        <v>302</v>
      </c>
      <c r="D502" s="14" t="s">
        <v>302</v>
      </c>
      <c r="G502" s="1"/>
    </row>
    <row r="503" spans="1:7" ht="15.75" customHeight="1">
      <c r="A503" s="4" t="s">
        <v>302</v>
      </c>
      <c r="B503" s="4" t="s">
        <v>302</v>
      </c>
      <c r="D503" s="14" t="s">
        <v>302</v>
      </c>
      <c r="G503" s="1"/>
    </row>
    <row r="504" spans="1:7" ht="15.75" customHeight="1">
      <c r="A504" s="4" t="s">
        <v>302</v>
      </c>
      <c r="B504" s="4" t="s">
        <v>302</v>
      </c>
      <c r="D504" s="14" t="s">
        <v>302</v>
      </c>
      <c r="G504" s="1"/>
    </row>
    <row r="505" spans="1:7" ht="15.75" customHeight="1">
      <c r="A505" s="4" t="s">
        <v>302</v>
      </c>
      <c r="B505" s="4" t="s">
        <v>302</v>
      </c>
      <c r="D505" s="14" t="s">
        <v>302</v>
      </c>
      <c r="G505" s="1"/>
    </row>
    <row r="506" spans="1:7" ht="15.75" customHeight="1">
      <c r="A506" s="4" t="s">
        <v>302</v>
      </c>
      <c r="B506" s="4" t="s">
        <v>302</v>
      </c>
      <c r="D506" s="14" t="s">
        <v>302</v>
      </c>
      <c r="G506" s="1"/>
    </row>
    <row r="507" spans="1:7" ht="15.75" customHeight="1">
      <c r="A507" s="4" t="s">
        <v>302</v>
      </c>
      <c r="B507" s="4" t="s">
        <v>302</v>
      </c>
      <c r="D507" s="14" t="s">
        <v>302</v>
      </c>
      <c r="G507" s="1"/>
    </row>
    <row r="508" spans="1:7" ht="15.75" customHeight="1">
      <c r="A508" s="4" t="s">
        <v>302</v>
      </c>
      <c r="B508" s="4" t="s">
        <v>302</v>
      </c>
      <c r="D508" s="14" t="s">
        <v>302</v>
      </c>
      <c r="G508" s="1"/>
    </row>
    <row r="509" spans="1:7" ht="15.75" customHeight="1">
      <c r="A509" s="4" t="s">
        <v>302</v>
      </c>
      <c r="B509" s="4" t="s">
        <v>302</v>
      </c>
      <c r="D509" s="14" t="s">
        <v>302</v>
      </c>
      <c r="G509" s="1"/>
    </row>
    <row r="510" spans="1:7" ht="15.75" customHeight="1">
      <c r="A510" s="4" t="s">
        <v>302</v>
      </c>
      <c r="B510" s="4" t="s">
        <v>302</v>
      </c>
      <c r="D510" s="14" t="s">
        <v>302</v>
      </c>
      <c r="G510" s="1"/>
    </row>
    <row r="511" spans="1:7" ht="15.75" customHeight="1">
      <c r="A511" s="4" t="s">
        <v>302</v>
      </c>
      <c r="B511" s="4" t="s">
        <v>302</v>
      </c>
      <c r="D511" s="14" t="s">
        <v>302</v>
      </c>
      <c r="G511" s="1"/>
    </row>
    <row r="512" spans="1:7" ht="15.75" customHeight="1">
      <c r="A512" s="4" t="s">
        <v>302</v>
      </c>
      <c r="B512" s="4" t="s">
        <v>302</v>
      </c>
      <c r="D512" s="14" t="s">
        <v>302</v>
      </c>
      <c r="G512" s="1"/>
    </row>
    <row r="513" spans="1:7" ht="15.75" customHeight="1">
      <c r="A513" s="4" t="s">
        <v>302</v>
      </c>
      <c r="B513" s="4" t="s">
        <v>302</v>
      </c>
      <c r="D513" s="14" t="s">
        <v>302</v>
      </c>
      <c r="G513" s="1"/>
    </row>
    <row r="514" spans="1:7" ht="15.75" customHeight="1">
      <c r="A514" s="4" t="s">
        <v>302</v>
      </c>
      <c r="B514" s="4" t="s">
        <v>302</v>
      </c>
      <c r="D514" s="14" t="s">
        <v>302</v>
      </c>
      <c r="G514" s="1"/>
    </row>
    <row r="515" spans="1:7" ht="15.75" customHeight="1">
      <c r="A515" s="4" t="s">
        <v>302</v>
      </c>
      <c r="B515" s="4" t="s">
        <v>302</v>
      </c>
      <c r="D515" s="14" t="s">
        <v>302</v>
      </c>
      <c r="G515" s="1"/>
    </row>
    <row r="516" spans="1:7" ht="15.75" customHeight="1">
      <c r="A516" s="4" t="s">
        <v>302</v>
      </c>
      <c r="B516" s="4" t="s">
        <v>302</v>
      </c>
      <c r="D516" s="14" t="s">
        <v>302</v>
      </c>
      <c r="G516" s="1"/>
    </row>
    <row r="517" spans="1:7" ht="15.75" customHeight="1">
      <c r="A517" s="4" t="s">
        <v>302</v>
      </c>
      <c r="B517" s="4" t="s">
        <v>302</v>
      </c>
      <c r="D517" s="14" t="s">
        <v>302</v>
      </c>
      <c r="G517" s="1"/>
    </row>
    <row r="518" spans="1:7" ht="15.75" customHeight="1">
      <c r="A518" s="4" t="s">
        <v>302</v>
      </c>
      <c r="B518" s="4" t="s">
        <v>302</v>
      </c>
      <c r="D518" s="14" t="s">
        <v>302</v>
      </c>
      <c r="G518" s="1"/>
    </row>
    <row r="519" spans="1:7" ht="15.75" customHeight="1">
      <c r="A519" s="4" t="s">
        <v>302</v>
      </c>
      <c r="B519" s="4" t="s">
        <v>302</v>
      </c>
      <c r="D519" s="14" t="s">
        <v>302</v>
      </c>
      <c r="G519" s="1"/>
    </row>
    <row r="520" spans="1:7" ht="15.75" customHeight="1">
      <c r="A520" s="4" t="s">
        <v>302</v>
      </c>
      <c r="B520" s="4" t="s">
        <v>302</v>
      </c>
      <c r="D520" s="14" t="s">
        <v>302</v>
      </c>
      <c r="G520" s="1"/>
    </row>
    <row r="521" spans="1:7" ht="15.75" customHeight="1">
      <c r="A521" s="4" t="s">
        <v>302</v>
      </c>
      <c r="B521" s="4" t="s">
        <v>302</v>
      </c>
      <c r="D521" s="14" t="s">
        <v>302</v>
      </c>
      <c r="G521" s="1"/>
    </row>
    <row r="522" spans="1:7" ht="15.75" customHeight="1">
      <c r="A522" s="4" t="s">
        <v>302</v>
      </c>
      <c r="B522" s="4" t="s">
        <v>302</v>
      </c>
      <c r="D522" s="14" t="s">
        <v>302</v>
      </c>
      <c r="G522" s="1"/>
    </row>
    <row r="523" spans="1:7" ht="15.75" customHeight="1">
      <c r="A523" s="4" t="s">
        <v>302</v>
      </c>
      <c r="B523" s="4" t="s">
        <v>302</v>
      </c>
      <c r="D523" s="14" t="s">
        <v>302</v>
      </c>
      <c r="G523" s="1"/>
    </row>
    <row r="524" spans="1:7" ht="15.75" customHeight="1">
      <c r="A524" s="4" t="s">
        <v>302</v>
      </c>
      <c r="B524" s="4" t="s">
        <v>302</v>
      </c>
      <c r="D524" s="14" t="s">
        <v>302</v>
      </c>
      <c r="G524" s="1"/>
    </row>
    <row r="525" spans="1:7" ht="15.75" customHeight="1">
      <c r="A525" s="4" t="s">
        <v>302</v>
      </c>
      <c r="B525" s="4" t="s">
        <v>302</v>
      </c>
      <c r="D525" s="14" t="s">
        <v>302</v>
      </c>
      <c r="G525" s="1"/>
    </row>
    <row r="526" spans="1:7" ht="15.75" customHeight="1">
      <c r="A526" s="4" t="s">
        <v>302</v>
      </c>
      <c r="B526" s="4" t="s">
        <v>302</v>
      </c>
      <c r="D526" s="14" t="s">
        <v>302</v>
      </c>
      <c r="G526" s="1"/>
    </row>
    <row r="527" spans="1:7" ht="15.75" customHeight="1">
      <c r="A527" s="4" t="s">
        <v>302</v>
      </c>
      <c r="B527" s="4" t="s">
        <v>302</v>
      </c>
      <c r="D527" s="14" t="s">
        <v>302</v>
      </c>
      <c r="G527" s="1"/>
    </row>
    <row r="528" spans="1:7" ht="15.75" customHeight="1">
      <c r="A528" s="4" t="s">
        <v>302</v>
      </c>
      <c r="B528" s="4" t="s">
        <v>302</v>
      </c>
      <c r="D528" s="14" t="s">
        <v>302</v>
      </c>
      <c r="G528" s="1"/>
    </row>
    <row r="529" spans="1:7" ht="15.75" customHeight="1">
      <c r="A529" s="4" t="s">
        <v>302</v>
      </c>
      <c r="B529" s="4" t="s">
        <v>302</v>
      </c>
      <c r="D529" s="14" t="s">
        <v>302</v>
      </c>
      <c r="G529" s="1"/>
    </row>
    <row r="530" spans="1:7" ht="15.75" customHeight="1">
      <c r="A530" s="4" t="s">
        <v>302</v>
      </c>
      <c r="B530" s="4" t="s">
        <v>302</v>
      </c>
      <c r="D530" s="14" t="s">
        <v>302</v>
      </c>
      <c r="G530" s="1"/>
    </row>
    <row r="531" spans="1:7" ht="15.75" customHeight="1">
      <c r="A531" s="4" t="s">
        <v>302</v>
      </c>
      <c r="B531" s="4" t="s">
        <v>302</v>
      </c>
      <c r="D531" s="14" t="s">
        <v>302</v>
      </c>
      <c r="G531" s="1"/>
    </row>
    <row r="532" spans="1:7" ht="15.75" customHeight="1">
      <c r="A532" s="4" t="s">
        <v>302</v>
      </c>
      <c r="B532" s="4" t="s">
        <v>302</v>
      </c>
      <c r="D532" s="14" t="s">
        <v>302</v>
      </c>
      <c r="G532" s="1"/>
    </row>
    <row r="533" spans="1:7" ht="15.75" customHeight="1">
      <c r="A533" s="4" t="s">
        <v>302</v>
      </c>
      <c r="B533" s="4" t="s">
        <v>302</v>
      </c>
      <c r="D533" s="14" t="s">
        <v>302</v>
      </c>
      <c r="G533" s="1"/>
    </row>
    <row r="534" spans="1:7" ht="15.75" customHeight="1">
      <c r="A534" s="4" t="s">
        <v>302</v>
      </c>
      <c r="B534" s="4" t="s">
        <v>302</v>
      </c>
      <c r="D534" s="14" t="s">
        <v>302</v>
      </c>
      <c r="G534" s="1"/>
    </row>
    <row r="535" spans="1:7" ht="15.75" customHeight="1">
      <c r="A535" s="4" t="s">
        <v>302</v>
      </c>
      <c r="B535" s="4" t="s">
        <v>302</v>
      </c>
      <c r="D535" s="14" t="s">
        <v>302</v>
      </c>
      <c r="G535" s="1"/>
    </row>
    <row r="536" spans="1:7" ht="15.75" customHeight="1">
      <c r="A536" s="4" t="s">
        <v>302</v>
      </c>
      <c r="B536" s="4" t="s">
        <v>302</v>
      </c>
      <c r="D536" s="14" t="s">
        <v>302</v>
      </c>
      <c r="G536" s="1"/>
    </row>
    <row r="537" spans="1:7" ht="15.75" customHeight="1">
      <c r="A537" s="4" t="s">
        <v>302</v>
      </c>
      <c r="B537" s="4" t="s">
        <v>302</v>
      </c>
      <c r="D537" s="14" t="s">
        <v>302</v>
      </c>
      <c r="G537" s="1"/>
    </row>
    <row r="538" spans="1:7" ht="15.75" customHeight="1">
      <c r="A538" s="4" t="s">
        <v>302</v>
      </c>
      <c r="B538" s="4" t="s">
        <v>302</v>
      </c>
      <c r="D538" s="14" t="s">
        <v>302</v>
      </c>
      <c r="G538" s="1"/>
    </row>
    <row r="539" spans="1:7" ht="15.75" customHeight="1">
      <c r="A539" s="4" t="s">
        <v>302</v>
      </c>
      <c r="B539" s="4" t="s">
        <v>302</v>
      </c>
      <c r="D539" s="14" t="s">
        <v>302</v>
      </c>
      <c r="G539" s="1"/>
    </row>
    <row r="540" spans="1:7" ht="15.75" customHeight="1">
      <c r="A540" s="4" t="s">
        <v>302</v>
      </c>
      <c r="B540" s="4" t="s">
        <v>302</v>
      </c>
      <c r="D540" s="14" t="s">
        <v>302</v>
      </c>
      <c r="G540" s="1"/>
    </row>
    <row r="541" spans="1:7" ht="15.75" customHeight="1">
      <c r="A541" s="4" t="s">
        <v>302</v>
      </c>
      <c r="B541" s="4" t="s">
        <v>302</v>
      </c>
      <c r="D541" s="14" t="s">
        <v>302</v>
      </c>
      <c r="G541" s="1"/>
    </row>
    <row r="542" spans="1:7" ht="15.75" customHeight="1">
      <c r="A542" s="4" t="s">
        <v>302</v>
      </c>
      <c r="B542" s="4" t="s">
        <v>302</v>
      </c>
      <c r="D542" s="14" t="s">
        <v>302</v>
      </c>
      <c r="G542" s="1"/>
    </row>
    <row r="543" spans="1:7" ht="15.75" customHeight="1">
      <c r="A543" s="4" t="s">
        <v>302</v>
      </c>
      <c r="B543" s="4" t="s">
        <v>302</v>
      </c>
      <c r="D543" s="14" t="s">
        <v>302</v>
      </c>
      <c r="G543" s="1"/>
    </row>
    <row r="544" spans="1:7" ht="15.75" customHeight="1">
      <c r="A544" s="4" t="s">
        <v>302</v>
      </c>
      <c r="B544" s="4" t="s">
        <v>302</v>
      </c>
      <c r="D544" s="14" t="s">
        <v>302</v>
      </c>
      <c r="G544" s="1"/>
    </row>
    <row r="545" spans="1:7" ht="15.75" customHeight="1">
      <c r="A545" s="4" t="s">
        <v>302</v>
      </c>
      <c r="B545" s="4" t="s">
        <v>302</v>
      </c>
      <c r="D545" s="14" t="s">
        <v>302</v>
      </c>
      <c r="G545" s="1"/>
    </row>
    <row r="546" spans="1:7" ht="15.75" customHeight="1">
      <c r="A546" s="4" t="s">
        <v>302</v>
      </c>
      <c r="B546" s="4" t="s">
        <v>302</v>
      </c>
      <c r="D546" s="14" t="s">
        <v>302</v>
      </c>
      <c r="G546" s="1"/>
    </row>
    <row r="547" spans="1:7" ht="15.75" customHeight="1">
      <c r="A547" s="4" t="s">
        <v>302</v>
      </c>
      <c r="B547" s="4" t="s">
        <v>302</v>
      </c>
      <c r="D547" s="14" t="s">
        <v>302</v>
      </c>
      <c r="G547" s="1"/>
    </row>
    <row r="548" spans="1:7" ht="15.75" customHeight="1">
      <c r="A548" s="4" t="s">
        <v>302</v>
      </c>
      <c r="B548" s="4" t="s">
        <v>302</v>
      </c>
      <c r="D548" s="14" t="s">
        <v>302</v>
      </c>
      <c r="G548" s="1"/>
    </row>
    <row r="549" spans="1:7" ht="15.75" customHeight="1">
      <c r="A549" s="4" t="s">
        <v>302</v>
      </c>
      <c r="B549" s="4" t="s">
        <v>302</v>
      </c>
      <c r="D549" s="14" t="s">
        <v>302</v>
      </c>
      <c r="G549" s="1"/>
    </row>
    <row r="550" spans="1:7" ht="15.75" customHeight="1">
      <c r="A550" s="4" t="s">
        <v>302</v>
      </c>
      <c r="B550" s="4" t="s">
        <v>302</v>
      </c>
      <c r="D550" s="14" t="s">
        <v>302</v>
      </c>
      <c r="G550" s="1"/>
    </row>
    <row r="551" spans="1:7" ht="15.75" customHeight="1">
      <c r="A551" s="4" t="s">
        <v>302</v>
      </c>
      <c r="B551" s="4" t="s">
        <v>302</v>
      </c>
      <c r="D551" s="14" t="s">
        <v>302</v>
      </c>
      <c r="G551" s="1"/>
    </row>
    <row r="552" spans="1:7" ht="15.75" customHeight="1">
      <c r="A552" s="4" t="s">
        <v>302</v>
      </c>
      <c r="B552" s="4" t="s">
        <v>302</v>
      </c>
      <c r="D552" s="14" t="s">
        <v>302</v>
      </c>
      <c r="G552" s="1"/>
    </row>
    <row r="553" spans="1:7" ht="15.75" customHeight="1">
      <c r="A553" s="4" t="s">
        <v>302</v>
      </c>
      <c r="B553" s="4" t="s">
        <v>302</v>
      </c>
      <c r="D553" s="14" t="s">
        <v>302</v>
      </c>
      <c r="G553" s="1"/>
    </row>
    <row r="554" spans="1:7" ht="15.75" customHeight="1">
      <c r="A554" s="4" t="s">
        <v>302</v>
      </c>
      <c r="B554" s="4" t="s">
        <v>302</v>
      </c>
      <c r="D554" s="14" t="s">
        <v>302</v>
      </c>
      <c r="G554" s="1"/>
    </row>
    <row r="555" spans="1:7" ht="15.75" customHeight="1">
      <c r="A555" s="4" t="s">
        <v>302</v>
      </c>
      <c r="B555" s="4" t="s">
        <v>302</v>
      </c>
      <c r="D555" s="14" t="s">
        <v>302</v>
      </c>
      <c r="G555" s="1"/>
    </row>
    <row r="556" spans="1:7" ht="15.75" customHeight="1">
      <c r="A556" s="4" t="s">
        <v>302</v>
      </c>
      <c r="B556" s="4" t="s">
        <v>302</v>
      </c>
      <c r="D556" s="14" t="s">
        <v>302</v>
      </c>
      <c r="G556" s="1"/>
    </row>
    <row r="557" spans="1:7" ht="15.75" customHeight="1">
      <c r="A557" s="4" t="s">
        <v>302</v>
      </c>
      <c r="B557" s="4" t="s">
        <v>302</v>
      </c>
      <c r="D557" s="14" t="s">
        <v>302</v>
      </c>
      <c r="G557" s="1"/>
    </row>
    <row r="558" spans="1:7" ht="15.75" customHeight="1">
      <c r="A558" s="4" t="s">
        <v>302</v>
      </c>
      <c r="B558" s="4" t="s">
        <v>302</v>
      </c>
      <c r="D558" s="14" t="s">
        <v>302</v>
      </c>
      <c r="G558" s="1"/>
    </row>
    <row r="559" spans="1:7" ht="15.75" customHeight="1">
      <c r="A559" s="4" t="s">
        <v>302</v>
      </c>
      <c r="B559" s="4" t="s">
        <v>302</v>
      </c>
      <c r="D559" s="14" t="s">
        <v>302</v>
      </c>
      <c r="G559" s="1"/>
    </row>
    <row r="560" spans="1:7" ht="15.75" customHeight="1">
      <c r="A560" s="4" t="s">
        <v>302</v>
      </c>
      <c r="B560" s="4" t="s">
        <v>302</v>
      </c>
      <c r="D560" s="14" t="s">
        <v>302</v>
      </c>
      <c r="G560" s="1"/>
    </row>
    <row r="561" spans="1:7" ht="15.75" customHeight="1">
      <c r="A561" s="4" t="s">
        <v>302</v>
      </c>
      <c r="B561" s="4" t="s">
        <v>302</v>
      </c>
      <c r="D561" s="14" t="s">
        <v>302</v>
      </c>
      <c r="G561" s="1"/>
    </row>
    <row r="562" spans="1:7" ht="15.75" customHeight="1">
      <c r="A562" s="4" t="s">
        <v>302</v>
      </c>
      <c r="B562" s="4" t="s">
        <v>302</v>
      </c>
      <c r="D562" s="14" t="s">
        <v>302</v>
      </c>
      <c r="G562" s="1"/>
    </row>
    <row r="563" spans="1:7" ht="15.75" customHeight="1">
      <c r="A563" s="4" t="s">
        <v>302</v>
      </c>
      <c r="B563" s="4" t="s">
        <v>302</v>
      </c>
      <c r="D563" s="14" t="s">
        <v>302</v>
      </c>
      <c r="G563" s="1"/>
    </row>
    <row r="564" spans="1:7" ht="15.75" customHeight="1">
      <c r="A564" s="4" t="s">
        <v>302</v>
      </c>
      <c r="B564" s="4" t="s">
        <v>302</v>
      </c>
      <c r="D564" s="14" t="s">
        <v>302</v>
      </c>
      <c r="G564" s="1"/>
    </row>
    <row r="565" spans="1:7" ht="15.75" customHeight="1">
      <c r="A565" s="4" t="s">
        <v>302</v>
      </c>
      <c r="B565" s="4" t="s">
        <v>302</v>
      </c>
      <c r="D565" s="14" t="s">
        <v>302</v>
      </c>
      <c r="G565" s="1"/>
    </row>
    <row r="566" spans="1:7" ht="15.75" customHeight="1">
      <c r="A566" s="4" t="s">
        <v>302</v>
      </c>
      <c r="B566" s="4" t="s">
        <v>302</v>
      </c>
      <c r="D566" s="14" t="s">
        <v>302</v>
      </c>
      <c r="G566" s="1"/>
    </row>
    <row r="567" spans="1:7" ht="15.75" customHeight="1">
      <c r="A567" s="4" t="s">
        <v>302</v>
      </c>
      <c r="B567" s="4" t="s">
        <v>302</v>
      </c>
      <c r="D567" s="14" t="s">
        <v>302</v>
      </c>
      <c r="G567" s="1"/>
    </row>
    <row r="568" spans="1:7" ht="15.75" customHeight="1">
      <c r="A568" s="4" t="s">
        <v>302</v>
      </c>
      <c r="B568" s="4" t="s">
        <v>302</v>
      </c>
      <c r="D568" s="14" t="s">
        <v>302</v>
      </c>
      <c r="G568" s="1"/>
    </row>
    <row r="569" spans="1:7" ht="15.75" customHeight="1">
      <c r="A569" s="4" t="s">
        <v>302</v>
      </c>
      <c r="B569" s="4" t="s">
        <v>302</v>
      </c>
      <c r="D569" s="14" t="s">
        <v>302</v>
      </c>
      <c r="G569" s="1"/>
    </row>
    <row r="570" spans="1:7" ht="15.75" customHeight="1">
      <c r="A570" s="4" t="s">
        <v>302</v>
      </c>
      <c r="B570" s="4" t="s">
        <v>302</v>
      </c>
      <c r="D570" s="14" t="s">
        <v>302</v>
      </c>
      <c r="G570" s="1"/>
    </row>
    <row r="571" spans="1:7" ht="15.75" customHeight="1">
      <c r="A571" s="4" t="s">
        <v>302</v>
      </c>
      <c r="B571" s="4" t="s">
        <v>302</v>
      </c>
      <c r="D571" s="14" t="s">
        <v>302</v>
      </c>
      <c r="G571" s="1"/>
    </row>
    <row r="572" spans="1:7" ht="15.75" customHeight="1">
      <c r="A572" s="4" t="s">
        <v>302</v>
      </c>
      <c r="B572" s="4" t="s">
        <v>302</v>
      </c>
      <c r="D572" s="14" t="s">
        <v>302</v>
      </c>
      <c r="G572" s="1"/>
    </row>
    <row r="573" spans="1:7" ht="15.75" customHeight="1">
      <c r="A573" s="4" t="s">
        <v>302</v>
      </c>
      <c r="B573" s="4" t="s">
        <v>302</v>
      </c>
      <c r="D573" s="14" t="s">
        <v>302</v>
      </c>
      <c r="G573" s="1"/>
    </row>
    <row r="574" spans="1:7" ht="15.75" customHeight="1">
      <c r="A574" s="4" t="s">
        <v>302</v>
      </c>
      <c r="B574" s="4" t="s">
        <v>302</v>
      </c>
      <c r="D574" s="14" t="s">
        <v>302</v>
      </c>
      <c r="G574" s="1"/>
    </row>
    <row r="575" spans="1:7" ht="15.75" customHeight="1">
      <c r="A575" s="4" t="s">
        <v>302</v>
      </c>
      <c r="B575" s="4" t="s">
        <v>302</v>
      </c>
      <c r="D575" s="14" t="s">
        <v>302</v>
      </c>
      <c r="G575" s="1"/>
    </row>
    <row r="576" spans="1:7" ht="15.75" customHeight="1">
      <c r="A576" s="4" t="s">
        <v>302</v>
      </c>
      <c r="B576" s="4" t="s">
        <v>302</v>
      </c>
      <c r="D576" s="14" t="s">
        <v>302</v>
      </c>
      <c r="G576" s="1"/>
    </row>
    <row r="577" spans="1:7" ht="15.75" customHeight="1">
      <c r="A577" s="4" t="s">
        <v>302</v>
      </c>
      <c r="B577" s="4" t="s">
        <v>302</v>
      </c>
      <c r="D577" s="14" t="s">
        <v>302</v>
      </c>
      <c r="G577" s="1"/>
    </row>
    <row r="578" spans="1:7" ht="15.75" customHeight="1">
      <c r="A578" s="4" t="s">
        <v>302</v>
      </c>
      <c r="B578" s="4" t="s">
        <v>302</v>
      </c>
      <c r="D578" s="14" t="s">
        <v>302</v>
      </c>
      <c r="G578" s="1"/>
    </row>
    <row r="579" spans="1:7" ht="15.75" customHeight="1">
      <c r="A579" s="4" t="s">
        <v>302</v>
      </c>
      <c r="B579" s="4" t="s">
        <v>302</v>
      </c>
      <c r="D579" s="14" t="s">
        <v>302</v>
      </c>
      <c r="G579" s="1"/>
    </row>
    <row r="580" spans="1:7" ht="15.75" customHeight="1">
      <c r="A580" s="4" t="s">
        <v>302</v>
      </c>
      <c r="B580" s="4" t="s">
        <v>302</v>
      </c>
      <c r="D580" s="14" t="s">
        <v>302</v>
      </c>
      <c r="G580" s="1"/>
    </row>
    <row r="581" spans="1:7" ht="15.75" customHeight="1">
      <c r="A581" s="4" t="s">
        <v>302</v>
      </c>
      <c r="B581" s="4" t="s">
        <v>302</v>
      </c>
      <c r="D581" s="14" t="s">
        <v>302</v>
      </c>
      <c r="G581" s="1"/>
    </row>
    <row r="582" spans="1:7" ht="15.75" customHeight="1">
      <c r="A582" s="4" t="s">
        <v>302</v>
      </c>
      <c r="B582" s="4" t="s">
        <v>302</v>
      </c>
      <c r="D582" s="14" t="s">
        <v>302</v>
      </c>
      <c r="G582" s="1"/>
    </row>
    <row r="583" spans="1:7" ht="15.75" customHeight="1">
      <c r="A583" s="4" t="s">
        <v>302</v>
      </c>
      <c r="B583" s="4" t="s">
        <v>302</v>
      </c>
      <c r="D583" s="14" t="s">
        <v>302</v>
      </c>
      <c r="G583" s="1"/>
    </row>
    <row r="584" spans="1:7" ht="15.75" customHeight="1">
      <c r="A584" s="4" t="s">
        <v>302</v>
      </c>
      <c r="B584" s="4" t="s">
        <v>302</v>
      </c>
      <c r="D584" s="14" t="s">
        <v>302</v>
      </c>
      <c r="G584" s="1"/>
    </row>
    <row r="585" spans="1:7" ht="15.75" customHeight="1">
      <c r="A585" s="4" t="s">
        <v>302</v>
      </c>
      <c r="B585" s="4" t="s">
        <v>302</v>
      </c>
      <c r="D585" s="14" t="s">
        <v>302</v>
      </c>
      <c r="G585" s="1"/>
    </row>
    <row r="586" spans="1:7" ht="15.75" customHeight="1">
      <c r="A586" s="4" t="s">
        <v>302</v>
      </c>
      <c r="B586" s="4" t="s">
        <v>302</v>
      </c>
      <c r="D586" s="14" t="s">
        <v>302</v>
      </c>
      <c r="G586" s="1"/>
    </row>
    <row r="587" spans="1:7" ht="15.75" customHeight="1">
      <c r="A587" s="4" t="s">
        <v>302</v>
      </c>
      <c r="B587" s="4" t="s">
        <v>302</v>
      </c>
      <c r="D587" s="14" t="s">
        <v>302</v>
      </c>
      <c r="G587" s="1"/>
    </row>
    <row r="588" spans="1:7" ht="15.75" customHeight="1">
      <c r="A588" s="4" t="s">
        <v>302</v>
      </c>
      <c r="B588" s="4" t="s">
        <v>302</v>
      </c>
      <c r="D588" s="14" t="s">
        <v>302</v>
      </c>
      <c r="G588" s="1"/>
    </row>
    <row r="589" spans="1:7" ht="15.75" customHeight="1">
      <c r="A589" s="4" t="s">
        <v>302</v>
      </c>
      <c r="B589" s="4" t="s">
        <v>302</v>
      </c>
      <c r="D589" s="14" t="s">
        <v>302</v>
      </c>
      <c r="G589" s="1"/>
    </row>
    <row r="590" spans="1:7" ht="15.75" customHeight="1">
      <c r="A590" s="4" t="s">
        <v>302</v>
      </c>
      <c r="B590" s="4" t="s">
        <v>302</v>
      </c>
      <c r="D590" s="14" t="s">
        <v>302</v>
      </c>
      <c r="G590" s="1"/>
    </row>
    <row r="591" spans="1:7" ht="15.75" customHeight="1">
      <c r="A591" s="4" t="s">
        <v>302</v>
      </c>
      <c r="B591" s="4" t="s">
        <v>302</v>
      </c>
      <c r="D591" s="14" t="s">
        <v>302</v>
      </c>
      <c r="G591" s="1"/>
    </row>
    <row r="592" spans="1:7" ht="15.75" customHeight="1">
      <c r="A592" s="4" t="s">
        <v>302</v>
      </c>
      <c r="B592" s="4" t="s">
        <v>302</v>
      </c>
      <c r="D592" s="14" t="s">
        <v>302</v>
      </c>
      <c r="G592" s="1"/>
    </row>
    <row r="593" spans="1:7" ht="15.75" customHeight="1">
      <c r="A593" s="4" t="s">
        <v>302</v>
      </c>
      <c r="B593" s="4" t="s">
        <v>302</v>
      </c>
      <c r="D593" s="14" t="s">
        <v>302</v>
      </c>
      <c r="G593" s="1"/>
    </row>
    <row r="594" spans="1:7" ht="15.75" customHeight="1">
      <c r="A594" s="4" t="s">
        <v>302</v>
      </c>
      <c r="B594" s="4" t="s">
        <v>302</v>
      </c>
      <c r="D594" s="14" t="s">
        <v>302</v>
      </c>
      <c r="G594" s="1"/>
    </row>
    <row r="595" spans="1:7" ht="15.75" customHeight="1">
      <c r="A595" s="4" t="s">
        <v>302</v>
      </c>
      <c r="B595" s="4" t="s">
        <v>302</v>
      </c>
      <c r="D595" s="14" t="s">
        <v>302</v>
      </c>
      <c r="G595" s="1"/>
    </row>
    <row r="596" spans="1:7" ht="15.75" customHeight="1">
      <c r="A596" s="4" t="s">
        <v>302</v>
      </c>
      <c r="B596" s="4" t="s">
        <v>302</v>
      </c>
      <c r="D596" s="14" t="s">
        <v>302</v>
      </c>
      <c r="G596" s="1"/>
    </row>
    <row r="597" spans="1:7" ht="15.75" customHeight="1">
      <c r="A597" s="4" t="s">
        <v>302</v>
      </c>
      <c r="B597" s="4" t="s">
        <v>302</v>
      </c>
      <c r="D597" s="14" t="s">
        <v>302</v>
      </c>
      <c r="G597" s="1"/>
    </row>
    <row r="598" spans="1:7" ht="15.75" customHeight="1">
      <c r="A598" s="4" t="s">
        <v>302</v>
      </c>
      <c r="B598" s="4" t="s">
        <v>302</v>
      </c>
      <c r="D598" s="14" t="s">
        <v>302</v>
      </c>
      <c r="G598" s="1"/>
    </row>
    <row r="599" spans="1:7" ht="15.75" customHeight="1">
      <c r="A599" s="4" t="s">
        <v>302</v>
      </c>
      <c r="B599" s="4" t="s">
        <v>302</v>
      </c>
      <c r="D599" s="14" t="s">
        <v>302</v>
      </c>
      <c r="G599" s="1"/>
    </row>
    <row r="600" spans="1:7" ht="15.75" customHeight="1">
      <c r="A600" s="4" t="s">
        <v>302</v>
      </c>
      <c r="B600" s="4" t="s">
        <v>302</v>
      </c>
      <c r="D600" s="14" t="s">
        <v>302</v>
      </c>
      <c r="G600" s="1"/>
    </row>
    <row r="601" spans="1:7" ht="15.75" customHeight="1">
      <c r="A601" s="4" t="s">
        <v>302</v>
      </c>
      <c r="B601" s="4" t="s">
        <v>302</v>
      </c>
      <c r="D601" s="14" t="s">
        <v>302</v>
      </c>
      <c r="G601" s="1"/>
    </row>
    <row r="602" spans="1:7" ht="15.75" customHeight="1">
      <c r="A602" s="4" t="s">
        <v>302</v>
      </c>
      <c r="B602" s="4" t="s">
        <v>302</v>
      </c>
      <c r="D602" s="14" t="s">
        <v>302</v>
      </c>
      <c r="G602" s="1"/>
    </row>
    <row r="603" spans="1:7" ht="15.75" customHeight="1">
      <c r="A603" s="4" t="s">
        <v>302</v>
      </c>
      <c r="B603" s="4" t="s">
        <v>302</v>
      </c>
      <c r="D603" s="14" t="s">
        <v>302</v>
      </c>
      <c r="G603" s="1"/>
    </row>
    <row r="604" spans="1:7" ht="15.75" customHeight="1">
      <c r="A604" s="4" t="s">
        <v>302</v>
      </c>
      <c r="B604" s="4" t="s">
        <v>302</v>
      </c>
      <c r="D604" s="14" t="s">
        <v>302</v>
      </c>
      <c r="G604" s="1"/>
    </row>
    <row r="605" spans="1:7" ht="15.75" customHeight="1">
      <c r="A605" s="4" t="s">
        <v>302</v>
      </c>
      <c r="B605" s="4" t="s">
        <v>302</v>
      </c>
      <c r="D605" s="14" t="s">
        <v>302</v>
      </c>
      <c r="G605" s="1"/>
    </row>
    <row r="606" spans="1:7" ht="15.75" customHeight="1">
      <c r="A606" s="4" t="s">
        <v>302</v>
      </c>
      <c r="B606" s="4" t="s">
        <v>302</v>
      </c>
      <c r="D606" s="14" t="s">
        <v>302</v>
      </c>
      <c r="G606" s="1"/>
    </row>
    <row r="607" spans="1:7" ht="15.75" customHeight="1">
      <c r="A607" s="4" t="s">
        <v>302</v>
      </c>
      <c r="B607" s="4" t="s">
        <v>302</v>
      </c>
      <c r="D607" s="14" t="s">
        <v>302</v>
      </c>
      <c r="G607" s="1"/>
    </row>
    <row r="608" spans="1:7" ht="15.75" customHeight="1">
      <c r="A608" s="4" t="s">
        <v>302</v>
      </c>
      <c r="B608" s="4" t="s">
        <v>302</v>
      </c>
      <c r="D608" s="14" t="s">
        <v>302</v>
      </c>
      <c r="G608" s="1"/>
    </row>
    <row r="609" spans="1:7" ht="15.75" customHeight="1">
      <c r="A609" s="4" t="s">
        <v>302</v>
      </c>
      <c r="B609" s="4" t="s">
        <v>302</v>
      </c>
      <c r="D609" s="14" t="s">
        <v>302</v>
      </c>
      <c r="G609" s="1"/>
    </row>
    <row r="610" spans="1:7" ht="15.75" customHeight="1">
      <c r="A610" s="4" t="s">
        <v>302</v>
      </c>
      <c r="B610" s="4" t="s">
        <v>302</v>
      </c>
      <c r="D610" s="14" t="s">
        <v>302</v>
      </c>
      <c r="G610" s="1"/>
    </row>
    <row r="611" spans="1:7" ht="15.75" customHeight="1">
      <c r="A611" s="4" t="s">
        <v>302</v>
      </c>
      <c r="B611" s="4" t="s">
        <v>302</v>
      </c>
      <c r="D611" s="14" t="s">
        <v>302</v>
      </c>
      <c r="G611" s="1"/>
    </row>
    <row r="612" spans="1:7" ht="15.75" customHeight="1">
      <c r="A612" s="4" t="s">
        <v>302</v>
      </c>
      <c r="B612" s="4" t="s">
        <v>302</v>
      </c>
      <c r="D612" s="14" t="s">
        <v>302</v>
      </c>
      <c r="G612" s="1"/>
    </row>
    <row r="613" spans="1:7" ht="15.75" customHeight="1">
      <c r="A613" s="4" t="s">
        <v>302</v>
      </c>
      <c r="B613" s="4" t="s">
        <v>302</v>
      </c>
      <c r="D613" s="14" t="s">
        <v>302</v>
      </c>
      <c r="G613" s="1"/>
    </row>
    <row r="614" spans="1:7" ht="15.75" customHeight="1">
      <c r="A614" s="4" t="s">
        <v>302</v>
      </c>
      <c r="B614" s="4" t="s">
        <v>302</v>
      </c>
      <c r="D614" s="14" t="s">
        <v>302</v>
      </c>
      <c r="G614" s="1"/>
    </row>
    <row r="615" spans="1:7" ht="15.75" customHeight="1">
      <c r="A615" s="4" t="s">
        <v>302</v>
      </c>
      <c r="B615" s="4" t="s">
        <v>302</v>
      </c>
      <c r="D615" s="14" t="s">
        <v>302</v>
      </c>
      <c r="G615" s="1"/>
    </row>
    <row r="616" spans="1:7" ht="15.75" customHeight="1">
      <c r="A616" s="4" t="s">
        <v>302</v>
      </c>
      <c r="B616" s="4" t="s">
        <v>302</v>
      </c>
      <c r="D616" s="14" t="s">
        <v>302</v>
      </c>
      <c r="G616" s="1"/>
    </row>
    <row r="617" spans="1:7" ht="15.75" customHeight="1">
      <c r="A617" s="4" t="s">
        <v>302</v>
      </c>
      <c r="B617" s="4" t="s">
        <v>302</v>
      </c>
      <c r="D617" s="14" t="s">
        <v>302</v>
      </c>
      <c r="G617" s="1"/>
    </row>
    <row r="618" spans="1:7" ht="15.75" customHeight="1">
      <c r="A618" s="4" t="s">
        <v>302</v>
      </c>
      <c r="B618" s="4" t="s">
        <v>302</v>
      </c>
      <c r="D618" s="14" t="s">
        <v>302</v>
      </c>
      <c r="G618" s="1"/>
    </row>
    <row r="619" spans="1:7" ht="15.75" customHeight="1">
      <c r="A619" s="4" t="s">
        <v>302</v>
      </c>
      <c r="B619" s="4" t="s">
        <v>302</v>
      </c>
      <c r="D619" s="14" t="s">
        <v>302</v>
      </c>
      <c r="G619" s="1"/>
    </row>
    <row r="620" spans="1:7" ht="15.75" customHeight="1">
      <c r="A620" s="4" t="s">
        <v>302</v>
      </c>
      <c r="B620" s="4" t="s">
        <v>302</v>
      </c>
      <c r="D620" s="14" t="s">
        <v>302</v>
      </c>
      <c r="G620" s="1"/>
    </row>
    <row r="621" spans="1:7" ht="15.75" customHeight="1">
      <c r="A621" s="4" t="s">
        <v>302</v>
      </c>
      <c r="B621" s="4" t="s">
        <v>302</v>
      </c>
      <c r="D621" s="14" t="s">
        <v>302</v>
      </c>
      <c r="G621" s="1"/>
    </row>
    <row r="622" spans="1:7" ht="15.75" customHeight="1">
      <c r="A622" s="4" t="s">
        <v>302</v>
      </c>
      <c r="B622" s="4" t="s">
        <v>302</v>
      </c>
      <c r="D622" s="14" t="s">
        <v>302</v>
      </c>
      <c r="G622" s="1"/>
    </row>
    <row r="623" spans="1:7" ht="15.75" customHeight="1">
      <c r="A623" s="4" t="s">
        <v>302</v>
      </c>
      <c r="B623" s="4" t="s">
        <v>302</v>
      </c>
      <c r="D623" s="14" t="s">
        <v>302</v>
      </c>
      <c r="G623" s="1"/>
    </row>
    <row r="624" spans="1:7" ht="15.75" customHeight="1">
      <c r="A624" s="4" t="s">
        <v>302</v>
      </c>
      <c r="B624" s="4" t="s">
        <v>302</v>
      </c>
      <c r="D624" s="14" t="s">
        <v>302</v>
      </c>
      <c r="G624" s="1"/>
    </row>
    <row r="625" spans="1:7" ht="15.75" customHeight="1">
      <c r="A625" s="4" t="s">
        <v>302</v>
      </c>
      <c r="B625" s="4" t="s">
        <v>302</v>
      </c>
      <c r="D625" s="14" t="s">
        <v>302</v>
      </c>
      <c r="G625" s="1"/>
    </row>
    <row r="626" spans="1:7" ht="15.75" customHeight="1">
      <c r="A626" s="4" t="s">
        <v>302</v>
      </c>
      <c r="B626" s="4" t="s">
        <v>302</v>
      </c>
      <c r="D626" s="14" t="s">
        <v>302</v>
      </c>
      <c r="G626" s="1"/>
    </row>
    <row r="627" spans="1:7" ht="15.75" customHeight="1">
      <c r="A627" s="4" t="s">
        <v>302</v>
      </c>
      <c r="B627" s="4" t="s">
        <v>302</v>
      </c>
      <c r="D627" s="14" t="s">
        <v>302</v>
      </c>
      <c r="G627" s="1"/>
    </row>
    <row r="628" spans="1:7" ht="15.75" customHeight="1">
      <c r="A628" s="4" t="s">
        <v>302</v>
      </c>
      <c r="B628" s="4" t="s">
        <v>302</v>
      </c>
      <c r="D628" s="14" t="s">
        <v>302</v>
      </c>
      <c r="G628" s="1"/>
    </row>
    <row r="629" spans="1:7" ht="15.75" customHeight="1">
      <c r="A629" s="4" t="s">
        <v>302</v>
      </c>
      <c r="B629" s="4" t="s">
        <v>302</v>
      </c>
      <c r="D629" s="14" t="s">
        <v>302</v>
      </c>
      <c r="G629" s="1"/>
    </row>
    <row r="630" spans="1:7" ht="15.75" customHeight="1">
      <c r="A630" s="4" t="s">
        <v>302</v>
      </c>
      <c r="B630" s="4" t="s">
        <v>302</v>
      </c>
      <c r="D630" s="14" t="s">
        <v>302</v>
      </c>
      <c r="G630" s="1"/>
    </row>
    <row r="631" spans="1:7" ht="15.75" customHeight="1">
      <c r="A631" s="4" t="s">
        <v>302</v>
      </c>
      <c r="B631" s="4" t="s">
        <v>302</v>
      </c>
      <c r="D631" s="14" t="s">
        <v>302</v>
      </c>
      <c r="G631" s="1"/>
    </row>
    <row r="632" spans="1:7" ht="15.75" customHeight="1">
      <c r="A632" s="4" t="s">
        <v>302</v>
      </c>
      <c r="B632" s="4" t="s">
        <v>302</v>
      </c>
      <c r="D632" s="14" t="s">
        <v>302</v>
      </c>
      <c r="G632" s="1"/>
    </row>
    <row r="633" spans="1:7" ht="15.75" customHeight="1">
      <c r="A633" s="4" t="s">
        <v>302</v>
      </c>
      <c r="B633" s="4" t="s">
        <v>302</v>
      </c>
      <c r="D633" s="14" t="s">
        <v>302</v>
      </c>
      <c r="G633" s="1"/>
    </row>
    <row r="634" spans="1:7" ht="15.75" customHeight="1">
      <c r="A634" s="4" t="s">
        <v>302</v>
      </c>
      <c r="B634" s="4" t="s">
        <v>302</v>
      </c>
      <c r="D634" s="14" t="s">
        <v>302</v>
      </c>
      <c r="G634" s="1"/>
    </row>
    <row r="635" spans="1:7" ht="15.75" customHeight="1">
      <c r="A635" s="4" t="s">
        <v>302</v>
      </c>
      <c r="B635" s="4" t="s">
        <v>302</v>
      </c>
      <c r="D635" s="14" t="s">
        <v>302</v>
      </c>
      <c r="G635" s="1"/>
    </row>
    <row r="636" spans="1:7" ht="15.75" customHeight="1">
      <c r="A636" s="4" t="s">
        <v>302</v>
      </c>
      <c r="B636" s="4" t="s">
        <v>302</v>
      </c>
      <c r="D636" s="14" t="s">
        <v>302</v>
      </c>
      <c r="G636" s="1"/>
    </row>
    <row r="637" spans="1:7" ht="15.75" customHeight="1">
      <c r="A637" s="4" t="s">
        <v>302</v>
      </c>
      <c r="B637" s="4" t="s">
        <v>302</v>
      </c>
      <c r="D637" s="14" t="s">
        <v>302</v>
      </c>
      <c r="G637" s="1"/>
    </row>
    <row r="638" spans="1:7" ht="15.75" customHeight="1">
      <c r="A638" s="4" t="s">
        <v>302</v>
      </c>
      <c r="B638" s="4" t="s">
        <v>302</v>
      </c>
      <c r="D638" s="14" t="s">
        <v>302</v>
      </c>
      <c r="G638" s="1"/>
    </row>
    <row r="639" spans="1:7" ht="15.75" customHeight="1">
      <c r="A639" s="4" t="s">
        <v>302</v>
      </c>
      <c r="B639" s="4" t="s">
        <v>302</v>
      </c>
      <c r="D639" s="14" t="s">
        <v>302</v>
      </c>
      <c r="G639" s="1"/>
    </row>
    <row r="640" spans="1:7" ht="15.75" customHeight="1">
      <c r="A640" s="4" t="s">
        <v>302</v>
      </c>
      <c r="B640" s="4" t="s">
        <v>302</v>
      </c>
      <c r="D640" s="14" t="s">
        <v>302</v>
      </c>
      <c r="G640" s="1"/>
    </row>
    <row r="641" spans="1:7" ht="15.75" customHeight="1">
      <c r="A641" s="4" t="s">
        <v>302</v>
      </c>
      <c r="B641" s="4" t="s">
        <v>302</v>
      </c>
      <c r="D641" s="14" t="s">
        <v>302</v>
      </c>
      <c r="G641" s="1"/>
    </row>
    <row r="642" spans="1:7" ht="15.75" customHeight="1">
      <c r="A642" s="4" t="s">
        <v>302</v>
      </c>
      <c r="B642" s="4" t="s">
        <v>302</v>
      </c>
      <c r="D642" s="14" t="s">
        <v>302</v>
      </c>
      <c r="G642" s="1"/>
    </row>
    <row r="643" spans="1:7" ht="15.75" customHeight="1">
      <c r="A643" s="4" t="s">
        <v>302</v>
      </c>
      <c r="B643" s="4" t="s">
        <v>302</v>
      </c>
      <c r="D643" s="14" t="s">
        <v>302</v>
      </c>
      <c r="G643" s="1"/>
    </row>
    <row r="644" spans="1:7" ht="15.75" customHeight="1">
      <c r="A644" s="4" t="s">
        <v>302</v>
      </c>
      <c r="B644" s="4" t="s">
        <v>302</v>
      </c>
      <c r="D644" s="14" t="s">
        <v>302</v>
      </c>
      <c r="G644" s="1"/>
    </row>
    <row r="645" spans="1:7" ht="15.75" customHeight="1">
      <c r="A645" s="4" t="s">
        <v>302</v>
      </c>
      <c r="B645" s="4" t="s">
        <v>302</v>
      </c>
      <c r="D645" s="14" t="s">
        <v>302</v>
      </c>
      <c r="G645" s="1"/>
    </row>
    <row r="646" spans="1:7" ht="15.75" customHeight="1">
      <c r="A646" s="4" t="s">
        <v>302</v>
      </c>
      <c r="B646" s="4" t="s">
        <v>302</v>
      </c>
      <c r="D646" s="14" t="s">
        <v>302</v>
      </c>
      <c r="G646" s="1"/>
    </row>
    <row r="647" spans="1:7" ht="15.75" customHeight="1">
      <c r="A647" s="4" t="s">
        <v>302</v>
      </c>
      <c r="B647" s="4" t="s">
        <v>302</v>
      </c>
      <c r="D647" s="14" t="s">
        <v>302</v>
      </c>
      <c r="G647" s="1"/>
    </row>
    <row r="648" spans="1:7" ht="15.75" customHeight="1">
      <c r="A648" s="4" t="s">
        <v>302</v>
      </c>
      <c r="B648" s="4" t="s">
        <v>302</v>
      </c>
      <c r="D648" s="14" t="s">
        <v>302</v>
      </c>
      <c r="G648" s="1"/>
    </row>
    <row r="649" spans="1:7" ht="15.75" customHeight="1">
      <c r="A649" s="4" t="s">
        <v>302</v>
      </c>
      <c r="B649" s="4" t="s">
        <v>302</v>
      </c>
      <c r="D649" s="14" t="s">
        <v>302</v>
      </c>
      <c r="G649" s="1"/>
    </row>
    <row r="650" spans="1:7" ht="15.75" customHeight="1">
      <c r="A650" s="4" t="s">
        <v>302</v>
      </c>
      <c r="B650" s="4" t="s">
        <v>302</v>
      </c>
      <c r="D650" s="14" t="s">
        <v>302</v>
      </c>
      <c r="G650" s="1"/>
    </row>
    <row r="651" spans="1:7" ht="15.75" customHeight="1">
      <c r="A651" s="4" t="s">
        <v>302</v>
      </c>
      <c r="B651" s="4" t="s">
        <v>302</v>
      </c>
      <c r="D651" s="14" t="s">
        <v>302</v>
      </c>
      <c r="G651" s="1"/>
    </row>
    <row r="652" spans="1:7" ht="15.75" customHeight="1">
      <c r="A652" s="4" t="s">
        <v>302</v>
      </c>
      <c r="B652" s="4" t="s">
        <v>302</v>
      </c>
      <c r="D652" s="14" t="s">
        <v>302</v>
      </c>
      <c r="G652" s="1"/>
    </row>
    <row r="653" spans="1:7" ht="15.75" customHeight="1">
      <c r="A653" s="4" t="s">
        <v>302</v>
      </c>
      <c r="B653" s="4" t="s">
        <v>302</v>
      </c>
      <c r="D653" s="14" t="s">
        <v>302</v>
      </c>
      <c r="G653" s="1"/>
    </row>
    <row r="654" spans="1:7" ht="15.75" customHeight="1">
      <c r="A654" s="4" t="s">
        <v>302</v>
      </c>
      <c r="B654" s="4" t="s">
        <v>302</v>
      </c>
      <c r="D654" s="14" t="s">
        <v>302</v>
      </c>
      <c r="G654" s="1"/>
    </row>
    <row r="655" spans="1:7" ht="15.75" customHeight="1">
      <c r="A655" s="4" t="s">
        <v>302</v>
      </c>
      <c r="B655" s="4" t="s">
        <v>302</v>
      </c>
      <c r="D655" s="14" t="s">
        <v>302</v>
      </c>
      <c r="G655" s="1"/>
    </row>
    <row r="656" spans="1:7" ht="15.75" customHeight="1">
      <c r="A656" s="4" t="s">
        <v>302</v>
      </c>
      <c r="B656" s="4" t="s">
        <v>302</v>
      </c>
      <c r="D656" s="14" t="s">
        <v>302</v>
      </c>
      <c r="G656" s="1"/>
    </row>
    <row r="657" spans="1:7" ht="15.75" customHeight="1">
      <c r="A657" s="4" t="s">
        <v>302</v>
      </c>
      <c r="B657" s="4" t="s">
        <v>302</v>
      </c>
      <c r="D657" s="14" t="s">
        <v>302</v>
      </c>
      <c r="G657" s="1"/>
    </row>
    <row r="658" spans="1:7" ht="15.75" customHeight="1">
      <c r="A658" s="4" t="s">
        <v>302</v>
      </c>
      <c r="B658" s="4" t="s">
        <v>302</v>
      </c>
      <c r="D658" s="14" t="s">
        <v>302</v>
      </c>
      <c r="G658" s="1"/>
    </row>
    <row r="659" spans="1:7" ht="15.75" customHeight="1">
      <c r="A659" s="4" t="s">
        <v>302</v>
      </c>
      <c r="B659" s="4" t="s">
        <v>302</v>
      </c>
      <c r="D659" s="14" t="s">
        <v>302</v>
      </c>
      <c r="G659" s="1"/>
    </row>
    <row r="660" spans="1:7" ht="15.75" customHeight="1">
      <c r="A660" s="4" t="s">
        <v>302</v>
      </c>
      <c r="B660" s="4" t="s">
        <v>302</v>
      </c>
      <c r="D660" s="14" t="s">
        <v>302</v>
      </c>
      <c r="G660" s="1"/>
    </row>
    <row r="661" spans="1:7" ht="15.75" customHeight="1">
      <c r="A661" s="4" t="s">
        <v>302</v>
      </c>
      <c r="B661" s="4" t="s">
        <v>302</v>
      </c>
      <c r="D661" s="14" t="s">
        <v>302</v>
      </c>
      <c r="G661" s="1"/>
    </row>
    <row r="662" spans="1:7" ht="15.75" customHeight="1">
      <c r="A662" s="4" t="s">
        <v>302</v>
      </c>
      <c r="B662" s="4" t="s">
        <v>302</v>
      </c>
      <c r="D662" s="14" t="s">
        <v>302</v>
      </c>
      <c r="G662" s="1"/>
    </row>
    <row r="663" spans="1:7" ht="15.75" customHeight="1">
      <c r="A663" s="4" t="s">
        <v>302</v>
      </c>
      <c r="B663" s="4" t="s">
        <v>302</v>
      </c>
      <c r="D663" s="14" t="s">
        <v>302</v>
      </c>
      <c r="G663" s="1"/>
    </row>
    <row r="664" spans="1:7" ht="15.75" customHeight="1">
      <c r="A664" s="4" t="s">
        <v>302</v>
      </c>
      <c r="B664" s="4" t="s">
        <v>302</v>
      </c>
      <c r="D664" s="14" t="s">
        <v>302</v>
      </c>
      <c r="G664" s="1"/>
    </row>
    <row r="665" spans="1:7" ht="15.75" customHeight="1">
      <c r="A665" s="4" t="s">
        <v>302</v>
      </c>
      <c r="B665" s="4" t="s">
        <v>302</v>
      </c>
      <c r="D665" s="14" t="s">
        <v>302</v>
      </c>
      <c r="G665" s="1"/>
    </row>
    <row r="666" spans="1:7" ht="15.75" customHeight="1">
      <c r="A666" s="4" t="s">
        <v>302</v>
      </c>
      <c r="B666" s="4" t="s">
        <v>302</v>
      </c>
      <c r="D666" s="14" t="s">
        <v>302</v>
      </c>
      <c r="G666" s="1"/>
    </row>
    <row r="667" spans="1:7" ht="15.75" customHeight="1">
      <c r="A667" s="4" t="s">
        <v>302</v>
      </c>
      <c r="B667" s="4" t="s">
        <v>302</v>
      </c>
      <c r="D667" s="14" t="s">
        <v>302</v>
      </c>
      <c r="G667" s="1"/>
    </row>
    <row r="668" spans="1:7" ht="15.75" customHeight="1">
      <c r="A668" s="4" t="s">
        <v>302</v>
      </c>
      <c r="B668" s="4" t="s">
        <v>302</v>
      </c>
      <c r="D668" s="14" t="s">
        <v>302</v>
      </c>
      <c r="G668" s="1"/>
    </row>
    <row r="669" spans="1:7" ht="15.75" customHeight="1">
      <c r="A669" s="4" t="s">
        <v>302</v>
      </c>
      <c r="B669" s="4" t="s">
        <v>302</v>
      </c>
      <c r="D669" s="14" t="s">
        <v>302</v>
      </c>
      <c r="G669" s="1"/>
    </row>
    <row r="670" spans="1:7" ht="15.75" customHeight="1">
      <c r="A670" s="4" t="s">
        <v>302</v>
      </c>
      <c r="B670" s="4" t="s">
        <v>302</v>
      </c>
      <c r="D670" s="14" t="s">
        <v>302</v>
      </c>
      <c r="G670" s="1"/>
    </row>
    <row r="671" spans="1:7" ht="15.75" customHeight="1">
      <c r="A671" s="4" t="s">
        <v>302</v>
      </c>
      <c r="B671" s="4" t="s">
        <v>302</v>
      </c>
      <c r="D671" s="14" t="s">
        <v>302</v>
      </c>
      <c r="G671" s="1"/>
    </row>
    <row r="672" spans="1:7" ht="15.75" customHeight="1">
      <c r="A672" s="4" t="s">
        <v>302</v>
      </c>
      <c r="B672" s="4" t="s">
        <v>302</v>
      </c>
      <c r="D672" s="14" t="s">
        <v>302</v>
      </c>
      <c r="G672" s="1"/>
    </row>
    <row r="673" spans="1:7" ht="15.75" customHeight="1">
      <c r="A673" s="4" t="s">
        <v>302</v>
      </c>
      <c r="B673" s="4" t="s">
        <v>302</v>
      </c>
      <c r="D673" s="14" t="s">
        <v>302</v>
      </c>
      <c r="G673" s="1"/>
    </row>
    <row r="674" spans="1:7" ht="15.75" customHeight="1">
      <c r="A674" s="4" t="s">
        <v>302</v>
      </c>
      <c r="B674" s="4" t="s">
        <v>302</v>
      </c>
      <c r="D674" s="14" t="s">
        <v>302</v>
      </c>
      <c r="G674" s="1"/>
    </row>
    <row r="675" spans="1:7" ht="15.75" customHeight="1">
      <c r="A675" s="4" t="s">
        <v>302</v>
      </c>
      <c r="B675" s="4" t="s">
        <v>302</v>
      </c>
      <c r="D675" s="14" t="s">
        <v>302</v>
      </c>
      <c r="G675" s="1"/>
    </row>
    <row r="676" spans="1:7" ht="15.75" customHeight="1">
      <c r="A676" s="4" t="s">
        <v>302</v>
      </c>
      <c r="B676" s="4" t="s">
        <v>302</v>
      </c>
      <c r="D676" s="14" t="s">
        <v>302</v>
      </c>
      <c r="G676" s="1"/>
    </row>
    <row r="677" spans="1:7" ht="15.75" customHeight="1">
      <c r="A677" s="4" t="s">
        <v>302</v>
      </c>
      <c r="B677" s="4" t="s">
        <v>302</v>
      </c>
      <c r="D677" s="14" t="s">
        <v>302</v>
      </c>
      <c r="G677" s="1"/>
    </row>
    <row r="678" spans="1:7" ht="15.75" customHeight="1">
      <c r="A678" s="4" t="s">
        <v>302</v>
      </c>
      <c r="B678" s="4" t="s">
        <v>302</v>
      </c>
      <c r="D678" s="14" t="s">
        <v>302</v>
      </c>
      <c r="G678" s="1"/>
    </row>
    <row r="679" spans="1:7" ht="15.75" customHeight="1">
      <c r="A679" s="4" t="s">
        <v>302</v>
      </c>
      <c r="B679" s="4" t="s">
        <v>302</v>
      </c>
      <c r="D679" s="14" t="s">
        <v>302</v>
      </c>
      <c r="G679" s="1"/>
    </row>
    <row r="680" spans="1:7" ht="15.75" customHeight="1">
      <c r="A680" s="4" t="s">
        <v>302</v>
      </c>
      <c r="B680" s="4" t="s">
        <v>302</v>
      </c>
      <c r="D680" s="14" t="s">
        <v>302</v>
      </c>
      <c r="G680" s="1"/>
    </row>
    <row r="681" spans="1:7" ht="15.75" customHeight="1">
      <c r="A681" s="4" t="s">
        <v>302</v>
      </c>
      <c r="B681" s="4" t="s">
        <v>302</v>
      </c>
      <c r="D681" s="14" t="s">
        <v>302</v>
      </c>
      <c r="G681" s="1"/>
    </row>
    <row r="682" spans="1:7" ht="15.75" customHeight="1">
      <c r="A682" s="4" t="s">
        <v>302</v>
      </c>
      <c r="B682" s="4" t="s">
        <v>302</v>
      </c>
      <c r="D682" s="14" t="s">
        <v>302</v>
      </c>
      <c r="G682" s="1"/>
    </row>
    <row r="683" spans="1:7" ht="15.75" customHeight="1">
      <c r="A683" s="4" t="s">
        <v>302</v>
      </c>
      <c r="B683" s="4" t="s">
        <v>302</v>
      </c>
      <c r="D683" s="14" t="s">
        <v>302</v>
      </c>
      <c r="G683" s="1"/>
    </row>
    <row r="684" spans="1:7" ht="15.75" customHeight="1">
      <c r="A684" s="4" t="s">
        <v>302</v>
      </c>
      <c r="B684" s="4" t="s">
        <v>302</v>
      </c>
      <c r="D684" s="14" t="s">
        <v>302</v>
      </c>
      <c r="G684" s="1"/>
    </row>
    <row r="685" spans="1:7" ht="15.75" customHeight="1">
      <c r="A685" s="4" t="s">
        <v>302</v>
      </c>
      <c r="B685" s="4" t="s">
        <v>302</v>
      </c>
      <c r="D685" s="14" t="s">
        <v>302</v>
      </c>
      <c r="G685" s="1"/>
    </row>
    <row r="686" spans="1:7" ht="15.75" customHeight="1">
      <c r="A686" s="4" t="s">
        <v>302</v>
      </c>
      <c r="B686" s="4" t="s">
        <v>302</v>
      </c>
      <c r="D686" s="14" t="s">
        <v>302</v>
      </c>
      <c r="G686" s="1"/>
    </row>
    <row r="687" spans="1:7" ht="15.75" customHeight="1">
      <c r="A687" s="4" t="s">
        <v>302</v>
      </c>
      <c r="B687" s="4" t="s">
        <v>302</v>
      </c>
      <c r="D687" s="14" t="s">
        <v>302</v>
      </c>
      <c r="G687" s="1"/>
    </row>
    <row r="688" spans="1:7" ht="15.75" customHeight="1">
      <c r="A688" s="4" t="s">
        <v>302</v>
      </c>
      <c r="B688" s="4" t="s">
        <v>302</v>
      </c>
      <c r="D688" s="14" t="s">
        <v>302</v>
      </c>
      <c r="G688" s="1"/>
    </row>
    <row r="689" spans="1:7" ht="15.75" customHeight="1">
      <c r="A689" s="4" t="s">
        <v>302</v>
      </c>
      <c r="B689" s="4" t="s">
        <v>302</v>
      </c>
      <c r="D689" s="14" t="s">
        <v>302</v>
      </c>
      <c r="G689" s="1"/>
    </row>
    <row r="690" spans="1:7" ht="15.75" customHeight="1">
      <c r="A690" s="4" t="s">
        <v>302</v>
      </c>
      <c r="B690" s="4" t="s">
        <v>302</v>
      </c>
      <c r="D690" s="14" t="s">
        <v>302</v>
      </c>
      <c r="G690" s="1"/>
    </row>
    <row r="691" spans="1:7" ht="15.75" customHeight="1">
      <c r="A691" s="4" t="s">
        <v>302</v>
      </c>
      <c r="B691" s="4" t="s">
        <v>302</v>
      </c>
      <c r="D691" s="14" t="s">
        <v>302</v>
      </c>
      <c r="G691" s="1"/>
    </row>
    <row r="692" spans="1:7" ht="15.75" customHeight="1">
      <c r="A692" s="4" t="s">
        <v>302</v>
      </c>
      <c r="B692" s="4" t="s">
        <v>302</v>
      </c>
      <c r="D692" s="14" t="s">
        <v>302</v>
      </c>
      <c r="G692" s="1"/>
    </row>
    <row r="693" spans="1:7" ht="15.75" customHeight="1">
      <c r="A693" s="4" t="s">
        <v>302</v>
      </c>
      <c r="B693" s="4" t="s">
        <v>302</v>
      </c>
      <c r="D693" s="14" t="s">
        <v>302</v>
      </c>
      <c r="G693" s="1"/>
    </row>
    <row r="694" spans="1:7" ht="15.75" customHeight="1">
      <c r="A694" s="4" t="s">
        <v>302</v>
      </c>
      <c r="B694" s="4" t="s">
        <v>302</v>
      </c>
      <c r="D694" s="14" t="s">
        <v>302</v>
      </c>
      <c r="G694" s="1"/>
    </row>
    <row r="695" spans="1:7" ht="15.75" customHeight="1">
      <c r="A695" s="4" t="s">
        <v>302</v>
      </c>
      <c r="B695" s="4" t="s">
        <v>302</v>
      </c>
      <c r="D695" s="14" t="s">
        <v>302</v>
      </c>
      <c r="G695" s="1"/>
    </row>
    <row r="696" spans="1:7" ht="15.75" customHeight="1">
      <c r="A696" s="4" t="s">
        <v>302</v>
      </c>
      <c r="B696" s="4" t="s">
        <v>302</v>
      </c>
      <c r="D696" s="14" t="s">
        <v>302</v>
      </c>
      <c r="G696" s="1"/>
    </row>
    <row r="697" spans="1:7" ht="15.75" customHeight="1">
      <c r="A697" s="4" t="s">
        <v>302</v>
      </c>
      <c r="B697" s="4" t="s">
        <v>302</v>
      </c>
      <c r="D697" s="14" t="s">
        <v>302</v>
      </c>
      <c r="G697" s="1"/>
    </row>
    <row r="698" spans="1:7" ht="15.75" customHeight="1">
      <c r="A698" s="4" t="s">
        <v>302</v>
      </c>
      <c r="B698" s="4" t="s">
        <v>302</v>
      </c>
      <c r="D698" s="14" t="s">
        <v>302</v>
      </c>
      <c r="G698" s="1"/>
    </row>
    <row r="699" spans="1:7" ht="15.75" customHeight="1">
      <c r="A699" s="4" t="s">
        <v>302</v>
      </c>
      <c r="B699" s="4" t="s">
        <v>302</v>
      </c>
      <c r="D699" s="14" t="s">
        <v>302</v>
      </c>
      <c r="G699" s="1"/>
    </row>
    <row r="700" spans="1:7" ht="15.75" customHeight="1">
      <c r="A700" s="4" t="s">
        <v>302</v>
      </c>
      <c r="B700" s="4" t="s">
        <v>302</v>
      </c>
      <c r="D700" s="14" t="s">
        <v>302</v>
      </c>
      <c r="G700" s="1"/>
    </row>
    <row r="701" spans="1:7" ht="15.75" customHeight="1">
      <c r="A701" s="4" t="s">
        <v>302</v>
      </c>
      <c r="B701" s="4" t="s">
        <v>302</v>
      </c>
      <c r="D701" s="14" t="s">
        <v>302</v>
      </c>
      <c r="G701" s="1"/>
    </row>
    <row r="702" spans="1:7" ht="15.75" customHeight="1">
      <c r="A702" s="4" t="s">
        <v>302</v>
      </c>
      <c r="B702" s="4" t="s">
        <v>302</v>
      </c>
      <c r="D702" s="14" t="s">
        <v>302</v>
      </c>
      <c r="G702" s="1"/>
    </row>
    <row r="703" spans="1:7" ht="15.75" customHeight="1">
      <c r="A703" s="4" t="s">
        <v>302</v>
      </c>
      <c r="B703" s="4" t="s">
        <v>302</v>
      </c>
      <c r="D703" s="14" t="s">
        <v>302</v>
      </c>
      <c r="G703" s="1"/>
    </row>
    <row r="704" spans="1:7" ht="15.75" customHeight="1">
      <c r="A704" s="4" t="s">
        <v>302</v>
      </c>
      <c r="B704" s="4" t="s">
        <v>302</v>
      </c>
      <c r="D704" s="14" t="s">
        <v>302</v>
      </c>
      <c r="G704" s="1"/>
    </row>
    <row r="705" spans="1:7" ht="15.75" customHeight="1">
      <c r="A705" s="4" t="s">
        <v>302</v>
      </c>
      <c r="B705" s="4" t="s">
        <v>302</v>
      </c>
      <c r="D705" s="14" t="s">
        <v>302</v>
      </c>
      <c r="G705" s="1"/>
    </row>
    <row r="706" spans="1:7" ht="15.75" customHeight="1">
      <c r="A706" s="4" t="s">
        <v>302</v>
      </c>
      <c r="B706" s="4" t="s">
        <v>302</v>
      </c>
      <c r="D706" s="14" t="s">
        <v>302</v>
      </c>
      <c r="G706" s="1"/>
    </row>
    <row r="707" spans="1:7" ht="15.75" customHeight="1">
      <c r="A707" s="4" t="s">
        <v>302</v>
      </c>
      <c r="B707" s="4" t="s">
        <v>302</v>
      </c>
      <c r="D707" s="14" t="s">
        <v>302</v>
      </c>
      <c r="G707" s="1"/>
    </row>
    <row r="708" spans="1:7" ht="15.75" customHeight="1">
      <c r="A708" s="4" t="s">
        <v>302</v>
      </c>
      <c r="B708" s="4" t="s">
        <v>302</v>
      </c>
      <c r="D708" s="14" t="s">
        <v>302</v>
      </c>
      <c r="G708" s="1"/>
    </row>
    <row r="709" spans="1:7" ht="15.75" customHeight="1">
      <c r="A709" s="4" t="s">
        <v>302</v>
      </c>
      <c r="B709" s="4" t="s">
        <v>302</v>
      </c>
      <c r="D709" s="14" t="s">
        <v>302</v>
      </c>
      <c r="G709" s="1"/>
    </row>
    <row r="710" spans="1:7" ht="15.75" customHeight="1">
      <c r="A710" s="4" t="s">
        <v>302</v>
      </c>
      <c r="B710" s="4" t="s">
        <v>302</v>
      </c>
      <c r="D710" s="14" t="s">
        <v>302</v>
      </c>
      <c r="G710" s="1"/>
    </row>
    <row r="711" spans="1:7" ht="15.75" customHeight="1">
      <c r="A711" s="4" t="s">
        <v>302</v>
      </c>
      <c r="B711" s="4" t="s">
        <v>302</v>
      </c>
      <c r="D711" s="14" t="s">
        <v>302</v>
      </c>
      <c r="G711" s="1"/>
    </row>
    <row r="712" spans="1:7" ht="15.75" customHeight="1">
      <c r="A712" s="4" t="s">
        <v>302</v>
      </c>
      <c r="B712" s="4" t="s">
        <v>302</v>
      </c>
      <c r="D712" s="14" t="s">
        <v>302</v>
      </c>
      <c r="G712" s="1"/>
    </row>
    <row r="713" spans="1:7" ht="15.75" customHeight="1">
      <c r="A713" s="4" t="s">
        <v>302</v>
      </c>
      <c r="B713" s="4" t="s">
        <v>302</v>
      </c>
      <c r="D713" s="14" t="s">
        <v>302</v>
      </c>
      <c r="G713" s="1"/>
    </row>
    <row r="714" spans="1:7" ht="15.75" customHeight="1">
      <c r="A714" s="4" t="s">
        <v>302</v>
      </c>
      <c r="B714" s="4" t="s">
        <v>302</v>
      </c>
      <c r="D714" s="14" t="s">
        <v>302</v>
      </c>
      <c r="G714" s="1"/>
    </row>
    <row r="715" spans="1:7" ht="15.75" customHeight="1">
      <c r="A715" s="4" t="s">
        <v>302</v>
      </c>
      <c r="B715" s="4" t="s">
        <v>302</v>
      </c>
      <c r="D715" s="14" t="s">
        <v>302</v>
      </c>
      <c r="G715" s="1"/>
    </row>
    <row r="716" spans="1:7" ht="15.75" customHeight="1">
      <c r="A716" s="4" t="s">
        <v>302</v>
      </c>
      <c r="B716" s="4" t="s">
        <v>302</v>
      </c>
      <c r="D716" s="14" t="s">
        <v>302</v>
      </c>
      <c r="G716" s="1"/>
    </row>
    <row r="717" spans="1:7" ht="15.75" customHeight="1">
      <c r="A717" s="4" t="s">
        <v>302</v>
      </c>
      <c r="B717" s="4" t="s">
        <v>302</v>
      </c>
      <c r="D717" s="14" t="s">
        <v>302</v>
      </c>
      <c r="G717" s="1"/>
    </row>
    <row r="718" spans="1:7" ht="15.75" customHeight="1">
      <c r="A718" s="4" t="s">
        <v>302</v>
      </c>
      <c r="B718" s="4" t="s">
        <v>302</v>
      </c>
      <c r="D718" s="14" t="s">
        <v>302</v>
      </c>
      <c r="G718" s="1"/>
    </row>
    <row r="719" spans="1:7" ht="15.75" customHeight="1">
      <c r="A719" s="4" t="s">
        <v>302</v>
      </c>
      <c r="B719" s="4" t="s">
        <v>302</v>
      </c>
      <c r="D719" s="14" t="s">
        <v>302</v>
      </c>
      <c r="G719" s="1"/>
    </row>
    <row r="720" spans="1:7" ht="15.75" customHeight="1">
      <c r="A720" s="4" t="s">
        <v>302</v>
      </c>
      <c r="B720" s="4" t="s">
        <v>302</v>
      </c>
      <c r="D720" s="14" t="s">
        <v>302</v>
      </c>
      <c r="G720" s="1"/>
    </row>
    <row r="721" spans="1:7" ht="15.75" customHeight="1">
      <c r="A721" s="4" t="s">
        <v>302</v>
      </c>
      <c r="B721" s="4" t="s">
        <v>302</v>
      </c>
      <c r="D721" s="14" t="s">
        <v>302</v>
      </c>
      <c r="G721" s="1"/>
    </row>
    <row r="722" spans="1:7" ht="15.75" customHeight="1">
      <c r="A722" s="4" t="s">
        <v>302</v>
      </c>
      <c r="B722" s="4" t="s">
        <v>302</v>
      </c>
      <c r="D722" s="14" t="s">
        <v>302</v>
      </c>
      <c r="G722" s="1"/>
    </row>
    <row r="723" spans="1:7" ht="15.75" customHeight="1">
      <c r="A723" s="4" t="s">
        <v>302</v>
      </c>
      <c r="B723" s="4" t="s">
        <v>302</v>
      </c>
      <c r="D723" s="14" t="s">
        <v>302</v>
      </c>
      <c r="G723" s="1"/>
    </row>
    <row r="724" spans="1:7" ht="15.75" customHeight="1">
      <c r="A724" s="4" t="s">
        <v>302</v>
      </c>
      <c r="B724" s="4" t="s">
        <v>302</v>
      </c>
      <c r="D724" s="14" t="s">
        <v>302</v>
      </c>
      <c r="G724" s="1"/>
    </row>
    <row r="725" spans="1:7" ht="15.75" customHeight="1">
      <c r="A725" s="4" t="s">
        <v>302</v>
      </c>
      <c r="B725" s="4" t="s">
        <v>302</v>
      </c>
      <c r="D725" s="14" t="s">
        <v>302</v>
      </c>
      <c r="G725" s="1"/>
    </row>
    <row r="726" spans="1:7" ht="15.75" customHeight="1">
      <c r="A726" s="4" t="s">
        <v>302</v>
      </c>
      <c r="B726" s="4" t="s">
        <v>302</v>
      </c>
      <c r="D726" s="14" t="s">
        <v>302</v>
      </c>
      <c r="G726" s="1"/>
    </row>
    <row r="727" spans="1:7" ht="15.75" customHeight="1">
      <c r="A727" s="4" t="s">
        <v>302</v>
      </c>
      <c r="B727" s="4" t="s">
        <v>302</v>
      </c>
      <c r="D727" s="14" t="s">
        <v>302</v>
      </c>
      <c r="G727" s="1"/>
    </row>
    <row r="728" spans="1:7" ht="15.75" customHeight="1">
      <c r="A728" s="4" t="s">
        <v>302</v>
      </c>
      <c r="B728" s="4" t="s">
        <v>302</v>
      </c>
      <c r="D728" s="14" t="s">
        <v>302</v>
      </c>
      <c r="G728" s="1"/>
    </row>
    <row r="729" spans="1:7" ht="15.75" customHeight="1">
      <c r="A729" s="4" t="s">
        <v>302</v>
      </c>
      <c r="B729" s="4" t="s">
        <v>302</v>
      </c>
      <c r="D729" s="14" t="s">
        <v>302</v>
      </c>
      <c r="G729" s="1"/>
    </row>
    <row r="730" spans="1:7" ht="15.75" customHeight="1">
      <c r="A730" s="4" t="s">
        <v>302</v>
      </c>
      <c r="B730" s="4" t="s">
        <v>302</v>
      </c>
      <c r="D730" s="14" t="s">
        <v>302</v>
      </c>
      <c r="G730" s="1"/>
    </row>
    <row r="731" spans="1:7" ht="15.75" customHeight="1">
      <c r="A731" s="4" t="s">
        <v>302</v>
      </c>
      <c r="B731" s="4" t="s">
        <v>302</v>
      </c>
      <c r="D731" s="14" t="s">
        <v>302</v>
      </c>
      <c r="G731" s="1"/>
    </row>
    <row r="732" spans="1:7" ht="15.75" customHeight="1">
      <c r="A732" s="4" t="s">
        <v>302</v>
      </c>
      <c r="B732" s="4" t="s">
        <v>302</v>
      </c>
      <c r="D732" s="14" t="s">
        <v>302</v>
      </c>
      <c r="G732" s="1"/>
    </row>
    <row r="733" spans="1:7" ht="15.75" customHeight="1">
      <c r="A733" s="4" t="s">
        <v>302</v>
      </c>
      <c r="B733" s="4" t="s">
        <v>302</v>
      </c>
      <c r="D733" s="14" t="s">
        <v>302</v>
      </c>
      <c r="G733" s="1"/>
    </row>
    <row r="734" spans="1:7" ht="15.75" customHeight="1">
      <c r="A734" s="4" t="s">
        <v>302</v>
      </c>
      <c r="B734" s="4" t="s">
        <v>302</v>
      </c>
      <c r="D734" s="14" t="s">
        <v>302</v>
      </c>
      <c r="G734" s="1"/>
    </row>
    <row r="735" spans="1:7" ht="15.75" customHeight="1">
      <c r="A735" s="4" t="s">
        <v>302</v>
      </c>
      <c r="B735" s="4" t="s">
        <v>302</v>
      </c>
      <c r="D735" s="14" t="s">
        <v>302</v>
      </c>
      <c r="G735" s="1"/>
    </row>
    <row r="736" spans="1:7" ht="15.75" customHeight="1">
      <c r="A736" s="4" t="s">
        <v>302</v>
      </c>
      <c r="B736" s="4" t="s">
        <v>302</v>
      </c>
      <c r="D736" s="14" t="s">
        <v>302</v>
      </c>
      <c r="G736" s="1"/>
    </row>
    <row r="737" spans="1:7" ht="15.75" customHeight="1">
      <c r="A737" s="4" t="s">
        <v>302</v>
      </c>
      <c r="B737" s="4" t="s">
        <v>302</v>
      </c>
      <c r="D737" s="14" t="s">
        <v>302</v>
      </c>
      <c r="G737" s="1"/>
    </row>
    <row r="738" spans="1:7" ht="15.75" customHeight="1">
      <c r="A738" s="4" t="s">
        <v>302</v>
      </c>
      <c r="B738" s="4" t="s">
        <v>302</v>
      </c>
      <c r="D738" s="14" t="s">
        <v>302</v>
      </c>
      <c r="G738" s="1"/>
    </row>
    <row r="739" spans="1:7" ht="15.75" customHeight="1">
      <c r="A739" s="4" t="s">
        <v>302</v>
      </c>
      <c r="B739" s="4" t="s">
        <v>302</v>
      </c>
      <c r="D739" s="14" t="s">
        <v>302</v>
      </c>
      <c r="G739" s="1"/>
    </row>
    <row r="740" spans="1:7" ht="15.75" customHeight="1">
      <c r="A740" s="4" t="s">
        <v>302</v>
      </c>
      <c r="B740" s="4" t="s">
        <v>302</v>
      </c>
      <c r="D740" s="14" t="s">
        <v>302</v>
      </c>
      <c r="G740" s="1"/>
    </row>
    <row r="741" spans="1:7" ht="15.75" customHeight="1">
      <c r="A741" s="4" t="s">
        <v>302</v>
      </c>
      <c r="B741" s="4" t="s">
        <v>302</v>
      </c>
      <c r="D741" s="14" t="s">
        <v>302</v>
      </c>
      <c r="G741" s="1"/>
    </row>
    <row r="742" spans="1:7" ht="15.75" customHeight="1">
      <c r="A742" s="4" t="s">
        <v>302</v>
      </c>
      <c r="B742" s="4" t="s">
        <v>302</v>
      </c>
      <c r="D742" s="14" t="s">
        <v>302</v>
      </c>
      <c r="G742" s="1"/>
    </row>
    <row r="743" spans="1:7" ht="15.75" customHeight="1">
      <c r="A743" s="4" t="s">
        <v>302</v>
      </c>
      <c r="B743" s="4" t="s">
        <v>302</v>
      </c>
      <c r="D743" s="14" t="s">
        <v>302</v>
      </c>
      <c r="G743" s="1"/>
    </row>
    <row r="744" spans="1:7" ht="15.75" customHeight="1">
      <c r="A744" s="4" t="s">
        <v>302</v>
      </c>
      <c r="B744" s="4" t="s">
        <v>302</v>
      </c>
      <c r="D744" s="14" t="s">
        <v>302</v>
      </c>
      <c r="G744" s="1"/>
    </row>
    <row r="745" spans="1:7" ht="15.75" customHeight="1">
      <c r="A745" s="4" t="s">
        <v>302</v>
      </c>
      <c r="B745" s="4" t="s">
        <v>302</v>
      </c>
      <c r="D745" s="14" t="s">
        <v>302</v>
      </c>
      <c r="G745" s="1"/>
    </row>
    <row r="746" spans="1:7" ht="15.75" customHeight="1">
      <c r="A746" s="4" t="s">
        <v>302</v>
      </c>
      <c r="B746" s="4" t="s">
        <v>302</v>
      </c>
      <c r="D746" s="14" t="s">
        <v>302</v>
      </c>
      <c r="G746" s="1"/>
    </row>
    <row r="747" spans="1:7" ht="15.75" customHeight="1">
      <c r="A747" s="4" t="s">
        <v>302</v>
      </c>
      <c r="B747" s="4" t="s">
        <v>302</v>
      </c>
      <c r="D747" s="14" t="s">
        <v>302</v>
      </c>
      <c r="G747" s="1"/>
    </row>
    <row r="748" spans="1:7" ht="15.75" customHeight="1">
      <c r="A748" s="4" t="s">
        <v>302</v>
      </c>
      <c r="B748" s="4" t="s">
        <v>302</v>
      </c>
      <c r="D748" s="14" t="s">
        <v>302</v>
      </c>
      <c r="G748" s="1"/>
    </row>
    <row r="749" spans="1:7" ht="15.75" customHeight="1">
      <c r="A749" s="4" t="s">
        <v>302</v>
      </c>
      <c r="B749" s="4" t="s">
        <v>302</v>
      </c>
      <c r="D749" s="14" t="s">
        <v>302</v>
      </c>
      <c r="G749" s="1"/>
    </row>
    <row r="750" spans="1:7" ht="15.75" customHeight="1">
      <c r="A750" s="4" t="s">
        <v>302</v>
      </c>
      <c r="B750" s="4" t="s">
        <v>302</v>
      </c>
      <c r="D750" s="14" t="s">
        <v>302</v>
      </c>
      <c r="G750" s="1"/>
    </row>
    <row r="751" spans="1:7" ht="15.75" customHeight="1">
      <c r="A751" s="4" t="s">
        <v>302</v>
      </c>
      <c r="B751" s="4" t="s">
        <v>302</v>
      </c>
      <c r="D751" s="14" t="s">
        <v>302</v>
      </c>
      <c r="G751" s="1"/>
    </row>
    <row r="752" spans="1:7" ht="15.75" customHeight="1">
      <c r="A752" s="4" t="s">
        <v>302</v>
      </c>
      <c r="B752" s="4" t="s">
        <v>302</v>
      </c>
      <c r="D752" s="14" t="s">
        <v>302</v>
      </c>
      <c r="G752" s="1"/>
    </row>
    <row r="753" spans="1:7" ht="15.75" customHeight="1">
      <c r="A753" s="4" t="s">
        <v>302</v>
      </c>
      <c r="B753" s="4" t="s">
        <v>302</v>
      </c>
      <c r="D753" s="14" t="s">
        <v>302</v>
      </c>
      <c r="G753" s="1"/>
    </row>
    <row r="754" spans="1:7" ht="15.75" customHeight="1">
      <c r="A754" s="4" t="s">
        <v>302</v>
      </c>
      <c r="B754" s="4" t="s">
        <v>302</v>
      </c>
      <c r="D754" s="14" t="s">
        <v>302</v>
      </c>
      <c r="G754" s="1"/>
    </row>
    <row r="755" spans="1:7" ht="15.75" customHeight="1">
      <c r="A755" s="4" t="s">
        <v>302</v>
      </c>
      <c r="B755" s="4" t="s">
        <v>302</v>
      </c>
      <c r="D755" s="14" t="s">
        <v>302</v>
      </c>
      <c r="G755" s="1"/>
    </row>
    <row r="756" spans="1:7" ht="15.75" customHeight="1">
      <c r="A756" s="4" t="s">
        <v>302</v>
      </c>
      <c r="B756" s="4" t="s">
        <v>302</v>
      </c>
      <c r="D756" s="14" t="s">
        <v>302</v>
      </c>
      <c r="G756" s="1"/>
    </row>
    <row r="757" spans="1:7" ht="15.75" customHeight="1">
      <c r="A757" s="4" t="s">
        <v>302</v>
      </c>
      <c r="B757" s="4" t="s">
        <v>302</v>
      </c>
      <c r="D757" s="14" t="s">
        <v>302</v>
      </c>
      <c r="G757" s="1"/>
    </row>
    <row r="758" spans="1:7" ht="15.75" customHeight="1">
      <c r="A758" s="4" t="s">
        <v>302</v>
      </c>
      <c r="B758" s="4" t="s">
        <v>302</v>
      </c>
      <c r="D758" s="14" t="s">
        <v>302</v>
      </c>
      <c r="G758" s="1"/>
    </row>
    <row r="759" spans="1:7" ht="15.75" customHeight="1">
      <c r="A759" s="4" t="s">
        <v>302</v>
      </c>
      <c r="B759" s="4" t="s">
        <v>302</v>
      </c>
      <c r="D759" s="14" t="s">
        <v>302</v>
      </c>
      <c r="G759" s="1"/>
    </row>
    <row r="760" spans="1:7" ht="15.75" customHeight="1">
      <c r="A760" s="4" t="s">
        <v>302</v>
      </c>
      <c r="B760" s="4" t="s">
        <v>302</v>
      </c>
      <c r="D760" s="14" t="s">
        <v>302</v>
      </c>
      <c r="G760" s="1"/>
    </row>
    <row r="761" spans="1:7" ht="15.75" customHeight="1">
      <c r="A761" s="4" t="s">
        <v>302</v>
      </c>
      <c r="B761" s="4" t="s">
        <v>302</v>
      </c>
      <c r="D761" s="14" t="s">
        <v>302</v>
      </c>
      <c r="G761" s="1"/>
    </row>
    <row r="762" spans="1:7" ht="15.75" customHeight="1">
      <c r="A762" s="4" t="s">
        <v>302</v>
      </c>
      <c r="B762" s="4" t="s">
        <v>302</v>
      </c>
      <c r="D762" s="14" t="s">
        <v>302</v>
      </c>
      <c r="G762" s="1"/>
    </row>
    <row r="763" spans="1:7" ht="15.75" customHeight="1">
      <c r="A763" s="4" t="s">
        <v>302</v>
      </c>
      <c r="B763" s="4" t="s">
        <v>302</v>
      </c>
      <c r="D763" s="14" t="s">
        <v>302</v>
      </c>
      <c r="G763" s="1"/>
    </row>
    <row r="764" spans="1:7" ht="15.75" customHeight="1">
      <c r="A764" s="4" t="s">
        <v>302</v>
      </c>
      <c r="B764" s="4" t="s">
        <v>302</v>
      </c>
      <c r="D764" s="14" t="s">
        <v>302</v>
      </c>
      <c r="G764" s="1"/>
    </row>
    <row r="765" spans="1:7" ht="15.75" customHeight="1">
      <c r="A765" s="4" t="s">
        <v>302</v>
      </c>
      <c r="B765" s="4" t="s">
        <v>302</v>
      </c>
      <c r="D765" s="14" t="s">
        <v>302</v>
      </c>
      <c r="G765" s="1"/>
    </row>
    <row r="766" spans="1:7" ht="15.75" customHeight="1">
      <c r="A766" s="4" t="s">
        <v>302</v>
      </c>
      <c r="B766" s="4" t="s">
        <v>302</v>
      </c>
      <c r="D766" s="14" t="s">
        <v>302</v>
      </c>
      <c r="G766" s="1"/>
    </row>
    <row r="767" spans="1:7" ht="15.75" customHeight="1">
      <c r="A767" s="4" t="s">
        <v>302</v>
      </c>
      <c r="B767" s="4" t="s">
        <v>302</v>
      </c>
      <c r="D767" s="14" t="s">
        <v>302</v>
      </c>
      <c r="G767" s="1"/>
    </row>
    <row r="768" spans="1:7" ht="15.75" customHeight="1">
      <c r="A768" s="4" t="s">
        <v>302</v>
      </c>
      <c r="B768" s="4" t="s">
        <v>302</v>
      </c>
      <c r="D768" s="14" t="s">
        <v>302</v>
      </c>
      <c r="G768" s="1"/>
    </row>
    <row r="769" spans="1:7" ht="15.75" customHeight="1">
      <c r="A769" s="4" t="s">
        <v>302</v>
      </c>
      <c r="B769" s="4" t="s">
        <v>302</v>
      </c>
      <c r="D769" s="14" t="s">
        <v>302</v>
      </c>
      <c r="G769" s="1"/>
    </row>
    <row r="770" spans="1:7" ht="15.75" customHeight="1">
      <c r="A770" s="4" t="s">
        <v>302</v>
      </c>
      <c r="B770" s="4" t="s">
        <v>302</v>
      </c>
      <c r="D770" s="14" t="s">
        <v>302</v>
      </c>
      <c r="G770" s="1"/>
    </row>
    <row r="771" spans="1:7" ht="15.75" customHeight="1">
      <c r="A771" s="4" t="s">
        <v>302</v>
      </c>
      <c r="B771" s="4" t="s">
        <v>302</v>
      </c>
      <c r="D771" s="14" t="s">
        <v>302</v>
      </c>
      <c r="G771" s="1"/>
    </row>
    <row r="772" spans="1:7" ht="15.75" customHeight="1">
      <c r="A772" s="4" t="s">
        <v>302</v>
      </c>
      <c r="B772" s="4" t="s">
        <v>302</v>
      </c>
      <c r="D772" s="14" t="s">
        <v>302</v>
      </c>
      <c r="G772" s="1"/>
    </row>
    <row r="773" spans="1:7" ht="15.75" customHeight="1">
      <c r="A773" s="4" t="s">
        <v>302</v>
      </c>
      <c r="B773" s="4" t="s">
        <v>302</v>
      </c>
      <c r="D773" s="14" t="s">
        <v>302</v>
      </c>
      <c r="G773" s="1"/>
    </row>
    <row r="774" spans="1:7" ht="15.75" customHeight="1">
      <c r="A774" s="4" t="s">
        <v>302</v>
      </c>
      <c r="B774" s="4" t="s">
        <v>302</v>
      </c>
      <c r="D774" s="14" t="s">
        <v>302</v>
      </c>
      <c r="G774" s="1"/>
    </row>
    <row r="775" spans="1:7" ht="15.75" customHeight="1">
      <c r="A775" s="4" t="s">
        <v>302</v>
      </c>
      <c r="B775" s="4" t="s">
        <v>302</v>
      </c>
      <c r="D775" s="14" t="s">
        <v>302</v>
      </c>
      <c r="G775" s="1"/>
    </row>
    <row r="776" spans="1:7" ht="15.75" customHeight="1">
      <c r="A776" s="4" t="s">
        <v>302</v>
      </c>
      <c r="B776" s="4" t="s">
        <v>302</v>
      </c>
      <c r="D776" s="14" t="s">
        <v>302</v>
      </c>
      <c r="G776" s="1"/>
    </row>
    <row r="777" spans="1:7" ht="15.75" customHeight="1">
      <c r="A777" s="4" t="s">
        <v>302</v>
      </c>
      <c r="B777" s="4" t="s">
        <v>302</v>
      </c>
      <c r="D777" s="14" t="s">
        <v>302</v>
      </c>
      <c r="G777" s="1"/>
    </row>
    <row r="778" spans="1:7" ht="15.75" customHeight="1">
      <c r="A778" s="4" t="s">
        <v>302</v>
      </c>
      <c r="B778" s="4" t="s">
        <v>302</v>
      </c>
      <c r="D778" s="14" t="s">
        <v>302</v>
      </c>
      <c r="G778" s="1"/>
    </row>
    <row r="779" spans="1:7" ht="15.75" customHeight="1">
      <c r="A779" s="4" t="s">
        <v>302</v>
      </c>
      <c r="B779" s="4" t="s">
        <v>302</v>
      </c>
      <c r="D779" s="14" t="s">
        <v>302</v>
      </c>
      <c r="G779" s="1"/>
    </row>
    <row r="780" spans="1:7" ht="15.75" customHeight="1">
      <c r="A780" s="4" t="s">
        <v>302</v>
      </c>
      <c r="B780" s="4" t="s">
        <v>302</v>
      </c>
      <c r="D780" s="14" t="s">
        <v>302</v>
      </c>
      <c r="G780" s="1"/>
    </row>
    <row r="781" spans="1:7" ht="15.75" customHeight="1">
      <c r="A781" s="4" t="s">
        <v>302</v>
      </c>
      <c r="B781" s="4" t="s">
        <v>302</v>
      </c>
      <c r="D781" s="14" t="s">
        <v>302</v>
      </c>
      <c r="G781" s="1"/>
    </row>
    <row r="782" spans="1:7" ht="15.75" customHeight="1">
      <c r="A782" s="4" t="s">
        <v>302</v>
      </c>
      <c r="B782" s="4" t="s">
        <v>302</v>
      </c>
      <c r="D782" s="14" t="s">
        <v>302</v>
      </c>
      <c r="G782" s="1"/>
    </row>
    <row r="783" spans="1:7" ht="15.75" customHeight="1">
      <c r="A783" s="4" t="s">
        <v>302</v>
      </c>
      <c r="B783" s="4" t="s">
        <v>302</v>
      </c>
      <c r="D783" s="14" t="s">
        <v>302</v>
      </c>
      <c r="G783" s="1"/>
    </row>
    <row r="784" spans="1:7" ht="15.75" customHeight="1">
      <c r="A784" s="4" t="s">
        <v>302</v>
      </c>
      <c r="B784" s="4" t="s">
        <v>302</v>
      </c>
      <c r="D784" s="14" t="s">
        <v>302</v>
      </c>
      <c r="G784" s="1"/>
    </row>
    <row r="785" spans="1:7" ht="15.75" customHeight="1">
      <c r="A785" s="4" t="s">
        <v>302</v>
      </c>
      <c r="B785" s="4" t="s">
        <v>302</v>
      </c>
      <c r="D785" s="14" t="s">
        <v>302</v>
      </c>
      <c r="G785" s="1"/>
    </row>
    <row r="786" spans="1:7" ht="15.75" customHeight="1">
      <c r="A786" s="4" t="s">
        <v>302</v>
      </c>
      <c r="B786" s="4" t="s">
        <v>302</v>
      </c>
      <c r="D786" s="14" t="s">
        <v>302</v>
      </c>
      <c r="G786" s="1"/>
    </row>
    <row r="787" spans="1:7" ht="15.75" customHeight="1">
      <c r="A787" s="4" t="s">
        <v>302</v>
      </c>
      <c r="B787" s="4" t="s">
        <v>302</v>
      </c>
      <c r="D787" s="14" t="s">
        <v>302</v>
      </c>
      <c r="G787" s="1"/>
    </row>
    <row r="788" spans="1:7" ht="15.75" customHeight="1">
      <c r="A788" s="4" t="s">
        <v>302</v>
      </c>
      <c r="B788" s="4" t="s">
        <v>302</v>
      </c>
      <c r="D788" s="14" t="s">
        <v>302</v>
      </c>
      <c r="G788" s="1"/>
    </row>
    <row r="789" spans="1:7" ht="15.75" customHeight="1">
      <c r="A789" s="4" t="s">
        <v>302</v>
      </c>
      <c r="B789" s="4" t="s">
        <v>302</v>
      </c>
      <c r="D789" s="14" t="s">
        <v>302</v>
      </c>
      <c r="G789" s="1"/>
    </row>
    <row r="790" spans="1:7" ht="15.75" customHeight="1">
      <c r="A790" s="4" t="s">
        <v>302</v>
      </c>
      <c r="B790" s="4" t="s">
        <v>302</v>
      </c>
      <c r="D790" s="14" t="s">
        <v>302</v>
      </c>
      <c r="G790" s="1"/>
    </row>
    <row r="791" spans="1:7" ht="15.75" customHeight="1">
      <c r="A791" s="4" t="s">
        <v>302</v>
      </c>
      <c r="B791" s="4" t="s">
        <v>302</v>
      </c>
      <c r="D791" s="14" t="s">
        <v>302</v>
      </c>
      <c r="G791" s="1"/>
    </row>
    <row r="792" spans="1:7" ht="15.75" customHeight="1">
      <c r="A792" s="4" t="s">
        <v>302</v>
      </c>
      <c r="B792" s="4" t="s">
        <v>302</v>
      </c>
      <c r="D792" s="14" t="s">
        <v>302</v>
      </c>
      <c r="G792" s="1"/>
    </row>
    <row r="793" spans="1:7" ht="15.75" customHeight="1">
      <c r="A793" s="4" t="s">
        <v>302</v>
      </c>
      <c r="B793" s="4" t="s">
        <v>302</v>
      </c>
      <c r="D793" s="14" t="s">
        <v>302</v>
      </c>
      <c r="G793" s="1"/>
    </row>
    <row r="794" spans="1:7" ht="15.75" customHeight="1">
      <c r="A794" s="4" t="s">
        <v>302</v>
      </c>
      <c r="B794" s="4" t="s">
        <v>302</v>
      </c>
      <c r="D794" s="14" t="s">
        <v>302</v>
      </c>
      <c r="G794" s="1"/>
    </row>
    <row r="795" spans="1:7" ht="15.75" customHeight="1">
      <c r="A795" s="4" t="s">
        <v>302</v>
      </c>
      <c r="B795" s="4" t="s">
        <v>302</v>
      </c>
      <c r="D795" s="14" t="s">
        <v>302</v>
      </c>
      <c r="G795" s="1"/>
    </row>
    <row r="796" spans="1:7" ht="15.75" customHeight="1">
      <c r="A796" s="4" t="s">
        <v>302</v>
      </c>
      <c r="B796" s="4" t="s">
        <v>302</v>
      </c>
      <c r="D796" s="14" t="s">
        <v>302</v>
      </c>
      <c r="G796" s="1"/>
    </row>
    <row r="797" spans="1:7" ht="15.75" customHeight="1">
      <c r="A797" s="4" t="s">
        <v>302</v>
      </c>
      <c r="B797" s="4" t="s">
        <v>302</v>
      </c>
      <c r="D797" s="14" t="s">
        <v>302</v>
      </c>
      <c r="G797" s="1"/>
    </row>
    <row r="798" spans="1:7" ht="15.75" customHeight="1">
      <c r="A798" s="4" t="s">
        <v>302</v>
      </c>
      <c r="B798" s="4" t="s">
        <v>302</v>
      </c>
      <c r="D798" s="14" t="s">
        <v>302</v>
      </c>
      <c r="G798" s="1"/>
    </row>
    <row r="799" spans="1:7" ht="15.75" customHeight="1">
      <c r="A799" s="4" t="s">
        <v>302</v>
      </c>
      <c r="B799" s="4" t="s">
        <v>302</v>
      </c>
      <c r="D799" s="14" t="s">
        <v>302</v>
      </c>
      <c r="G799" s="1"/>
    </row>
    <row r="800" spans="1:7" ht="15.75" customHeight="1">
      <c r="A800" s="4" t="s">
        <v>302</v>
      </c>
      <c r="B800" s="4" t="s">
        <v>302</v>
      </c>
      <c r="D800" s="14" t="s">
        <v>302</v>
      </c>
      <c r="G800" s="1"/>
    </row>
    <row r="801" spans="1:7" ht="15.75" customHeight="1">
      <c r="A801" s="4" t="s">
        <v>302</v>
      </c>
      <c r="B801" s="4" t="s">
        <v>302</v>
      </c>
      <c r="D801" s="14" t="s">
        <v>302</v>
      </c>
      <c r="G801" s="1"/>
    </row>
    <row r="802" spans="1:7" ht="15.75" customHeight="1">
      <c r="A802" s="4" t="s">
        <v>302</v>
      </c>
      <c r="B802" s="4" t="s">
        <v>302</v>
      </c>
      <c r="D802" s="14" t="s">
        <v>302</v>
      </c>
      <c r="G802" s="1"/>
    </row>
    <row r="803" spans="1:7" ht="15.75" customHeight="1">
      <c r="A803" s="4" t="s">
        <v>302</v>
      </c>
      <c r="B803" s="4" t="s">
        <v>302</v>
      </c>
      <c r="D803" s="14" t="s">
        <v>302</v>
      </c>
      <c r="G803" s="1"/>
    </row>
    <row r="804" spans="1:7" ht="15.75" customHeight="1">
      <c r="A804" s="4" t="s">
        <v>302</v>
      </c>
      <c r="B804" s="4" t="s">
        <v>302</v>
      </c>
      <c r="D804" s="14" t="s">
        <v>302</v>
      </c>
      <c r="G804" s="1"/>
    </row>
    <row r="805" spans="1:7" ht="15.75" customHeight="1">
      <c r="A805" s="4" t="s">
        <v>302</v>
      </c>
      <c r="B805" s="4" t="s">
        <v>302</v>
      </c>
      <c r="D805" s="14" t="s">
        <v>302</v>
      </c>
      <c r="G805" s="1"/>
    </row>
    <row r="806" spans="1:7" ht="15.75" customHeight="1">
      <c r="A806" s="4" t="s">
        <v>302</v>
      </c>
      <c r="B806" s="4" t="s">
        <v>302</v>
      </c>
      <c r="D806" s="14" t="s">
        <v>302</v>
      </c>
      <c r="G806" s="1"/>
    </row>
    <row r="807" spans="1:7" ht="15.75" customHeight="1">
      <c r="A807" s="4" t="s">
        <v>302</v>
      </c>
      <c r="B807" s="4" t="s">
        <v>302</v>
      </c>
      <c r="D807" s="14" t="s">
        <v>302</v>
      </c>
      <c r="G807" s="1"/>
    </row>
    <row r="808" spans="1:7" ht="15.75" customHeight="1">
      <c r="A808" s="4" t="s">
        <v>302</v>
      </c>
      <c r="B808" s="4" t="s">
        <v>302</v>
      </c>
      <c r="D808" s="14" t="s">
        <v>302</v>
      </c>
      <c r="G808" s="1"/>
    </row>
    <row r="809" spans="1:7" ht="15.75" customHeight="1">
      <c r="A809" s="4" t="s">
        <v>302</v>
      </c>
      <c r="B809" s="4" t="s">
        <v>302</v>
      </c>
      <c r="D809" s="14" t="s">
        <v>302</v>
      </c>
      <c r="G809" s="1"/>
    </row>
    <row r="810" spans="1:7" ht="15.75" customHeight="1">
      <c r="A810" s="4" t="s">
        <v>302</v>
      </c>
      <c r="B810" s="4" t="s">
        <v>302</v>
      </c>
      <c r="D810" s="14" t="s">
        <v>302</v>
      </c>
      <c r="G810" s="1"/>
    </row>
    <row r="811" spans="1:7" ht="15.75" customHeight="1">
      <c r="A811" s="4" t="s">
        <v>302</v>
      </c>
      <c r="B811" s="4" t="s">
        <v>302</v>
      </c>
      <c r="D811" s="14" t="s">
        <v>302</v>
      </c>
      <c r="G811" s="1"/>
    </row>
    <row r="812" spans="1:7" ht="15.75" customHeight="1">
      <c r="A812" s="4" t="s">
        <v>302</v>
      </c>
      <c r="B812" s="4" t="s">
        <v>302</v>
      </c>
      <c r="D812" s="14" t="s">
        <v>302</v>
      </c>
      <c r="G812" s="1"/>
    </row>
    <row r="813" spans="1:7" ht="15.75" customHeight="1">
      <c r="A813" s="4" t="s">
        <v>302</v>
      </c>
      <c r="B813" s="4" t="s">
        <v>302</v>
      </c>
      <c r="D813" s="14" t="s">
        <v>302</v>
      </c>
      <c r="G813" s="1"/>
    </row>
    <row r="814" spans="1:7" ht="15.75" customHeight="1">
      <c r="A814" s="4" t="s">
        <v>302</v>
      </c>
      <c r="B814" s="4" t="s">
        <v>302</v>
      </c>
      <c r="D814" s="14" t="s">
        <v>302</v>
      </c>
      <c r="G814" s="1"/>
    </row>
    <row r="815" spans="1:7" ht="15.75" customHeight="1">
      <c r="A815" s="4" t="s">
        <v>302</v>
      </c>
      <c r="B815" s="4" t="s">
        <v>302</v>
      </c>
      <c r="D815" s="14" t="s">
        <v>302</v>
      </c>
      <c r="G815" s="1"/>
    </row>
    <row r="816" spans="1:7" ht="15.75" customHeight="1">
      <c r="A816" s="4" t="s">
        <v>302</v>
      </c>
      <c r="B816" s="4" t="s">
        <v>302</v>
      </c>
      <c r="D816" s="14" t="s">
        <v>302</v>
      </c>
      <c r="G816" s="1"/>
    </row>
    <row r="817" spans="1:7" ht="15.75" customHeight="1">
      <c r="A817" s="4" t="s">
        <v>302</v>
      </c>
      <c r="B817" s="4" t="s">
        <v>302</v>
      </c>
      <c r="D817" s="14" t="s">
        <v>302</v>
      </c>
      <c r="G817" s="1"/>
    </row>
    <row r="818" spans="1:7" ht="15.75" customHeight="1">
      <c r="A818" s="4" t="s">
        <v>302</v>
      </c>
      <c r="B818" s="4" t="s">
        <v>302</v>
      </c>
      <c r="D818" s="14" t="s">
        <v>302</v>
      </c>
      <c r="G818" s="1"/>
    </row>
    <row r="819" spans="1:7" ht="15.75" customHeight="1">
      <c r="A819" s="4" t="s">
        <v>302</v>
      </c>
      <c r="B819" s="4" t="s">
        <v>302</v>
      </c>
      <c r="D819" s="14" t="s">
        <v>302</v>
      </c>
      <c r="G819" s="1"/>
    </row>
    <row r="820" spans="1:7" ht="15.75" customHeight="1">
      <c r="A820" s="4" t="s">
        <v>302</v>
      </c>
      <c r="B820" s="4" t="s">
        <v>302</v>
      </c>
      <c r="D820" s="14" t="s">
        <v>302</v>
      </c>
      <c r="G820" s="1"/>
    </row>
    <row r="821" spans="1:7" ht="15.75" customHeight="1">
      <c r="A821" s="4" t="s">
        <v>302</v>
      </c>
      <c r="B821" s="4" t="s">
        <v>302</v>
      </c>
      <c r="D821" s="14" t="s">
        <v>302</v>
      </c>
      <c r="G821" s="1"/>
    </row>
    <row r="822" spans="1:7" ht="15.75" customHeight="1">
      <c r="A822" s="4" t="s">
        <v>302</v>
      </c>
      <c r="B822" s="4" t="s">
        <v>302</v>
      </c>
      <c r="D822" s="14" t="s">
        <v>302</v>
      </c>
      <c r="G822" s="1"/>
    </row>
    <row r="823" spans="1:7" ht="15.75" customHeight="1">
      <c r="A823" s="4" t="s">
        <v>302</v>
      </c>
      <c r="B823" s="4" t="s">
        <v>302</v>
      </c>
      <c r="D823" s="14" t="s">
        <v>302</v>
      </c>
      <c r="G823" s="1"/>
    </row>
    <row r="824" spans="1:7" ht="15.75" customHeight="1">
      <c r="A824" s="4" t="s">
        <v>302</v>
      </c>
      <c r="B824" s="4" t="s">
        <v>302</v>
      </c>
      <c r="D824" s="14" t="s">
        <v>302</v>
      </c>
      <c r="G824" s="1"/>
    </row>
    <row r="825" spans="1:7" ht="15.75" customHeight="1">
      <c r="A825" s="4" t="s">
        <v>302</v>
      </c>
      <c r="B825" s="4" t="s">
        <v>302</v>
      </c>
      <c r="D825" s="14" t="s">
        <v>302</v>
      </c>
      <c r="G825" s="1"/>
    </row>
    <row r="826" spans="1:7" ht="15.75" customHeight="1">
      <c r="A826" s="4" t="s">
        <v>302</v>
      </c>
      <c r="B826" s="4" t="s">
        <v>302</v>
      </c>
      <c r="D826" s="14" t="s">
        <v>302</v>
      </c>
      <c r="G826" s="1"/>
    </row>
    <row r="827" spans="1:7" ht="15.75" customHeight="1">
      <c r="A827" s="4" t="s">
        <v>302</v>
      </c>
      <c r="B827" s="4" t="s">
        <v>302</v>
      </c>
      <c r="D827" s="14" t="s">
        <v>302</v>
      </c>
      <c r="G827" s="1"/>
    </row>
    <row r="828" spans="1:7" ht="15.75" customHeight="1">
      <c r="A828" s="4" t="s">
        <v>302</v>
      </c>
      <c r="B828" s="4" t="s">
        <v>302</v>
      </c>
      <c r="D828" s="14" t="s">
        <v>302</v>
      </c>
      <c r="G828" s="1"/>
    </row>
    <row r="829" spans="1:7" ht="15.75" customHeight="1">
      <c r="A829" s="4" t="s">
        <v>302</v>
      </c>
      <c r="B829" s="4" t="s">
        <v>302</v>
      </c>
      <c r="D829" s="14" t="s">
        <v>302</v>
      </c>
      <c r="G829" s="1"/>
    </row>
    <row r="830" spans="1:7" ht="15.75" customHeight="1">
      <c r="A830" s="4" t="s">
        <v>302</v>
      </c>
      <c r="B830" s="4" t="s">
        <v>302</v>
      </c>
      <c r="D830" s="14" t="s">
        <v>302</v>
      </c>
      <c r="G830" s="1"/>
    </row>
    <row r="831" spans="1:7" ht="15.75" customHeight="1">
      <c r="A831" s="4" t="s">
        <v>302</v>
      </c>
      <c r="B831" s="4" t="s">
        <v>302</v>
      </c>
      <c r="D831" s="14" t="s">
        <v>302</v>
      </c>
      <c r="G831" s="1"/>
    </row>
    <row r="832" spans="1:7" ht="15.75" customHeight="1">
      <c r="A832" s="4" t="s">
        <v>302</v>
      </c>
      <c r="B832" s="4" t="s">
        <v>302</v>
      </c>
      <c r="D832" s="14" t="s">
        <v>302</v>
      </c>
      <c r="G832" s="1"/>
    </row>
    <row r="833" spans="1:7" ht="15.75" customHeight="1">
      <c r="A833" s="4" t="s">
        <v>302</v>
      </c>
      <c r="B833" s="4" t="s">
        <v>302</v>
      </c>
      <c r="D833" s="14" t="s">
        <v>302</v>
      </c>
      <c r="G833" s="1"/>
    </row>
    <row r="834" spans="1:7" ht="15.75" customHeight="1">
      <c r="A834" s="4" t="s">
        <v>302</v>
      </c>
      <c r="B834" s="4" t="s">
        <v>302</v>
      </c>
      <c r="D834" s="14" t="s">
        <v>302</v>
      </c>
      <c r="G834" s="1"/>
    </row>
    <row r="835" spans="1:7" ht="15.75" customHeight="1">
      <c r="A835" s="4" t="s">
        <v>302</v>
      </c>
      <c r="B835" s="4" t="s">
        <v>302</v>
      </c>
      <c r="D835" s="14" t="s">
        <v>302</v>
      </c>
      <c r="G835" s="1"/>
    </row>
    <row r="836" spans="1:7" ht="15.75" customHeight="1">
      <c r="A836" s="4" t="s">
        <v>302</v>
      </c>
      <c r="B836" s="4" t="s">
        <v>302</v>
      </c>
      <c r="D836" s="14" t="s">
        <v>302</v>
      </c>
      <c r="G836" s="1"/>
    </row>
    <row r="837" spans="1:7" ht="15.75" customHeight="1">
      <c r="A837" s="4" t="s">
        <v>302</v>
      </c>
      <c r="B837" s="4" t="s">
        <v>302</v>
      </c>
      <c r="D837" s="14" t="s">
        <v>302</v>
      </c>
      <c r="G837" s="1"/>
    </row>
    <row r="838" spans="1:7" ht="15.75" customHeight="1">
      <c r="A838" s="4" t="s">
        <v>302</v>
      </c>
      <c r="B838" s="4" t="s">
        <v>302</v>
      </c>
      <c r="D838" s="14" t="s">
        <v>302</v>
      </c>
      <c r="G838" s="1"/>
    </row>
    <row r="839" spans="1:7" ht="15.75" customHeight="1">
      <c r="A839" s="4" t="s">
        <v>302</v>
      </c>
      <c r="B839" s="4" t="s">
        <v>302</v>
      </c>
      <c r="D839" s="14" t="s">
        <v>302</v>
      </c>
      <c r="G839" s="1"/>
    </row>
    <row r="840" spans="1:7" ht="15.75" customHeight="1">
      <c r="A840" s="4" t="s">
        <v>302</v>
      </c>
      <c r="B840" s="4" t="s">
        <v>302</v>
      </c>
      <c r="D840" s="14" t="s">
        <v>302</v>
      </c>
      <c r="G840" s="1"/>
    </row>
    <row r="841" spans="1:7" ht="15.75" customHeight="1">
      <c r="A841" s="4" t="s">
        <v>302</v>
      </c>
      <c r="B841" s="4" t="s">
        <v>302</v>
      </c>
      <c r="D841" s="14" t="s">
        <v>302</v>
      </c>
      <c r="G841" s="1"/>
    </row>
    <row r="842" spans="1:7" ht="15.75" customHeight="1">
      <c r="A842" s="4" t="s">
        <v>302</v>
      </c>
      <c r="B842" s="4" t="s">
        <v>302</v>
      </c>
      <c r="D842" s="14" t="s">
        <v>302</v>
      </c>
      <c r="G842" s="1"/>
    </row>
    <row r="843" spans="1:7" ht="15.75" customHeight="1">
      <c r="A843" s="4" t="s">
        <v>302</v>
      </c>
      <c r="B843" s="4" t="s">
        <v>302</v>
      </c>
      <c r="D843" s="14" t="s">
        <v>302</v>
      </c>
      <c r="G843" s="1"/>
    </row>
    <row r="844" spans="1:7" ht="15.75" customHeight="1">
      <c r="A844" s="4" t="s">
        <v>302</v>
      </c>
      <c r="B844" s="4" t="s">
        <v>302</v>
      </c>
      <c r="D844" s="14" t="s">
        <v>302</v>
      </c>
      <c r="G844" s="1"/>
    </row>
    <row r="845" spans="1:7" ht="15.75" customHeight="1">
      <c r="A845" s="4" t="s">
        <v>302</v>
      </c>
      <c r="B845" s="4" t="s">
        <v>302</v>
      </c>
      <c r="D845" s="14" t="s">
        <v>302</v>
      </c>
      <c r="G845" s="1"/>
    </row>
    <row r="846" spans="1:7" ht="15.75" customHeight="1">
      <c r="A846" s="4" t="s">
        <v>302</v>
      </c>
      <c r="B846" s="4" t="s">
        <v>302</v>
      </c>
      <c r="D846" s="14" t="s">
        <v>302</v>
      </c>
      <c r="G846" s="1"/>
    </row>
    <row r="847" spans="1:7" ht="15.75" customHeight="1">
      <c r="A847" s="4" t="s">
        <v>302</v>
      </c>
      <c r="B847" s="4" t="s">
        <v>302</v>
      </c>
      <c r="D847" s="14" t="s">
        <v>302</v>
      </c>
      <c r="G847" s="1"/>
    </row>
    <row r="848" spans="1:7" ht="15.75" customHeight="1">
      <c r="A848" s="4" t="s">
        <v>302</v>
      </c>
      <c r="B848" s="4" t="s">
        <v>302</v>
      </c>
      <c r="D848" s="14" t="s">
        <v>302</v>
      </c>
      <c r="G848" s="1"/>
    </row>
    <row r="849" spans="1:7" ht="15.75" customHeight="1">
      <c r="A849" s="4" t="s">
        <v>302</v>
      </c>
      <c r="B849" s="4" t="s">
        <v>302</v>
      </c>
      <c r="D849" s="14" t="s">
        <v>302</v>
      </c>
      <c r="G849" s="1"/>
    </row>
    <row r="850" spans="1:7" ht="15.75" customHeight="1">
      <c r="A850" s="4" t="s">
        <v>302</v>
      </c>
      <c r="B850" s="4" t="s">
        <v>302</v>
      </c>
      <c r="D850" s="14" t="s">
        <v>302</v>
      </c>
      <c r="G850" s="1"/>
    </row>
    <row r="851" spans="1:7" ht="15.75" customHeight="1">
      <c r="A851" s="4" t="s">
        <v>302</v>
      </c>
      <c r="B851" s="4" t="s">
        <v>302</v>
      </c>
      <c r="D851" s="14" t="s">
        <v>302</v>
      </c>
      <c r="G851" s="1"/>
    </row>
    <row r="852" spans="1:7" ht="15.75" customHeight="1">
      <c r="A852" s="4" t="s">
        <v>302</v>
      </c>
      <c r="B852" s="4" t="s">
        <v>302</v>
      </c>
      <c r="D852" s="14" t="s">
        <v>302</v>
      </c>
      <c r="G852" s="1"/>
    </row>
    <row r="853" spans="1:7" ht="15.75" customHeight="1">
      <c r="A853" s="4" t="s">
        <v>302</v>
      </c>
      <c r="B853" s="4" t="s">
        <v>302</v>
      </c>
      <c r="D853" s="14" t="s">
        <v>302</v>
      </c>
      <c r="G853" s="1"/>
    </row>
    <row r="854" spans="1:7" ht="15.75" customHeight="1">
      <c r="A854" s="4" t="s">
        <v>302</v>
      </c>
      <c r="B854" s="4" t="s">
        <v>302</v>
      </c>
      <c r="D854" s="14" t="s">
        <v>302</v>
      </c>
      <c r="G854" s="1"/>
    </row>
    <row r="855" spans="1:7" ht="15.75" customHeight="1">
      <c r="A855" s="4" t="s">
        <v>302</v>
      </c>
      <c r="B855" s="4" t="s">
        <v>302</v>
      </c>
      <c r="D855" s="14" t="s">
        <v>302</v>
      </c>
      <c r="G855" s="1"/>
    </row>
    <row r="856" spans="1:7" ht="15.75" customHeight="1">
      <c r="A856" s="4" t="s">
        <v>302</v>
      </c>
      <c r="B856" s="4" t="s">
        <v>302</v>
      </c>
      <c r="D856" s="14" t="s">
        <v>302</v>
      </c>
      <c r="G856" s="1"/>
    </row>
    <row r="857" spans="1:7" ht="15.75" customHeight="1">
      <c r="A857" s="4" t="s">
        <v>302</v>
      </c>
      <c r="B857" s="4" t="s">
        <v>302</v>
      </c>
      <c r="D857" s="14" t="s">
        <v>302</v>
      </c>
      <c r="G857" s="1"/>
    </row>
    <row r="858" spans="1:7" ht="15.75" customHeight="1">
      <c r="A858" s="4" t="s">
        <v>302</v>
      </c>
      <c r="B858" s="4" t="s">
        <v>302</v>
      </c>
      <c r="D858" s="14" t="s">
        <v>302</v>
      </c>
      <c r="G858" s="1"/>
    </row>
    <row r="859" spans="1:7" ht="15.75" customHeight="1">
      <c r="A859" s="4" t="s">
        <v>302</v>
      </c>
      <c r="B859" s="4" t="s">
        <v>302</v>
      </c>
      <c r="D859" s="14" t="s">
        <v>302</v>
      </c>
      <c r="G859" s="1"/>
    </row>
    <row r="860" spans="1:7" ht="15.75" customHeight="1">
      <c r="A860" s="4" t="s">
        <v>302</v>
      </c>
      <c r="B860" s="4" t="s">
        <v>302</v>
      </c>
      <c r="D860" s="14" t="s">
        <v>302</v>
      </c>
      <c r="G860" s="1"/>
    </row>
    <row r="861" spans="1:7" ht="15.75" customHeight="1">
      <c r="A861" s="4" t="s">
        <v>302</v>
      </c>
      <c r="B861" s="4" t="s">
        <v>302</v>
      </c>
      <c r="D861" s="14" t="s">
        <v>302</v>
      </c>
      <c r="G861" s="1"/>
    </row>
    <row r="862" spans="1:7" ht="15.75" customHeight="1">
      <c r="A862" s="4" t="s">
        <v>302</v>
      </c>
      <c r="B862" s="4" t="s">
        <v>302</v>
      </c>
      <c r="D862" s="14" t="s">
        <v>302</v>
      </c>
      <c r="G862" s="1"/>
    </row>
    <row r="863" spans="1:7" ht="15.75" customHeight="1">
      <c r="A863" s="4" t="s">
        <v>302</v>
      </c>
      <c r="B863" s="4" t="s">
        <v>302</v>
      </c>
      <c r="D863" s="14" t="s">
        <v>302</v>
      </c>
      <c r="G863" s="1"/>
    </row>
    <row r="864" spans="1:7" ht="15.75" customHeight="1">
      <c r="A864" s="4" t="s">
        <v>302</v>
      </c>
      <c r="B864" s="4" t="s">
        <v>302</v>
      </c>
      <c r="D864" s="14" t="s">
        <v>302</v>
      </c>
      <c r="G864" s="1"/>
    </row>
    <row r="865" spans="1:7" ht="15.75" customHeight="1">
      <c r="A865" s="4" t="s">
        <v>302</v>
      </c>
      <c r="B865" s="4" t="s">
        <v>302</v>
      </c>
      <c r="D865" s="14" t="s">
        <v>302</v>
      </c>
      <c r="G865" s="1"/>
    </row>
    <row r="866" spans="1:7" ht="15.75" customHeight="1">
      <c r="A866" s="4" t="s">
        <v>302</v>
      </c>
      <c r="B866" s="4" t="s">
        <v>302</v>
      </c>
      <c r="D866" s="14" t="s">
        <v>302</v>
      </c>
      <c r="G866" s="1"/>
    </row>
    <row r="867" spans="1:7" ht="15.75" customHeight="1">
      <c r="A867" s="4" t="s">
        <v>302</v>
      </c>
      <c r="B867" s="4" t="s">
        <v>302</v>
      </c>
      <c r="D867" s="14" t="s">
        <v>302</v>
      </c>
      <c r="G867" s="1"/>
    </row>
    <row r="868" spans="1:7" ht="15.75" customHeight="1">
      <c r="A868" s="4" t="s">
        <v>302</v>
      </c>
      <c r="B868" s="4" t="s">
        <v>302</v>
      </c>
      <c r="D868" s="14" t="s">
        <v>302</v>
      </c>
      <c r="G868" s="1"/>
    </row>
    <row r="869" spans="1:7" ht="15.75" customHeight="1">
      <c r="A869" s="4" t="s">
        <v>302</v>
      </c>
      <c r="B869" s="4" t="s">
        <v>302</v>
      </c>
      <c r="D869" s="14" t="s">
        <v>302</v>
      </c>
      <c r="G869" s="1"/>
    </row>
    <row r="870" spans="1:7" ht="15.75" customHeight="1">
      <c r="A870" s="4" t="s">
        <v>302</v>
      </c>
      <c r="B870" s="4" t="s">
        <v>302</v>
      </c>
      <c r="D870" s="14" t="s">
        <v>302</v>
      </c>
      <c r="G870" s="1"/>
    </row>
    <row r="871" spans="1:7" ht="15.75" customHeight="1">
      <c r="A871" s="4" t="s">
        <v>302</v>
      </c>
      <c r="B871" s="4" t="s">
        <v>302</v>
      </c>
      <c r="D871" s="14" t="s">
        <v>302</v>
      </c>
      <c r="G871" s="1"/>
    </row>
    <row r="872" spans="1:7" ht="15.75" customHeight="1">
      <c r="A872" s="4" t="s">
        <v>302</v>
      </c>
      <c r="B872" s="4" t="s">
        <v>302</v>
      </c>
      <c r="D872" s="14" t="s">
        <v>302</v>
      </c>
      <c r="G872" s="1"/>
    </row>
    <row r="873" spans="1:7" ht="15.75" customHeight="1">
      <c r="A873" s="4" t="s">
        <v>302</v>
      </c>
      <c r="B873" s="4" t="s">
        <v>302</v>
      </c>
      <c r="D873" s="14" t="s">
        <v>302</v>
      </c>
      <c r="G873" s="1"/>
    </row>
    <row r="874" spans="1:7" ht="15.75" customHeight="1">
      <c r="A874" s="4" t="s">
        <v>302</v>
      </c>
      <c r="B874" s="4" t="s">
        <v>302</v>
      </c>
      <c r="D874" s="14" t="s">
        <v>302</v>
      </c>
      <c r="G874" s="1"/>
    </row>
    <row r="875" spans="1:7" ht="15.75" customHeight="1">
      <c r="A875" s="4" t="s">
        <v>302</v>
      </c>
      <c r="B875" s="4" t="s">
        <v>302</v>
      </c>
      <c r="D875" s="14" t="s">
        <v>302</v>
      </c>
      <c r="G875" s="1"/>
    </row>
    <row r="876" spans="1:7" ht="15.75" customHeight="1">
      <c r="A876" s="4" t="s">
        <v>302</v>
      </c>
      <c r="B876" s="4" t="s">
        <v>302</v>
      </c>
      <c r="D876" s="14" t="s">
        <v>302</v>
      </c>
      <c r="G876" s="1"/>
    </row>
    <row r="877" spans="1:7" ht="15.75" customHeight="1">
      <c r="A877" s="4" t="s">
        <v>302</v>
      </c>
      <c r="B877" s="4" t="s">
        <v>302</v>
      </c>
      <c r="D877" s="14" t="s">
        <v>302</v>
      </c>
      <c r="G877" s="1"/>
    </row>
    <row r="878" spans="1:7" ht="15.75" customHeight="1">
      <c r="A878" s="4" t="s">
        <v>302</v>
      </c>
      <c r="B878" s="4" t="s">
        <v>302</v>
      </c>
      <c r="D878" s="14" t="s">
        <v>302</v>
      </c>
      <c r="G878" s="1"/>
    </row>
    <row r="879" spans="1:7" ht="15.75" customHeight="1">
      <c r="A879" s="4" t="s">
        <v>302</v>
      </c>
      <c r="B879" s="4" t="s">
        <v>302</v>
      </c>
      <c r="D879" s="14" t="s">
        <v>302</v>
      </c>
      <c r="G879" s="1"/>
    </row>
    <row r="880" spans="1:7" ht="15.75" customHeight="1">
      <c r="A880" s="4" t="s">
        <v>302</v>
      </c>
      <c r="B880" s="4" t="s">
        <v>302</v>
      </c>
      <c r="D880" s="14" t="s">
        <v>302</v>
      </c>
      <c r="G880" s="1"/>
    </row>
    <row r="881" spans="1:7" ht="15.75" customHeight="1">
      <c r="A881" s="4" t="s">
        <v>302</v>
      </c>
      <c r="B881" s="4" t="s">
        <v>302</v>
      </c>
      <c r="D881" s="14" t="s">
        <v>302</v>
      </c>
      <c r="G881" s="1"/>
    </row>
    <row r="882" spans="1:7" ht="15.75" customHeight="1">
      <c r="A882" s="4" t="s">
        <v>302</v>
      </c>
      <c r="B882" s="4" t="s">
        <v>302</v>
      </c>
      <c r="D882" s="14" t="s">
        <v>302</v>
      </c>
      <c r="G882" s="1"/>
    </row>
    <row r="883" spans="1:7" ht="15.75" customHeight="1">
      <c r="A883" s="4" t="s">
        <v>302</v>
      </c>
      <c r="B883" s="4" t="s">
        <v>302</v>
      </c>
      <c r="D883" s="14" t="s">
        <v>302</v>
      </c>
      <c r="G883" s="1"/>
    </row>
    <row r="884" spans="1:7" ht="15.75" customHeight="1">
      <c r="A884" s="4" t="s">
        <v>302</v>
      </c>
      <c r="B884" s="4" t="s">
        <v>302</v>
      </c>
      <c r="D884" s="14" t="s">
        <v>302</v>
      </c>
      <c r="G884" s="1"/>
    </row>
    <row r="885" spans="1:7" ht="15.75" customHeight="1">
      <c r="A885" s="4" t="s">
        <v>302</v>
      </c>
      <c r="B885" s="4" t="s">
        <v>302</v>
      </c>
      <c r="D885" s="14" t="s">
        <v>302</v>
      </c>
      <c r="G885" s="1"/>
    </row>
    <row r="886" spans="1:7" ht="15.75" customHeight="1">
      <c r="A886" s="4" t="s">
        <v>302</v>
      </c>
      <c r="B886" s="4" t="s">
        <v>302</v>
      </c>
      <c r="D886" s="14" t="s">
        <v>302</v>
      </c>
      <c r="G886" s="1"/>
    </row>
    <row r="887" spans="1:7" ht="15.75" customHeight="1">
      <c r="A887" s="4" t="s">
        <v>302</v>
      </c>
      <c r="B887" s="4" t="s">
        <v>302</v>
      </c>
      <c r="D887" s="14" t="s">
        <v>302</v>
      </c>
      <c r="G887" s="1"/>
    </row>
    <row r="888" spans="1:7" ht="15.75" customHeight="1">
      <c r="A888" s="4" t="s">
        <v>302</v>
      </c>
      <c r="B888" s="4" t="s">
        <v>302</v>
      </c>
      <c r="D888" s="14" t="s">
        <v>302</v>
      </c>
      <c r="G888" s="1"/>
    </row>
    <row r="889" spans="1:7" ht="15.75" customHeight="1">
      <c r="A889" s="4" t="s">
        <v>302</v>
      </c>
      <c r="B889" s="4" t="s">
        <v>302</v>
      </c>
      <c r="D889" s="14" t="s">
        <v>302</v>
      </c>
      <c r="G889" s="1"/>
    </row>
    <row r="890" spans="1:7" ht="15.75" customHeight="1">
      <c r="A890" s="4" t="s">
        <v>302</v>
      </c>
      <c r="B890" s="4" t="s">
        <v>302</v>
      </c>
      <c r="D890" s="14" t="s">
        <v>302</v>
      </c>
      <c r="G890" s="1"/>
    </row>
    <row r="891" spans="1:7" ht="15.75" customHeight="1">
      <c r="A891" s="4" t="s">
        <v>302</v>
      </c>
      <c r="B891" s="4" t="s">
        <v>302</v>
      </c>
      <c r="D891" s="14" t="s">
        <v>302</v>
      </c>
      <c r="G891" s="1"/>
    </row>
    <row r="892" spans="1:7" ht="15.75" customHeight="1">
      <c r="A892" s="4" t="s">
        <v>302</v>
      </c>
      <c r="B892" s="4" t="s">
        <v>302</v>
      </c>
      <c r="D892" s="14" t="s">
        <v>302</v>
      </c>
      <c r="G892" s="1"/>
    </row>
    <row r="893" spans="1:7" ht="15.75" customHeight="1">
      <c r="A893" s="4" t="s">
        <v>302</v>
      </c>
      <c r="B893" s="4" t="s">
        <v>302</v>
      </c>
      <c r="D893" s="14" t="s">
        <v>302</v>
      </c>
      <c r="G893" s="1"/>
    </row>
    <row r="894" spans="1:7" ht="15.75" customHeight="1">
      <c r="A894" s="4" t="s">
        <v>302</v>
      </c>
      <c r="B894" s="4" t="s">
        <v>302</v>
      </c>
      <c r="D894" s="14" t="s">
        <v>302</v>
      </c>
      <c r="G894" s="1"/>
    </row>
    <row r="895" spans="1:7" ht="15.75" customHeight="1">
      <c r="A895" s="4" t="s">
        <v>302</v>
      </c>
      <c r="B895" s="4" t="s">
        <v>302</v>
      </c>
      <c r="D895" s="14" t="s">
        <v>302</v>
      </c>
      <c r="G895" s="1"/>
    </row>
    <row r="896" spans="1:7" ht="15.75" customHeight="1">
      <c r="A896" s="4" t="s">
        <v>302</v>
      </c>
      <c r="B896" s="4" t="s">
        <v>302</v>
      </c>
      <c r="D896" s="14" t="s">
        <v>302</v>
      </c>
      <c r="G896" s="1"/>
    </row>
    <row r="897" spans="1:7" ht="15.75" customHeight="1">
      <c r="A897" s="4" t="s">
        <v>302</v>
      </c>
      <c r="B897" s="4" t="s">
        <v>302</v>
      </c>
      <c r="D897" s="14" t="s">
        <v>302</v>
      </c>
      <c r="G897" s="1"/>
    </row>
    <row r="898" spans="1:7" ht="15.75" customHeight="1">
      <c r="A898" s="4" t="s">
        <v>302</v>
      </c>
      <c r="B898" s="4" t="s">
        <v>302</v>
      </c>
      <c r="D898" s="14" t="s">
        <v>302</v>
      </c>
      <c r="G898" s="1"/>
    </row>
    <row r="899" spans="1:7" ht="15.75" customHeight="1">
      <c r="A899" s="4" t="s">
        <v>302</v>
      </c>
      <c r="B899" s="4" t="s">
        <v>302</v>
      </c>
      <c r="D899" s="14" t="s">
        <v>302</v>
      </c>
      <c r="G899" s="1"/>
    </row>
    <row r="900" spans="1:7" ht="15.75" customHeight="1">
      <c r="A900" s="4" t="s">
        <v>302</v>
      </c>
      <c r="B900" s="4" t="s">
        <v>302</v>
      </c>
      <c r="D900" s="14" t="s">
        <v>302</v>
      </c>
      <c r="G900" s="1"/>
    </row>
    <row r="901" spans="1:7" ht="15.75" customHeight="1">
      <c r="A901" s="4" t="s">
        <v>302</v>
      </c>
      <c r="B901" s="4" t="s">
        <v>302</v>
      </c>
      <c r="D901" s="14" t="s">
        <v>302</v>
      </c>
      <c r="G901" s="1"/>
    </row>
    <row r="902" spans="1:7" ht="15.75" customHeight="1">
      <c r="A902" s="4" t="s">
        <v>302</v>
      </c>
      <c r="B902" s="4" t="s">
        <v>302</v>
      </c>
      <c r="D902" s="14" t="s">
        <v>302</v>
      </c>
      <c r="G902" s="1"/>
    </row>
    <row r="903" spans="1:7" ht="15.75" customHeight="1">
      <c r="A903" s="4" t="s">
        <v>302</v>
      </c>
      <c r="B903" s="4" t="s">
        <v>302</v>
      </c>
      <c r="D903" s="14" t="s">
        <v>302</v>
      </c>
      <c r="G903" s="1"/>
    </row>
    <row r="904" spans="1:7" ht="15.75" customHeight="1">
      <c r="A904" s="4" t="s">
        <v>302</v>
      </c>
      <c r="B904" s="4" t="s">
        <v>302</v>
      </c>
      <c r="D904" s="14" t="s">
        <v>302</v>
      </c>
      <c r="G904" s="1"/>
    </row>
    <row r="905" spans="1:7" ht="15.75" customHeight="1">
      <c r="A905" s="4" t="s">
        <v>302</v>
      </c>
      <c r="B905" s="4" t="s">
        <v>302</v>
      </c>
      <c r="D905" s="14" t="s">
        <v>302</v>
      </c>
      <c r="G905" s="1"/>
    </row>
    <row r="906" spans="1:7" ht="15.75" customHeight="1">
      <c r="A906" s="4" t="s">
        <v>302</v>
      </c>
      <c r="B906" s="4" t="s">
        <v>302</v>
      </c>
      <c r="D906" s="14" t="s">
        <v>302</v>
      </c>
      <c r="G906" s="1"/>
    </row>
    <row r="907" spans="1:7" ht="15.75" customHeight="1">
      <c r="A907" s="4" t="s">
        <v>302</v>
      </c>
      <c r="B907" s="4" t="s">
        <v>302</v>
      </c>
      <c r="D907" s="14" t="s">
        <v>302</v>
      </c>
      <c r="G907" s="1"/>
    </row>
    <row r="908" spans="1:7" ht="15.75" customHeight="1">
      <c r="A908" s="4" t="s">
        <v>302</v>
      </c>
      <c r="B908" s="4" t="s">
        <v>302</v>
      </c>
      <c r="D908" s="14" t="s">
        <v>302</v>
      </c>
      <c r="G908" s="1"/>
    </row>
    <row r="909" spans="1:7" ht="15.75" customHeight="1">
      <c r="A909" s="4" t="s">
        <v>302</v>
      </c>
      <c r="B909" s="4" t="s">
        <v>302</v>
      </c>
      <c r="D909" s="14" t="s">
        <v>302</v>
      </c>
      <c r="G909" s="1"/>
    </row>
    <row r="910" spans="1:7" ht="15.75" customHeight="1">
      <c r="A910" s="4" t="s">
        <v>302</v>
      </c>
      <c r="B910" s="4" t="s">
        <v>302</v>
      </c>
      <c r="D910" s="14" t="s">
        <v>302</v>
      </c>
      <c r="G910" s="1"/>
    </row>
    <row r="911" spans="1:7" ht="15.75" customHeight="1">
      <c r="A911" s="4" t="s">
        <v>302</v>
      </c>
      <c r="B911" s="4" t="s">
        <v>302</v>
      </c>
      <c r="D911" s="14" t="s">
        <v>302</v>
      </c>
      <c r="G911" s="1"/>
    </row>
    <row r="912" spans="1:7" ht="15.75" customHeight="1">
      <c r="A912" s="4" t="s">
        <v>302</v>
      </c>
      <c r="B912" s="4" t="s">
        <v>302</v>
      </c>
      <c r="D912" s="14" t="s">
        <v>302</v>
      </c>
      <c r="G912" s="1"/>
    </row>
    <row r="913" spans="1:7" ht="15.75" customHeight="1">
      <c r="A913" s="4" t="s">
        <v>302</v>
      </c>
      <c r="B913" s="4" t="s">
        <v>302</v>
      </c>
      <c r="D913" s="14" t="s">
        <v>302</v>
      </c>
      <c r="G913" s="1"/>
    </row>
    <row r="914" spans="1:7" ht="15.75" customHeight="1">
      <c r="A914" s="4" t="s">
        <v>302</v>
      </c>
      <c r="B914" s="4" t="s">
        <v>302</v>
      </c>
      <c r="D914" s="14" t="s">
        <v>302</v>
      </c>
      <c r="G914" s="1"/>
    </row>
    <row r="915" spans="1:7" ht="15.75" customHeight="1">
      <c r="A915" s="4" t="s">
        <v>302</v>
      </c>
      <c r="B915" s="4" t="s">
        <v>302</v>
      </c>
      <c r="D915" s="14" t="s">
        <v>302</v>
      </c>
      <c r="G915" s="1"/>
    </row>
    <row r="916" spans="1:7" ht="15.75" customHeight="1">
      <c r="A916" s="4" t="s">
        <v>302</v>
      </c>
      <c r="B916" s="4" t="s">
        <v>302</v>
      </c>
      <c r="D916" s="14" t="s">
        <v>302</v>
      </c>
      <c r="G916" s="1"/>
    </row>
    <row r="917" spans="1:7" ht="15.75" customHeight="1">
      <c r="A917" s="4" t="s">
        <v>302</v>
      </c>
      <c r="B917" s="4" t="s">
        <v>302</v>
      </c>
      <c r="D917" s="14" t="s">
        <v>302</v>
      </c>
      <c r="G917" s="1"/>
    </row>
    <row r="918" spans="1:7" ht="15.75" customHeight="1">
      <c r="A918" s="4" t="s">
        <v>302</v>
      </c>
      <c r="B918" s="4" t="s">
        <v>302</v>
      </c>
      <c r="D918" s="14" t="s">
        <v>302</v>
      </c>
      <c r="G918" s="1"/>
    </row>
    <row r="919" spans="1:7" ht="15.75" customHeight="1">
      <c r="A919" s="4" t="s">
        <v>302</v>
      </c>
      <c r="B919" s="4" t="s">
        <v>302</v>
      </c>
      <c r="D919" s="14" t="s">
        <v>302</v>
      </c>
      <c r="G919" s="1"/>
    </row>
    <row r="920" spans="1:7" ht="15.75" customHeight="1">
      <c r="A920" s="4" t="s">
        <v>302</v>
      </c>
      <c r="B920" s="4" t="s">
        <v>302</v>
      </c>
      <c r="D920" s="14" t="s">
        <v>302</v>
      </c>
      <c r="G920" s="1"/>
    </row>
    <row r="921" spans="1:7" ht="15.75" customHeight="1">
      <c r="A921" s="4" t="s">
        <v>302</v>
      </c>
      <c r="B921" s="4" t="s">
        <v>302</v>
      </c>
      <c r="D921" s="14" t="s">
        <v>302</v>
      </c>
      <c r="G921" s="1"/>
    </row>
    <row r="922" spans="1:7" ht="15.75" customHeight="1">
      <c r="A922" s="4" t="s">
        <v>302</v>
      </c>
      <c r="B922" s="4" t="s">
        <v>302</v>
      </c>
      <c r="D922" s="14" t="s">
        <v>302</v>
      </c>
      <c r="G922" s="1"/>
    </row>
    <row r="923" spans="1:7" ht="15.75" customHeight="1">
      <c r="A923" s="4" t="s">
        <v>302</v>
      </c>
      <c r="B923" s="4" t="s">
        <v>302</v>
      </c>
      <c r="D923" s="14" t="s">
        <v>302</v>
      </c>
      <c r="G923" s="1"/>
    </row>
    <row r="924" spans="1:7" ht="15.75" customHeight="1">
      <c r="A924" s="4" t="s">
        <v>302</v>
      </c>
      <c r="B924" s="4" t="s">
        <v>302</v>
      </c>
      <c r="D924" s="14" t="s">
        <v>302</v>
      </c>
      <c r="G924" s="1"/>
    </row>
    <row r="925" spans="1:7" ht="15.75" customHeight="1">
      <c r="A925" s="4" t="s">
        <v>302</v>
      </c>
      <c r="B925" s="4" t="s">
        <v>302</v>
      </c>
      <c r="D925" s="14" t="s">
        <v>302</v>
      </c>
      <c r="G925" s="1"/>
    </row>
    <row r="926" spans="1:7" ht="15.75" customHeight="1">
      <c r="A926" s="4" t="s">
        <v>302</v>
      </c>
      <c r="B926" s="4" t="s">
        <v>302</v>
      </c>
      <c r="D926" s="14" t="s">
        <v>302</v>
      </c>
      <c r="G926" s="1"/>
    </row>
    <row r="927" spans="1:7" ht="15.75" customHeight="1">
      <c r="A927" s="4" t="s">
        <v>302</v>
      </c>
      <c r="B927" s="4" t="s">
        <v>302</v>
      </c>
      <c r="D927" s="14" t="s">
        <v>302</v>
      </c>
      <c r="G927" s="1"/>
    </row>
    <row r="928" spans="1:7" ht="15.75" customHeight="1">
      <c r="A928" s="4" t="s">
        <v>302</v>
      </c>
      <c r="B928" s="4" t="s">
        <v>302</v>
      </c>
      <c r="D928" s="14" t="s">
        <v>302</v>
      </c>
      <c r="G928" s="1"/>
    </row>
    <row r="929" spans="1:7" ht="15.75" customHeight="1">
      <c r="A929" s="4" t="s">
        <v>302</v>
      </c>
      <c r="B929" s="4" t="s">
        <v>302</v>
      </c>
      <c r="D929" s="14" t="s">
        <v>302</v>
      </c>
      <c r="G929" s="1"/>
    </row>
    <row r="930" spans="1:7" ht="15.75" customHeight="1">
      <c r="A930" s="4" t="s">
        <v>302</v>
      </c>
      <c r="B930" s="4" t="s">
        <v>302</v>
      </c>
      <c r="D930" s="14" t="s">
        <v>302</v>
      </c>
      <c r="G930" s="1"/>
    </row>
    <row r="931" spans="1:7" ht="15.75" customHeight="1">
      <c r="A931" s="4" t="s">
        <v>302</v>
      </c>
      <c r="B931" s="4" t="s">
        <v>302</v>
      </c>
      <c r="D931" s="14" t="s">
        <v>302</v>
      </c>
      <c r="G931" s="1"/>
    </row>
    <row r="932" spans="1:7" ht="15.75" customHeight="1">
      <c r="A932" s="4" t="s">
        <v>302</v>
      </c>
      <c r="B932" s="4" t="s">
        <v>302</v>
      </c>
      <c r="D932" s="14" t="s">
        <v>302</v>
      </c>
      <c r="G932" s="1"/>
    </row>
    <row r="933" spans="1:7" ht="15.75" customHeight="1">
      <c r="A933" s="4" t="s">
        <v>302</v>
      </c>
      <c r="B933" s="4" t="s">
        <v>302</v>
      </c>
      <c r="D933" s="14" t="s">
        <v>302</v>
      </c>
      <c r="G933" s="1"/>
    </row>
    <row r="934" spans="1:7" ht="15.75" customHeight="1">
      <c r="A934" s="4" t="s">
        <v>302</v>
      </c>
      <c r="B934" s="4" t="s">
        <v>302</v>
      </c>
      <c r="D934" s="14" t="s">
        <v>302</v>
      </c>
      <c r="G934" s="1"/>
    </row>
    <row r="935" spans="1:7" ht="15.75" customHeight="1">
      <c r="A935" s="4" t="s">
        <v>302</v>
      </c>
      <c r="B935" s="4" t="s">
        <v>302</v>
      </c>
      <c r="D935" s="14" t="s">
        <v>302</v>
      </c>
      <c r="G935" s="1"/>
    </row>
    <row r="936" spans="1:7" ht="15.75" customHeight="1">
      <c r="A936" s="4" t="s">
        <v>302</v>
      </c>
      <c r="B936" s="4" t="s">
        <v>302</v>
      </c>
      <c r="D936" s="14" t="s">
        <v>302</v>
      </c>
      <c r="G936" s="1"/>
    </row>
    <row r="937" spans="1:7" ht="15.75" customHeight="1">
      <c r="A937" s="4" t="s">
        <v>302</v>
      </c>
      <c r="B937" s="4" t="s">
        <v>302</v>
      </c>
      <c r="D937" s="14" t="s">
        <v>302</v>
      </c>
      <c r="G937" s="1"/>
    </row>
    <row r="938" spans="1:7" ht="15.75" customHeight="1">
      <c r="A938" s="4" t="s">
        <v>302</v>
      </c>
      <c r="B938" s="4" t="s">
        <v>302</v>
      </c>
      <c r="D938" s="14" t="s">
        <v>302</v>
      </c>
      <c r="G938" s="1"/>
    </row>
    <row r="939" spans="1:7" ht="15.75" customHeight="1">
      <c r="A939" s="4" t="s">
        <v>302</v>
      </c>
      <c r="B939" s="4" t="s">
        <v>302</v>
      </c>
      <c r="D939" s="14" t="s">
        <v>302</v>
      </c>
      <c r="G939" s="1"/>
    </row>
    <row r="940" spans="1:7" ht="15.75" customHeight="1">
      <c r="A940" s="4" t="s">
        <v>302</v>
      </c>
      <c r="B940" s="4" t="s">
        <v>302</v>
      </c>
      <c r="D940" s="14" t="s">
        <v>302</v>
      </c>
      <c r="G940" s="1"/>
    </row>
    <row r="941" spans="1:7" ht="15.75" customHeight="1">
      <c r="A941" s="4" t="s">
        <v>302</v>
      </c>
      <c r="B941" s="4" t="s">
        <v>302</v>
      </c>
      <c r="D941" s="14" t="s">
        <v>302</v>
      </c>
      <c r="G941" s="1"/>
    </row>
    <row r="942" spans="1:7" ht="15.75" customHeight="1">
      <c r="A942" s="4" t="s">
        <v>302</v>
      </c>
      <c r="B942" s="4" t="s">
        <v>302</v>
      </c>
      <c r="D942" s="14" t="s">
        <v>302</v>
      </c>
      <c r="G942" s="1"/>
    </row>
    <row r="943" spans="1:7" ht="15.75" customHeight="1">
      <c r="A943" s="4" t="s">
        <v>302</v>
      </c>
      <c r="B943" s="4" t="s">
        <v>302</v>
      </c>
      <c r="D943" s="14" t="s">
        <v>302</v>
      </c>
      <c r="G943" s="1"/>
    </row>
    <row r="944" spans="1:7" ht="15.75" customHeight="1">
      <c r="A944" s="4" t="s">
        <v>302</v>
      </c>
      <c r="B944" s="4" t="s">
        <v>302</v>
      </c>
      <c r="D944" s="14" t="s">
        <v>302</v>
      </c>
      <c r="G944" s="1"/>
    </row>
    <row r="945" spans="1:7" ht="15.75" customHeight="1">
      <c r="A945" s="4" t="s">
        <v>302</v>
      </c>
      <c r="B945" s="4" t="s">
        <v>302</v>
      </c>
      <c r="D945" s="14" t="s">
        <v>302</v>
      </c>
      <c r="G945" s="1"/>
    </row>
    <row r="946" spans="1:7" ht="15.75" customHeight="1">
      <c r="A946" s="4" t="s">
        <v>302</v>
      </c>
      <c r="B946" s="4" t="s">
        <v>302</v>
      </c>
      <c r="D946" s="14" t="s">
        <v>302</v>
      </c>
      <c r="G946" s="1"/>
    </row>
    <row r="947" spans="1:7" ht="15.75" customHeight="1">
      <c r="A947" s="4" t="s">
        <v>302</v>
      </c>
      <c r="B947" s="4" t="s">
        <v>302</v>
      </c>
      <c r="D947" s="14" t="s">
        <v>302</v>
      </c>
      <c r="G947" s="1"/>
    </row>
    <row r="948" spans="1:7" ht="15.75" customHeight="1">
      <c r="A948" s="4" t="s">
        <v>302</v>
      </c>
      <c r="B948" s="4" t="s">
        <v>302</v>
      </c>
      <c r="D948" s="14" t="s">
        <v>302</v>
      </c>
      <c r="G948" s="1"/>
    </row>
    <row r="949" spans="1:7" ht="15.75" customHeight="1">
      <c r="A949" s="4" t="s">
        <v>302</v>
      </c>
      <c r="B949" s="4" t="s">
        <v>302</v>
      </c>
      <c r="D949" s="14" t="s">
        <v>302</v>
      </c>
      <c r="G949" s="1"/>
    </row>
    <row r="950" spans="1:7" ht="15.75" customHeight="1">
      <c r="A950" s="4" t="s">
        <v>302</v>
      </c>
      <c r="B950" s="4" t="s">
        <v>302</v>
      </c>
      <c r="D950" s="14" t="s">
        <v>302</v>
      </c>
      <c r="G950" s="1"/>
    </row>
    <row r="951" spans="1:7" ht="15.75" customHeight="1">
      <c r="A951" s="4" t="s">
        <v>302</v>
      </c>
      <c r="B951" s="4" t="s">
        <v>302</v>
      </c>
      <c r="D951" s="14" t="s">
        <v>302</v>
      </c>
      <c r="G951" s="1"/>
    </row>
    <row r="952" spans="1:7" ht="15.75" customHeight="1">
      <c r="A952" s="4" t="s">
        <v>302</v>
      </c>
      <c r="B952" s="4" t="s">
        <v>302</v>
      </c>
      <c r="D952" s="14" t="s">
        <v>302</v>
      </c>
      <c r="G952" s="1"/>
    </row>
    <row r="953" spans="1:7" ht="15.75" customHeight="1">
      <c r="A953" s="4" t="s">
        <v>302</v>
      </c>
      <c r="B953" s="4" t="s">
        <v>302</v>
      </c>
      <c r="D953" s="14" t="s">
        <v>302</v>
      </c>
      <c r="G953" s="1"/>
    </row>
    <row r="954" spans="1:7" ht="15.75" customHeight="1">
      <c r="A954" s="4" t="s">
        <v>302</v>
      </c>
      <c r="B954" s="4" t="s">
        <v>302</v>
      </c>
      <c r="D954" s="14" t="s">
        <v>302</v>
      </c>
      <c r="G954" s="1"/>
    </row>
    <row r="955" spans="1:7" ht="15.75" customHeight="1">
      <c r="A955" s="4" t="s">
        <v>302</v>
      </c>
      <c r="B955" s="4" t="s">
        <v>302</v>
      </c>
      <c r="D955" s="14" t="s">
        <v>302</v>
      </c>
      <c r="G955" s="1"/>
    </row>
    <row r="956" spans="1:7" ht="15.75" customHeight="1">
      <c r="A956" s="4" t="s">
        <v>302</v>
      </c>
      <c r="B956" s="4" t="s">
        <v>302</v>
      </c>
      <c r="D956" s="14" t="s">
        <v>302</v>
      </c>
      <c r="G956" s="1"/>
    </row>
    <row r="957" spans="1:7" ht="15.75" customHeight="1">
      <c r="A957" s="4" t="s">
        <v>302</v>
      </c>
      <c r="B957" s="4" t="s">
        <v>302</v>
      </c>
      <c r="D957" s="14" t="s">
        <v>302</v>
      </c>
      <c r="G957" s="1"/>
    </row>
    <row r="958" spans="1:7" ht="15.75" customHeight="1">
      <c r="A958" s="4" t="s">
        <v>302</v>
      </c>
      <c r="B958" s="4" t="s">
        <v>302</v>
      </c>
      <c r="D958" s="14" t="s">
        <v>302</v>
      </c>
      <c r="G958" s="1"/>
    </row>
    <row r="959" spans="1:7" ht="15.75" customHeight="1">
      <c r="A959" s="4" t="s">
        <v>302</v>
      </c>
      <c r="B959" s="4" t="s">
        <v>302</v>
      </c>
      <c r="D959" s="14" t="s">
        <v>302</v>
      </c>
      <c r="G959" s="1"/>
    </row>
    <row r="960" spans="1:7" ht="15.75" customHeight="1">
      <c r="A960" s="4" t="s">
        <v>302</v>
      </c>
      <c r="B960" s="4" t="s">
        <v>302</v>
      </c>
      <c r="D960" s="14" t="s">
        <v>302</v>
      </c>
      <c r="G960" s="1"/>
    </row>
    <row r="961" spans="1:7" ht="15.75" customHeight="1">
      <c r="A961" s="4" t="s">
        <v>302</v>
      </c>
      <c r="B961" s="4" t="s">
        <v>302</v>
      </c>
      <c r="D961" s="14" t="s">
        <v>302</v>
      </c>
      <c r="G961" s="1"/>
    </row>
    <row r="962" spans="1:7" ht="15.75" customHeight="1">
      <c r="A962" s="4" t="s">
        <v>302</v>
      </c>
      <c r="B962" s="4" t="s">
        <v>302</v>
      </c>
      <c r="D962" s="14" t="s">
        <v>302</v>
      </c>
      <c r="G962" s="1"/>
    </row>
    <row r="963" spans="1:7" ht="15.75" customHeight="1">
      <c r="A963" s="4" t="s">
        <v>302</v>
      </c>
      <c r="B963" s="4" t="s">
        <v>302</v>
      </c>
      <c r="D963" s="14" t="s">
        <v>302</v>
      </c>
      <c r="G963" s="1"/>
    </row>
    <row r="964" spans="1:7" ht="15.75" customHeight="1">
      <c r="A964" s="4" t="s">
        <v>302</v>
      </c>
      <c r="B964" s="4" t="s">
        <v>302</v>
      </c>
      <c r="D964" s="14" t="s">
        <v>302</v>
      </c>
      <c r="G964" s="1"/>
    </row>
    <row r="965" spans="1:7" ht="15.75" customHeight="1">
      <c r="A965" s="4" t="s">
        <v>302</v>
      </c>
      <c r="B965" s="4" t="s">
        <v>302</v>
      </c>
      <c r="D965" s="14" t="s">
        <v>302</v>
      </c>
      <c r="G965" s="1"/>
    </row>
    <row r="966" spans="1:7" ht="15.75" customHeight="1">
      <c r="A966" s="4" t="s">
        <v>302</v>
      </c>
      <c r="B966" s="4" t="s">
        <v>302</v>
      </c>
      <c r="D966" s="14" t="s">
        <v>302</v>
      </c>
      <c r="G966" s="1"/>
    </row>
    <row r="967" spans="1:7" ht="15.75" customHeight="1">
      <c r="A967" s="4" t="s">
        <v>302</v>
      </c>
      <c r="B967" s="4" t="s">
        <v>302</v>
      </c>
      <c r="D967" s="14" t="s">
        <v>302</v>
      </c>
      <c r="G967" s="1"/>
    </row>
    <row r="968" spans="1:7" ht="15.75" customHeight="1">
      <c r="A968" s="4" t="s">
        <v>302</v>
      </c>
      <c r="B968" s="4" t="s">
        <v>302</v>
      </c>
      <c r="D968" s="14" t="s">
        <v>302</v>
      </c>
      <c r="G968" s="1"/>
    </row>
    <row r="969" spans="1:7" ht="15.75" customHeight="1">
      <c r="A969" s="4" t="s">
        <v>302</v>
      </c>
      <c r="B969" s="4" t="s">
        <v>302</v>
      </c>
      <c r="D969" s="14" t="s">
        <v>302</v>
      </c>
      <c r="G969" s="1"/>
    </row>
    <row r="970" spans="1:7" ht="15.75" customHeight="1">
      <c r="A970" s="4" t="s">
        <v>302</v>
      </c>
      <c r="B970" s="4" t="s">
        <v>302</v>
      </c>
      <c r="D970" s="14" t="s">
        <v>302</v>
      </c>
      <c r="G970" s="1"/>
    </row>
    <row r="971" spans="1:7" ht="15.75" customHeight="1">
      <c r="A971" s="4" t="s">
        <v>302</v>
      </c>
      <c r="B971" s="4" t="s">
        <v>302</v>
      </c>
      <c r="D971" s="14" t="s">
        <v>302</v>
      </c>
      <c r="G971" s="1"/>
    </row>
    <row r="972" spans="1:7" ht="15.75" customHeight="1">
      <c r="A972" s="4" t="s">
        <v>302</v>
      </c>
      <c r="B972" s="4" t="s">
        <v>302</v>
      </c>
      <c r="D972" s="14" t="s">
        <v>302</v>
      </c>
      <c r="G972" s="1"/>
    </row>
    <row r="973" spans="1:7" ht="15.75" customHeight="1">
      <c r="A973" s="4" t="s">
        <v>302</v>
      </c>
      <c r="B973" s="4" t="s">
        <v>302</v>
      </c>
      <c r="D973" s="14" t="s">
        <v>302</v>
      </c>
      <c r="G973" s="1"/>
    </row>
    <row r="974" spans="1:7" ht="15.75" customHeight="1">
      <c r="A974" s="4" t="s">
        <v>302</v>
      </c>
      <c r="B974" s="4" t="s">
        <v>302</v>
      </c>
      <c r="D974" s="14" t="s">
        <v>302</v>
      </c>
      <c r="G974" s="1"/>
    </row>
    <row r="975" spans="1:7" ht="15.75" customHeight="1">
      <c r="A975" s="4" t="s">
        <v>302</v>
      </c>
      <c r="B975" s="4" t="s">
        <v>302</v>
      </c>
      <c r="D975" s="14" t="s">
        <v>302</v>
      </c>
      <c r="G975" s="1"/>
    </row>
    <row r="976" spans="1:7" ht="15.75" customHeight="1">
      <c r="A976" s="4" t="s">
        <v>302</v>
      </c>
      <c r="B976" s="4" t="s">
        <v>302</v>
      </c>
      <c r="D976" s="14" t="s">
        <v>302</v>
      </c>
      <c r="G976" s="1"/>
    </row>
    <row r="977" spans="1:7" ht="15.75" customHeight="1">
      <c r="A977" s="4" t="s">
        <v>302</v>
      </c>
      <c r="B977" s="4" t="s">
        <v>302</v>
      </c>
      <c r="D977" s="14" t="s">
        <v>302</v>
      </c>
      <c r="G977" s="1"/>
    </row>
    <row r="978" spans="1:7" ht="15.75" customHeight="1">
      <c r="A978" s="4" t="s">
        <v>302</v>
      </c>
      <c r="B978" s="4" t="s">
        <v>302</v>
      </c>
      <c r="D978" s="14" t="s">
        <v>302</v>
      </c>
      <c r="G978" s="1"/>
    </row>
    <row r="979" spans="1:7" ht="15.75" customHeight="1">
      <c r="A979" s="4" t="s">
        <v>302</v>
      </c>
      <c r="B979" s="4" t="s">
        <v>302</v>
      </c>
      <c r="D979" s="14" t="s">
        <v>302</v>
      </c>
      <c r="G979" s="1"/>
    </row>
    <row r="980" spans="1:7" ht="15.75" customHeight="1">
      <c r="A980" s="4" t="s">
        <v>302</v>
      </c>
      <c r="B980" s="4" t="s">
        <v>302</v>
      </c>
      <c r="D980" s="14" t="s">
        <v>302</v>
      </c>
      <c r="G980" s="1"/>
    </row>
    <row r="981" spans="1:7" ht="15.75" customHeight="1">
      <c r="A981" s="4" t="s">
        <v>302</v>
      </c>
      <c r="B981" s="4" t="s">
        <v>302</v>
      </c>
      <c r="D981" s="14" t="s">
        <v>302</v>
      </c>
      <c r="G981" s="1"/>
    </row>
    <row r="982" spans="1:7" ht="15.75" customHeight="1">
      <c r="A982" s="4" t="s">
        <v>302</v>
      </c>
      <c r="B982" s="4" t="s">
        <v>302</v>
      </c>
      <c r="D982" s="14" t="s">
        <v>302</v>
      </c>
      <c r="G982" s="1"/>
    </row>
    <row r="983" spans="1:7" ht="15.75" customHeight="1">
      <c r="A983" s="4" t="s">
        <v>302</v>
      </c>
      <c r="B983" s="4" t="s">
        <v>302</v>
      </c>
      <c r="D983" s="14" t="s">
        <v>302</v>
      </c>
      <c r="G983" s="1"/>
    </row>
    <row r="984" spans="1:7" ht="15.75" customHeight="1">
      <c r="A984" s="4" t="s">
        <v>302</v>
      </c>
      <c r="B984" s="4" t="s">
        <v>302</v>
      </c>
      <c r="D984" s="14" t="s">
        <v>302</v>
      </c>
      <c r="G984" s="1"/>
    </row>
    <row r="985" spans="1:7" ht="15.75" customHeight="1">
      <c r="A985" s="4" t="s">
        <v>302</v>
      </c>
      <c r="B985" s="4" t="s">
        <v>302</v>
      </c>
      <c r="D985" s="14" t="s">
        <v>302</v>
      </c>
      <c r="G985" s="1"/>
    </row>
    <row r="986" spans="1:7" ht="15.75" customHeight="1">
      <c r="A986" s="4" t="s">
        <v>302</v>
      </c>
      <c r="B986" s="4" t="s">
        <v>302</v>
      </c>
      <c r="D986" s="14" t="s">
        <v>302</v>
      </c>
      <c r="G986" s="1"/>
    </row>
    <row r="987" spans="1:7" ht="15.75" customHeight="1">
      <c r="A987" s="4" t="s">
        <v>302</v>
      </c>
      <c r="B987" s="4" t="s">
        <v>302</v>
      </c>
      <c r="D987" s="14" t="s">
        <v>302</v>
      </c>
      <c r="G987" s="1"/>
    </row>
    <row r="988" spans="1:7" ht="15.75" customHeight="1">
      <c r="A988" s="4" t="s">
        <v>302</v>
      </c>
      <c r="B988" s="4" t="s">
        <v>302</v>
      </c>
      <c r="D988" s="14" t="s">
        <v>302</v>
      </c>
      <c r="G988" s="1"/>
    </row>
    <row r="989" spans="1:7" ht="15.75" customHeight="1">
      <c r="A989" s="4" t="s">
        <v>302</v>
      </c>
      <c r="B989" s="4" t="s">
        <v>302</v>
      </c>
      <c r="D989" s="14" t="s">
        <v>302</v>
      </c>
      <c r="G989" s="1"/>
    </row>
    <row r="990" spans="1:7" ht="15.75" customHeight="1">
      <c r="A990" s="4" t="s">
        <v>302</v>
      </c>
      <c r="B990" s="4" t="s">
        <v>302</v>
      </c>
      <c r="D990" s="14" t="s">
        <v>302</v>
      </c>
      <c r="G990" s="1"/>
    </row>
    <row r="991" spans="1:7" ht="15.75" customHeight="1">
      <c r="A991" s="4" t="s">
        <v>302</v>
      </c>
      <c r="B991" s="4" t="s">
        <v>302</v>
      </c>
      <c r="D991" s="14" t="s">
        <v>302</v>
      </c>
      <c r="G991" s="1"/>
    </row>
    <row r="992" spans="1:7" ht="15.75" customHeight="1">
      <c r="A992" s="4" t="s">
        <v>302</v>
      </c>
      <c r="B992" s="4" t="s">
        <v>302</v>
      </c>
      <c r="D992" s="14" t="s">
        <v>302</v>
      </c>
      <c r="G992" s="1"/>
    </row>
    <row r="993" spans="1:7" ht="15.75" customHeight="1">
      <c r="A993" s="4" t="s">
        <v>302</v>
      </c>
      <c r="B993" s="4" t="s">
        <v>302</v>
      </c>
      <c r="D993" s="14" t="s">
        <v>302</v>
      </c>
      <c r="G993" s="1"/>
    </row>
    <row r="994" spans="1:7" ht="15.75" customHeight="1">
      <c r="A994" s="4" t="s">
        <v>302</v>
      </c>
      <c r="B994" s="4" t="s">
        <v>302</v>
      </c>
      <c r="D994" s="14" t="s">
        <v>302</v>
      </c>
      <c r="G994" s="1"/>
    </row>
    <row r="995" spans="1:7" ht="15.75" customHeight="1">
      <c r="A995" s="4" t="s">
        <v>302</v>
      </c>
      <c r="B995" s="4" t="s">
        <v>302</v>
      </c>
      <c r="D995" s="14" t="s">
        <v>302</v>
      </c>
      <c r="G995" s="1"/>
    </row>
    <row r="996" spans="1:7" ht="15.75" customHeight="1">
      <c r="A996" s="4" t="s">
        <v>302</v>
      </c>
      <c r="B996" s="4" t="s">
        <v>302</v>
      </c>
      <c r="D996" s="14" t="s">
        <v>302</v>
      </c>
      <c r="G996" s="1"/>
    </row>
    <row r="997" spans="1:7" ht="15.75" customHeight="1">
      <c r="A997" s="4" t="s">
        <v>302</v>
      </c>
      <c r="B997" s="4" t="s">
        <v>302</v>
      </c>
      <c r="D997" s="14" t="s">
        <v>302</v>
      </c>
      <c r="G997" s="1"/>
    </row>
    <row r="998" spans="1:7" ht="15.75" customHeight="1">
      <c r="A998" s="4" t="s">
        <v>302</v>
      </c>
      <c r="B998" s="4" t="s">
        <v>302</v>
      </c>
      <c r="D998" s="14" t="s">
        <v>302</v>
      </c>
      <c r="G998" s="1"/>
    </row>
    <row r="999" spans="1:7" ht="15.75" customHeight="1">
      <c r="A999" s="4" t="s">
        <v>302</v>
      </c>
      <c r="B999" s="4" t="s">
        <v>302</v>
      </c>
      <c r="D999" s="14" t="s">
        <v>302</v>
      </c>
      <c r="G999" s="1"/>
    </row>
    <row r="1000" spans="1:7" ht="15.75" customHeight="1">
      <c r="A1000" s="4" t="s">
        <v>302</v>
      </c>
      <c r="B1000" s="4" t="s">
        <v>302</v>
      </c>
      <c r="D1000" s="14" t="s">
        <v>302</v>
      </c>
      <c r="G1000" s="1"/>
    </row>
  </sheetData>
  <dataValidations count="1">
    <dataValidation type="list" allowBlank="1" showErrorMessage="1" sqref="E2:E285" xr:uid="{00000000-0002-0000-0100-000000000000}">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Screening!$H$15:$H$22</xm:f>
          </x14:formula1>
          <xm:sqref>F2:F285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 customHeight="1"/>
  <cols>
    <col min="1" max="1" width="14.453125" customWidth="1"/>
    <col min="2" max="2" width="5.90625" customWidth="1"/>
    <col min="3" max="3" width="5.26953125" customWidth="1"/>
    <col min="4" max="4" width="7.453125" customWidth="1"/>
    <col min="5" max="5" width="8.90625" customWidth="1"/>
    <col min="6" max="6" width="30.26953125" customWidth="1"/>
    <col min="7" max="7" width="6.26953125" customWidth="1"/>
    <col min="8" max="8" width="39.36328125" customWidth="1"/>
  </cols>
  <sheetData>
    <row r="1" spans="1:10" ht="15.75" customHeight="1">
      <c r="A1" s="4" t="s">
        <v>0</v>
      </c>
      <c r="B1" s="4" t="s">
        <v>1</v>
      </c>
      <c r="C1" s="4" t="s">
        <v>303</v>
      </c>
      <c r="D1" s="4" t="s">
        <v>2</v>
      </c>
      <c r="E1" s="4" t="s">
        <v>304</v>
      </c>
      <c r="F1" s="1" t="s">
        <v>305</v>
      </c>
      <c r="G1" s="4" t="s">
        <v>101</v>
      </c>
    </row>
    <row r="2" spans="1:10" ht="15.75" customHeight="1">
      <c r="A2" s="4" t="s">
        <v>440</v>
      </c>
      <c r="B2" s="4">
        <v>2019</v>
      </c>
      <c r="C2" s="4" t="s">
        <v>441</v>
      </c>
      <c r="D2" s="4" t="s">
        <v>442</v>
      </c>
      <c r="E2" s="4" t="s">
        <v>307</v>
      </c>
      <c r="F2" s="1"/>
      <c r="H2" s="4" t="s">
        <v>1042</v>
      </c>
    </row>
    <row r="3" spans="1:10" ht="15.75" customHeight="1">
      <c r="A3" s="4" t="s">
        <v>445</v>
      </c>
      <c r="B3" s="4">
        <v>2017</v>
      </c>
      <c r="C3" s="4" t="s">
        <v>446</v>
      </c>
      <c r="D3" s="4" t="s">
        <v>447</v>
      </c>
      <c r="E3" s="4" t="s">
        <v>307</v>
      </c>
      <c r="F3" s="1"/>
      <c r="H3" s="4" t="s">
        <v>1043</v>
      </c>
      <c r="I3" s="4">
        <f>COUNTA(A2:A2000)</f>
        <v>1742</v>
      </c>
    </row>
    <row r="4" spans="1:10" ht="15.75" customHeight="1">
      <c r="A4" s="4" t="s">
        <v>449</v>
      </c>
      <c r="B4" s="4">
        <v>2019</v>
      </c>
      <c r="C4" s="4" t="s">
        <v>450</v>
      </c>
      <c r="D4" s="4" t="s">
        <v>451</v>
      </c>
      <c r="E4" s="4" t="s">
        <v>307</v>
      </c>
      <c r="F4" s="1"/>
      <c r="H4" s="4" t="s">
        <v>1044</v>
      </c>
      <c r="I4" s="4">
        <f>COUNTIF(E2:E2000,"Yes")+COUNTIF(E2:E2000,"No")</f>
        <v>1742</v>
      </c>
      <c r="J4" s="17"/>
    </row>
    <row r="5" spans="1:10" ht="15.75" customHeight="1">
      <c r="A5" s="4" t="s">
        <v>453</v>
      </c>
      <c r="B5" s="4">
        <v>2001</v>
      </c>
      <c r="C5" s="4" t="s">
        <v>454</v>
      </c>
      <c r="D5" s="4" t="s">
        <v>455</v>
      </c>
      <c r="E5" s="4" t="s">
        <v>307</v>
      </c>
      <c r="F5" s="1"/>
      <c r="H5" s="4" t="s">
        <v>1045</v>
      </c>
      <c r="I5" s="4">
        <f>COUNTIF(E2:E2000,"Yes")</f>
        <v>1458</v>
      </c>
    </row>
    <row r="6" spans="1:10" ht="15.75" customHeight="1">
      <c r="A6" s="4" t="s">
        <v>457</v>
      </c>
      <c r="B6" s="4">
        <v>2015</v>
      </c>
      <c r="C6" s="4" t="s">
        <v>458</v>
      </c>
      <c r="D6" s="4" t="s">
        <v>459</v>
      </c>
      <c r="E6" s="4" t="s">
        <v>307</v>
      </c>
      <c r="F6" s="1"/>
      <c r="H6" s="4" t="s">
        <v>1046</v>
      </c>
    </row>
    <row r="7" spans="1:10" ht="15.75" customHeight="1">
      <c r="A7" s="4" t="s">
        <v>461</v>
      </c>
      <c r="B7" s="4">
        <v>1995</v>
      </c>
      <c r="C7" s="4" t="s">
        <v>462</v>
      </c>
      <c r="D7" s="4" t="s">
        <v>463</v>
      </c>
      <c r="E7" s="4" t="s">
        <v>307</v>
      </c>
      <c r="F7" s="1"/>
      <c r="H7" s="15" t="s">
        <v>508</v>
      </c>
      <c r="I7" s="4">
        <f>COUNTIF(F2:F2000,H7)</f>
        <v>1343</v>
      </c>
    </row>
    <row r="8" spans="1:10" ht="15.75" customHeight="1">
      <c r="A8" s="4" t="s">
        <v>465</v>
      </c>
      <c r="B8" s="4">
        <v>1991</v>
      </c>
      <c r="C8" s="4" t="s">
        <v>466</v>
      </c>
      <c r="D8" s="4" t="s">
        <v>467</v>
      </c>
      <c r="E8" s="4" t="s">
        <v>307</v>
      </c>
      <c r="F8" s="1"/>
      <c r="H8" s="15" t="s">
        <v>666</v>
      </c>
      <c r="I8" s="4">
        <f>COUNTIF(F2:F2000,H8)</f>
        <v>0</v>
      </c>
    </row>
    <row r="9" spans="1:10" ht="15.75" customHeight="1">
      <c r="A9" s="4" t="s">
        <v>468</v>
      </c>
      <c r="B9" s="4">
        <v>2018</v>
      </c>
      <c r="C9" s="4" t="s">
        <v>469</v>
      </c>
      <c r="D9" s="4" t="s">
        <v>470</v>
      </c>
      <c r="E9" s="4" t="s">
        <v>307</v>
      </c>
      <c r="F9" s="1"/>
      <c r="H9" s="15" t="s">
        <v>444</v>
      </c>
      <c r="I9" s="4">
        <f>COUNTIF(F2:F2000,H9)</f>
        <v>0</v>
      </c>
    </row>
    <row r="10" spans="1:10" ht="15.75" customHeight="1">
      <c r="A10" s="4" t="s">
        <v>472</v>
      </c>
      <c r="B10" s="4">
        <v>2016</v>
      </c>
      <c r="C10" s="4" t="s">
        <v>473</v>
      </c>
      <c r="D10" s="4" t="s">
        <v>474</v>
      </c>
      <c r="E10" s="4" t="s">
        <v>307</v>
      </c>
      <c r="F10" s="1"/>
      <c r="H10" s="15" t="s">
        <v>1047</v>
      </c>
      <c r="I10" s="4">
        <f>COUNTIF(F2:F2000,H10)</f>
        <v>113</v>
      </c>
    </row>
    <row r="11" spans="1:10" ht="15.75" customHeight="1">
      <c r="A11" s="4" t="s">
        <v>180</v>
      </c>
      <c r="B11" s="4">
        <v>2019</v>
      </c>
      <c r="C11" s="4" t="s">
        <v>306</v>
      </c>
      <c r="D11" s="4" t="s">
        <v>181</v>
      </c>
      <c r="E11" s="4" t="s">
        <v>307</v>
      </c>
      <c r="F11" s="1"/>
      <c r="H11" s="15" t="s">
        <v>1048</v>
      </c>
      <c r="I11" s="4">
        <f>COUNTIF(F2:F2000,H11)</f>
        <v>2</v>
      </c>
      <c r="J11" s="4" t="str">
        <f>IF(SUM(I7:I11)&lt;&gt;I5,"reasons do NOT add up","validated: reasons add up")</f>
        <v>validated: reasons add up</v>
      </c>
    </row>
    <row r="12" spans="1:10" ht="15.75" customHeight="1">
      <c r="A12" s="4" t="s">
        <v>475</v>
      </c>
      <c r="B12" s="4">
        <v>2014</v>
      </c>
      <c r="C12" s="4" t="s">
        <v>476</v>
      </c>
      <c r="D12" s="4" t="s">
        <v>477</v>
      </c>
      <c r="E12" s="4" t="s">
        <v>307</v>
      </c>
      <c r="F12" s="1"/>
      <c r="H12" s="4" t="s">
        <v>1049</v>
      </c>
      <c r="I12" s="4">
        <f>COUNTIF(E2:E2000,"No")</f>
        <v>284</v>
      </c>
      <c r="J12" s="4" t="str">
        <f>IF(SUM(I12,I5)&lt;&gt;I4,"included and excluded do NOT add up","validated: included/exlcuded add up")</f>
        <v>validated: included/exlcuded add up</v>
      </c>
    </row>
    <row r="13" spans="1:10" ht="15.75" customHeight="1">
      <c r="A13" s="4" t="s">
        <v>479</v>
      </c>
      <c r="B13" s="4">
        <v>2008</v>
      </c>
      <c r="C13" s="4" t="s">
        <v>480</v>
      </c>
      <c r="D13" s="4" t="s">
        <v>481</v>
      </c>
      <c r="E13" s="4" t="s">
        <v>307</v>
      </c>
      <c r="F13" s="1"/>
      <c r="H13" s="4" t="s">
        <v>1050</v>
      </c>
      <c r="I13" s="4">
        <f>COUNTIF('Full-text review'!E2:E2000,"Yes")</f>
        <v>205</v>
      </c>
    </row>
    <row r="14" spans="1:10" ht="15.75" customHeight="1">
      <c r="A14" s="4" t="s">
        <v>479</v>
      </c>
      <c r="B14" s="4">
        <v>2005</v>
      </c>
      <c r="C14" s="4" t="s">
        <v>482</v>
      </c>
      <c r="D14" s="4" t="s">
        <v>483</v>
      </c>
      <c r="E14" s="4" t="s">
        <v>307</v>
      </c>
      <c r="F14" s="1"/>
      <c r="H14" s="4" t="s">
        <v>1051</v>
      </c>
    </row>
    <row r="15" spans="1:10" ht="15.75" customHeight="1">
      <c r="A15" s="4" t="s">
        <v>484</v>
      </c>
      <c r="B15" s="4">
        <v>2021</v>
      </c>
      <c r="C15" s="4" t="s">
        <v>485</v>
      </c>
      <c r="D15" s="4" t="s">
        <v>486</v>
      </c>
      <c r="E15" s="4" t="s">
        <v>307</v>
      </c>
      <c r="F15" s="1"/>
      <c r="H15" s="15" t="s">
        <v>464</v>
      </c>
      <c r="I15" s="4">
        <f>COUNTIF('Full-text review'!F2:F2000,H15)</f>
        <v>5</v>
      </c>
    </row>
    <row r="16" spans="1:10" ht="15.75" customHeight="1">
      <c r="A16" s="4" t="s">
        <v>488</v>
      </c>
      <c r="B16" s="4">
        <v>2022</v>
      </c>
      <c r="C16" s="4" t="s">
        <v>489</v>
      </c>
      <c r="D16" s="4" t="s">
        <v>490</v>
      </c>
      <c r="E16" s="4" t="s">
        <v>307</v>
      </c>
      <c r="F16" s="1"/>
      <c r="H16" s="15" t="s">
        <v>534</v>
      </c>
      <c r="I16" s="4">
        <f>COUNTIF('Full-text review'!F2:F2000,H16)</f>
        <v>20</v>
      </c>
    </row>
    <row r="17" spans="1:10" ht="15.75" customHeight="1">
      <c r="A17" s="4" t="s">
        <v>492</v>
      </c>
      <c r="B17" s="4">
        <v>2021</v>
      </c>
      <c r="C17" s="4" t="s">
        <v>493</v>
      </c>
      <c r="D17" s="4" t="s">
        <v>494</v>
      </c>
      <c r="E17" s="4" t="s">
        <v>307</v>
      </c>
      <c r="F17" s="1"/>
      <c r="H17" s="15" t="s">
        <v>508</v>
      </c>
      <c r="I17" s="4">
        <f>COUNTIF('Full-text review'!F2:F2000,H17)</f>
        <v>16</v>
      </c>
    </row>
    <row r="18" spans="1:10" ht="15.75" customHeight="1">
      <c r="A18" s="4" t="s">
        <v>102</v>
      </c>
      <c r="B18" s="4">
        <v>2011</v>
      </c>
      <c r="C18" s="4" t="s">
        <v>310</v>
      </c>
      <c r="D18" s="4" t="s">
        <v>103</v>
      </c>
      <c r="E18" s="4" t="s">
        <v>307</v>
      </c>
      <c r="F18" s="1"/>
      <c r="H18" s="15" t="s">
        <v>666</v>
      </c>
      <c r="I18" s="4">
        <f>COUNTIF('Full-text review'!F2:F2000,H18)</f>
        <v>1</v>
      </c>
    </row>
    <row r="19" spans="1:10" ht="15.75" customHeight="1">
      <c r="A19" s="4" t="s">
        <v>495</v>
      </c>
      <c r="B19" s="4">
        <v>2013</v>
      </c>
      <c r="C19" s="4" t="s">
        <v>496</v>
      </c>
      <c r="D19" s="4" t="s">
        <v>497</v>
      </c>
      <c r="E19" s="4" t="s">
        <v>307</v>
      </c>
      <c r="F19" s="1"/>
      <c r="H19" s="15" t="s">
        <v>444</v>
      </c>
      <c r="I19" s="4">
        <f>COUNTIF('Full-text review'!F2:F2000,H19)</f>
        <v>160</v>
      </c>
    </row>
    <row r="20" spans="1:10" ht="15.75" customHeight="1">
      <c r="A20" s="4" t="s">
        <v>498</v>
      </c>
      <c r="B20" s="4">
        <v>2015</v>
      </c>
      <c r="C20" s="4" t="s">
        <v>499</v>
      </c>
      <c r="D20" s="4" t="s">
        <v>500</v>
      </c>
      <c r="E20" s="4" t="s">
        <v>307</v>
      </c>
      <c r="F20" s="1"/>
      <c r="H20" s="15" t="s">
        <v>1047</v>
      </c>
      <c r="I20" s="4">
        <f>COUNTIF('Full-text review'!F2:F2000,H20)</f>
        <v>0</v>
      </c>
    </row>
    <row r="21" spans="1:10" ht="15.75" customHeight="1">
      <c r="A21" s="4" t="s">
        <v>501</v>
      </c>
      <c r="B21" s="4">
        <v>2003</v>
      </c>
      <c r="C21" s="4" t="s">
        <v>502</v>
      </c>
      <c r="D21" s="4" t="s">
        <v>503</v>
      </c>
      <c r="E21" s="4" t="s">
        <v>307</v>
      </c>
      <c r="F21" s="1"/>
      <c r="H21" s="15" t="s">
        <v>1048</v>
      </c>
      <c r="I21" s="4">
        <f>COUNTIF('Full-text review'!F2:F2000,H21)</f>
        <v>0</v>
      </c>
    </row>
    <row r="22" spans="1:10" ht="15.75" customHeight="1">
      <c r="A22" s="4" t="s">
        <v>505</v>
      </c>
      <c r="B22" s="4">
        <v>2011</v>
      </c>
      <c r="C22" s="4" t="s">
        <v>506</v>
      </c>
      <c r="D22" s="4" t="s">
        <v>507</v>
      </c>
      <c r="E22" s="4" t="s">
        <v>307</v>
      </c>
      <c r="F22" s="1"/>
      <c r="H22" s="15" t="s">
        <v>636</v>
      </c>
      <c r="I22" s="4">
        <f>COUNTIF('Full-text review'!F2:F2000,H22)</f>
        <v>3</v>
      </c>
      <c r="J22" s="4" t="str">
        <f>IF(SUM(I15:I22)&lt;&gt;COUNTIF('Full-text review'!E:E,"Yes"),"reasons do NOT add up","validated: reasons add up")</f>
        <v>validated: reasons add up</v>
      </c>
    </row>
    <row r="23" spans="1:10" ht="15.75" customHeight="1">
      <c r="A23" s="4" t="s">
        <v>509</v>
      </c>
      <c r="B23" s="4">
        <v>2000</v>
      </c>
      <c r="C23" s="4" t="s">
        <v>510</v>
      </c>
      <c r="D23" s="4" t="s">
        <v>511</v>
      </c>
      <c r="E23" s="4" t="s">
        <v>307</v>
      </c>
      <c r="F23" s="1"/>
      <c r="H23" s="4" t="s">
        <v>1052</v>
      </c>
      <c r="I23" s="4">
        <f>COUNTIF('Full-text review'!E2:E2000,"No")</f>
        <v>79</v>
      </c>
      <c r="J23" s="4" t="str">
        <f>IF(SUM(I15:I23)&lt;&gt;COUNTA('Full-text review'!E2:E2000),"included and excluded do NOT add up","validated: included/exlcuded add up")</f>
        <v>validated: included/exlcuded add up</v>
      </c>
    </row>
    <row r="24" spans="1:10" ht="15.75" customHeight="1">
      <c r="A24" s="4" t="s">
        <v>513</v>
      </c>
      <c r="B24" s="4">
        <v>1994</v>
      </c>
      <c r="C24" s="4" t="s">
        <v>514</v>
      </c>
      <c r="D24" s="4" t="s">
        <v>515</v>
      </c>
      <c r="E24" s="4" t="s">
        <v>307</v>
      </c>
      <c r="F24" s="1"/>
      <c r="H24" s="4" t="s">
        <v>1053</v>
      </c>
      <c r="I24" s="4">
        <f>COUNTIF(Included!E2:E2000,"No")</f>
        <v>58</v>
      </c>
    </row>
    <row r="25" spans="1:10" ht="15.75" customHeight="1">
      <c r="A25" s="4" t="s">
        <v>517</v>
      </c>
      <c r="B25" s="4">
        <v>2021</v>
      </c>
      <c r="C25" s="4" t="s">
        <v>518</v>
      </c>
      <c r="D25" s="4" t="s">
        <v>519</v>
      </c>
      <c r="E25" s="4" t="s">
        <v>307</v>
      </c>
      <c r="F25" s="1"/>
      <c r="H25" s="4" t="s">
        <v>1054</v>
      </c>
    </row>
    <row r="26" spans="1:10" ht="15.75" customHeight="1">
      <c r="A26" s="4" t="s">
        <v>108</v>
      </c>
      <c r="B26" s="4">
        <v>1997</v>
      </c>
      <c r="C26" s="4" t="s">
        <v>312</v>
      </c>
      <c r="D26" s="4" t="s">
        <v>109</v>
      </c>
      <c r="E26" s="4" t="s">
        <v>307</v>
      </c>
      <c r="F26" s="1"/>
      <c r="H26" s="15" t="s">
        <v>1055</v>
      </c>
      <c r="I26" s="4">
        <f>COUNTIF(Included!E2:E2000,"No")</f>
        <v>58</v>
      </c>
      <c r="J26" s="4" t="str">
        <f>IF(SUM(I26)&lt;&gt;COUNTIF(Included!E:E,"No"),"reasons do NOT add up","validated: reasons add up")</f>
        <v>validated: reasons add up</v>
      </c>
    </row>
    <row r="27" spans="1:10" ht="15.75" customHeight="1">
      <c r="A27" s="4" t="s">
        <v>108</v>
      </c>
      <c r="B27" s="4">
        <v>2004</v>
      </c>
      <c r="C27" s="4" t="s">
        <v>521</v>
      </c>
      <c r="D27" s="4" t="s">
        <v>522</v>
      </c>
      <c r="E27" s="4" t="s">
        <v>307</v>
      </c>
      <c r="F27" s="1"/>
      <c r="H27" s="4" t="s">
        <v>1056</v>
      </c>
      <c r="I27" s="4">
        <f>COUNTIF(Included!E2:E2000,"Yes")</f>
        <v>21</v>
      </c>
      <c r="J27" s="4" t="str">
        <f>IF(SUM(I26:I27)&lt;&gt;COUNTA(Included!E2:E2000),"included and excluded do NOT add up","validated: included/exlcuded add up")</f>
        <v>validated: included/exlcuded add up</v>
      </c>
    </row>
    <row r="28" spans="1:10" ht="15.75" customHeight="1">
      <c r="A28" s="4" t="s">
        <v>524</v>
      </c>
      <c r="B28" s="4">
        <v>2012</v>
      </c>
      <c r="C28" s="4" t="s">
        <v>525</v>
      </c>
      <c r="D28" s="4" t="s">
        <v>526</v>
      </c>
      <c r="E28" s="4" t="s">
        <v>307</v>
      </c>
      <c r="F28" s="1"/>
    </row>
    <row r="29" spans="1:10" ht="15.75" customHeight="1">
      <c r="A29" s="4" t="s">
        <v>528</v>
      </c>
      <c r="B29" s="4">
        <v>2010</v>
      </c>
      <c r="C29" s="4" t="s">
        <v>529</v>
      </c>
      <c r="D29" s="4" t="s">
        <v>530</v>
      </c>
      <c r="E29" s="4" t="s">
        <v>307</v>
      </c>
      <c r="F29" s="1"/>
    </row>
    <row r="30" spans="1:10" ht="15.75" customHeight="1">
      <c r="A30" s="4" t="s">
        <v>528</v>
      </c>
      <c r="B30" s="4">
        <v>2010</v>
      </c>
      <c r="C30" s="4" t="s">
        <v>532</v>
      </c>
      <c r="D30" s="4" t="s">
        <v>533</v>
      </c>
      <c r="E30" s="4" t="s">
        <v>307</v>
      </c>
      <c r="F30" s="1"/>
    </row>
    <row r="31" spans="1:10" ht="15.75" customHeight="1">
      <c r="A31" s="4" t="s">
        <v>200</v>
      </c>
      <c r="B31" s="4">
        <v>2010</v>
      </c>
      <c r="C31" s="4" t="s">
        <v>314</v>
      </c>
      <c r="D31" s="4" t="s">
        <v>201</v>
      </c>
      <c r="E31" s="4" t="s">
        <v>307</v>
      </c>
      <c r="F31" s="1"/>
    </row>
    <row r="32" spans="1:10" ht="15.75" customHeight="1">
      <c r="A32" s="4" t="s">
        <v>202</v>
      </c>
      <c r="B32" s="4">
        <v>2016</v>
      </c>
      <c r="C32" s="4" t="s">
        <v>317</v>
      </c>
      <c r="D32" s="4" t="s">
        <v>203</v>
      </c>
      <c r="E32" s="4" t="s">
        <v>307</v>
      </c>
      <c r="F32" s="1"/>
    </row>
    <row r="33" spans="1:6" ht="15.75" customHeight="1">
      <c r="A33" s="4" t="s">
        <v>536</v>
      </c>
      <c r="B33" s="4">
        <v>2017</v>
      </c>
      <c r="C33" s="4" t="s">
        <v>537</v>
      </c>
      <c r="D33" s="4" t="s">
        <v>538</v>
      </c>
      <c r="E33" s="4" t="s">
        <v>307</v>
      </c>
      <c r="F33" s="1"/>
    </row>
    <row r="34" spans="1:6" ht="15.75" customHeight="1">
      <c r="A34" s="4" t="s">
        <v>539</v>
      </c>
      <c r="B34" s="4">
        <v>1996</v>
      </c>
      <c r="C34" s="4" t="s">
        <v>540</v>
      </c>
      <c r="D34" s="4" t="s">
        <v>541</v>
      </c>
      <c r="E34" s="4" t="s">
        <v>307</v>
      </c>
      <c r="F34" s="1"/>
    </row>
    <row r="35" spans="1:6" ht="15.75" customHeight="1">
      <c r="A35" s="4" t="s">
        <v>542</v>
      </c>
      <c r="B35" s="4">
        <v>2021</v>
      </c>
      <c r="C35" s="4" t="s">
        <v>543</v>
      </c>
      <c r="D35" s="4" t="s">
        <v>544</v>
      </c>
      <c r="E35" s="4" t="s">
        <v>307</v>
      </c>
      <c r="F35" s="1"/>
    </row>
    <row r="36" spans="1:6" ht="15.75" customHeight="1">
      <c r="A36" s="4" t="s">
        <v>545</v>
      </c>
      <c r="B36" s="4">
        <v>2008</v>
      </c>
      <c r="C36" s="4" t="s">
        <v>546</v>
      </c>
      <c r="D36" s="4" t="s">
        <v>547</v>
      </c>
      <c r="E36" s="4" t="s">
        <v>307</v>
      </c>
      <c r="F36" s="1"/>
    </row>
    <row r="37" spans="1:6" ht="15.75" customHeight="1">
      <c r="A37" s="4" t="s">
        <v>548</v>
      </c>
      <c r="B37" s="4">
        <v>2017</v>
      </c>
      <c r="C37" s="4" t="s">
        <v>549</v>
      </c>
      <c r="D37" s="4" t="s">
        <v>550</v>
      </c>
      <c r="E37" s="4" t="s">
        <v>307</v>
      </c>
      <c r="F37" s="1"/>
    </row>
    <row r="38" spans="1:6" ht="15.75" customHeight="1">
      <c r="A38" s="4" t="s">
        <v>551</v>
      </c>
      <c r="B38" s="4">
        <v>2016</v>
      </c>
      <c r="C38" s="4" t="s">
        <v>552</v>
      </c>
      <c r="D38" s="4" t="s">
        <v>553</v>
      </c>
      <c r="E38" s="4" t="s">
        <v>307</v>
      </c>
      <c r="F38" s="1"/>
    </row>
    <row r="39" spans="1:6" ht="15.75" customHeight="1">
      <c r="A39" s="4" t="s">
        <v>204</v>
      </c>
      <c r="B39" s="4">
        <v>2018</v>
      </c>
      <c r="C39" s="4" t="s">
        <v>319</v>
      </c>
      <c r="D39" s="4" t="s">
        <v>205</v>
      </c>
      <c r="E39" s="4" t="s">
        <v>307</v>
      </c>
      <c r="F39" s="1"/>
    </row>
    <row r="40" spans="1:6" ht="15.75" customHeight="1">
      <c r="A40" s="4" t="s">
        <v>206</v>
      </c>
      <c r="B40" s="4">
        <v>2012</v>
      </c>
      <c r="C40" s="4" t="s">
        <v>322</v>
      </c>
      <c r="D40" s="4" t="s">
        <v>207</v>
      </c>
      <c r="E40" s="4" t="s">
        <v>307</v>
      </c>
      <c r="F40" s="1"/>
    </row>
    <row r="41" spans="1:6" ht="15.75" customHeight="1">
      <c r="A41" s="4" t="s">
        <v>554</v>
      </c>
      <c r="B41" s="4">
        <v>2013</v>
      </c>
      <c r="C41" s="4" t="s">
        <v>555</v>
      </c>
      <c r="D41" s="4" t="s">
        <v>556</v>
      </c>
      <c r="E41" s="4" t="s">
        <v>307</v>
      </c>
      <c r="F41" s="1"/>
    </row>
    <row r="42" spans="1:6" ht="15.75" customHeight="1">
      <c r="A42" s="4" t="s">
        <v>554</v>
      </c>
      <c r="B42" s="4">
        <v>2013</v>
      </c>
      <c r="C42" s="4" t="s">
        <v>558</v>
      </c>
      <c r="D42" s="4" t="s">
        <v>559</v>
      </c>
      <c r="E42" s="4" t="s">
        <v>307</v>
      </c>
      <c r="F42" s="1"/>
    </row>
    <row r="43" spans="1:6" ht="15.75" customHeight="1">
      <c r="A43" s="4" t="s">
        <v>554</v>
      </c>
      <c r="B43" s="4">
        <v>2008</v>
      </c>
      <c r="C43" s="4" t="s">
        <v>561</v>
      </c>
      <c r="D43" s="4" t="s">
        <v>562</v>
      </c>
      <c r="E43" s="4" t="s">
        <v>307</v>
      </c>
      <c r="F43" s="1"/>
    </row>
    <row r="44" spans="1:6" ht="15.75" customHeight="1">
      <c r="A44" s="4" t="s">
        <v>564</v>
      </c>
      <c r="B44" s="4">
        <v>2014</v>
      </c>
      <c r="C44" s="4" t="s">
        <v>565</v>
      </c>
      <c r="D44" s="4" t="s">
        <v>566</v>
      </c>
      <c r="E44" s="4" t="s">
        <v>307</v>
      </c>
      <c r="F44" s="1"/>
    </row>
    <row r="45" spans="1:6" ht="15.75" customHeight="1">
      <c r="A45" s="4" t="s">
        <v>112</v>
      </c>
      <c r="B45" s="4">
        <v>1993</v>
      </c>
      <c r="C45" s="4" t="s">
        <v>324</v>
      </c>
      <c r="D45" s="4" t="s">
        <v>113</v>
      </c>
      <c r="E45" s="4" t="s">
        <v>307</v>
      </c>
      <c r="F45" s="1"/>
    </row>
    <row r="46" spans="1:6" ht="15.75" customHeight="1">
      <c r="A46" s="4" t="s">
        <v>208</v>
      </c>
      <c r="B46" s="4">
        <v>2012</v>
      </c>
      <c r="C46" s="4" t="s">
        <v>325</v>
      </c>
      <c r="D46" s="4" t="s">
        <v>209</v>
      </c>
      <c r="E46" s="4" t="s">
        <v>307</v>
      </c>
      <c r="F46" s="1"/>
    </row>
    <row r="47" spans="1:6" ht="15.75" customHeight="1">
      <c r="A47" s="4" t="s">
        <v>117</v>
      </c>
      <c r="B47" s="4">
        <v>2020</v>
      </c>
      <c r="C47" s="4" t="s">
        <v>328</v>
      </c>
      <c r="D47" s="4" t="s">
        <v>118</v>
      </c>
      <c r="E47" s="4" t="s">
        <v>307</v>
      </c>
      <c r="F47" s="1"/>
    </row>
    <row r="48" spans="1:6" ht="15.75" customHeight="1">
      <c r="A48" s="4" t="s">
        <v>567</v>
      </c>
      <c r="B48" s="4">
        <v>2008</v>
      </c>
      <c r="C48" s="4" t="s">
        <v>568</v>
      </c>
      <c r="D48" s="4" t="s">
        <v>569</v>
      </c>
      <c r="E48" s="4" t="s">
        <v>307</v>
      </c>
      <c r="F48" s="1"/>
    </row>
    <row r="49" spans="1:6" ht="15.75" customHeight="1">
      <c r="A49" s="4" t="s">
        <v>567</v>
      </c>
      <c r="B49" s="4">
        <v>2016</v>
      </c>
      <c r="C49" s="4" t="s">
        <v>570</v>
      </c>
      <c r="D49" s="4" t="s">
        <v>571</v>
      </c>
      <c r="E49" s="4" t="s">
        <v>307</v>
      </c>
      <c r="F49" s="1"/>
    </row>
    <row r="50" spans="1:6" ht="15.75" customHeight="1">
      <c r="A50" s="4" t="s">
        <v>120</v>
      </c>
      <c r="B50" s="4">
        <v>2010</v>
      </c>
      <c r="C50" s="4" t="s">
        <v>330</v>
      </c>
      <c r="D50" s="4" t="s">
        <v>121</v>
      </c>
      <c r="E50" s="4" t="s">
        <v>307</v>
      </c>
      <c r="F50" s="1"/>
    </row>
    <row r="51" spans="1:6" ht="15.75" customHeight="1">
      <c r="A51" s="4" t="s">
        <v>123</v>
      </c>
      <c r="B51" s="4">
        <v>2021</v>
      </c>
      <c r="C51" s="4" t="s">
        <v>332</v>
      </c>
      <c r="D51" s="4" t="s">
        <v>124</v>
      </c>
      <c r="E51" s="4" t="s">
        <v>307</v>
      </c>
      <c r="F51" s="1"/>
    </row>
    <row r="52" spans="1:6" ht="15.75" customHeight="1">
      <c r="A52" s="4" t="s">
        <v>572</v>
      </c>
      <c r="B52" s="4">
        <v>2016</v>
      </c>
      <c r="C52" s="4" t="s">
        <v>573</v>
      </c>
      <c r="D52" s="4" t="s">
        <v>574</v>
      </c>
      <c r="E52" s="4" t="s">
        <v>307</v>
      </c>
      <c r="F52" s="1"/>
    </row>
    <row r="53" spans="1:6" ht="15.75" customHeight="1">
      <c r="A53" s="4" t="s">
        <v>575</v>
      </c>
      <c r="B53" s="4">
        <v>2019</v>
      </c>
      <c r="C53" s="4" t="s">
        <v>576</v>
      </c>
      <c r="D53" s="4" t="s">
        <v>577</v>
      </c>
      <c r="E53" s="4" t="s">
        <v>307</v>
      </c>
      <c r="F53" s="1"/>
    </row>
    <row r="54" spans="1:6" ht="15.75" customHeight="1">
      <c r="A54" s="4" t="s">
        <v>578</v>
      </c>
      <c r="B54" s="4">
        <v>2001</v>
      </c>
      <c r="C54" s="4" t="s">
        <v>579</v>
      </c>
      <c r="D54" s="4" t="s">
        <v>580</v>
      </c>
      <c r="E54" s="4" t="s">
        <v>307</v>
      </c>
      <c r="F54" s="1"/>
    </row>
    <row r="55" spans="1:6" ht="15.75" customHeight="1">
      <c r="A55" s="4" t="s">
        <v>581</v>
      </c>
      <c r="B55" s="4">
        <v>2020</v>
      </c>
      <c r="C55" s="4" t="s">
        <v>582</v>
      </c>
      <c r="D55" s="4" t="s">
        <v>583</v>
      </c>
      <c r="E55" s="4" t="s">
        <v>307</v>
      </c>
      <c r="F55" s="1"/>
    </row>
    <row r="56" spans="1:6" ht="15.75" customHeight="1">
      <c r="A56" s="4" t="s">
        <v>584</v>
      </c>
      <c r="B56" s="4">
        <v>2006</v>
      </c>
      <c r="C56" s="4" t="s">
        <v>585</v>
      </c>
      <c r="D56" s="4" t="s">
        <v>586</v>
      </c>
      <c r="E56" s="4" t="s">
        <v>307</v>
      </c>
      <c r="F56" s="1"/>
    </row>
    <row r="57" spans="1:6" ht="15.75" customHeight="1">
      <c r="A57" s="4" t="s">
        <v>587</v>
      </c>
      <c r="B57" s="4">
        <v>2008</v>
      </c>
      <c r="C57" s="4" t="s">
        <v>588</v>
      </c>
      <c r="D57" s="4" t="s">
        <v>589</v>
      </c>
      <c r="E57" s="4" t="s">
        <v>307</v>
      </c>
      <c r="F57" s="1"/>
    </row>
    <row r="58" spans="1:6" ht="15.75" customHeight="1">
      <c r="A58" s="4" t="s">
        <v>212</v>
      </c>
      <c r="B58" s="4">
        <v>2014</v>
      </c>
      <c r="C58" s="4" t="s">
        <v>334</v>
      </c>
      <c r="D58" s="4" t="s">
        <v>213</v>
      </c>
      <c r="E58" s="4" t="s">
        <v>307</v>
      </c>
      <c r="F58" s="1"/>
    </row>
    <row r="59" spans="1:6" ht="15.75" customHeight="1">
      <c r="A59" s="4" t="s">
        <v>590</v>
      </c>
      <c r="B59" s="4">
        <v>2005</v>
      </c>
      <c r="C59" s="4" t="s">
        <v>591</v>
      </c>
      <c r="D59" s="4" t="s">
        <v>592</v>
      </c>
      <c r="E59" s="4" t="s">
        <v>307</v>
      </c>
      <c r="F59" s="1"/>
    </row>
    <row r="60" spans="1:6" ht="15.75" customHeight="1">
      <c r="A60" s="4" t="s">
        <v>593</v>
      </c>
      <c r="B60" s="4">
        <v>2001</v>
      </c>
      <c r="C60" s="4" t="s">
        <v>594</v>
      </c>
      <c r="D60" s="18" t="s">
        <v>595</v>
      </c>
      <c r="E60" s="4" t="s">
        <v>307</v>
      </c>
      <c r="F60" s="1"/>
    </row>
    <row r="61" spans="1:6" ht="15.75" customHeight="1">
      <c r="A61" s="4" t="s">
        <v>214</v>
      </c>
      <c r="B61" s="4">
        <v>2021</v>
      </c>
      <c r="C61" s="4" t="s">
        <v>336</v>
      </c>
      <c r="D61" s="4" t="s">
        <v>215</v>
      </c>
      <c r="E61" s="4" t="s">
        <v>307</v>
      </c>
      <c r="F61" s="1"/>
    </row>
    <row r="62" spans="1:6" ht="15.75" customHeight="1">
      <c r="A62" s="4" t="s">
        <v>596</v>
      </c>
      <c r="B62" s="4">
        <v>2009</v>
      </c>
      <c r="C62" s="4" t="s">
        <v>597</v>
      </c>
      <c r="D62" s="4" t="s">
        <v>598</v>
      </c>
      <c r="E62" s="4" t="s">
        <v>307</v>
      </c>
      <c r="F62" s="1"/>
    </row>
    <row r="63" spans="1:6" ht="15.75" customHeight="1">
      <c r="A63" s="4" t="s">
        <v>596</v>
      </c>
      <c r="B63" s="4">
        <v>2000</v>
      </c>
      <c r="C63" s="4" t="s">
        <v>599</v>
      </c>
      <c r="D63" s="4" t="s">
        <v>600</v>
      </c>
      <c r="E63" s="4" t="s">
        <v>307</v>
      </c>
      <c r="F63" s="1"/>
    </row>
    <row r="64" spans="1:6" ht="15.75" customHeight="1">
      <c r="A64" s="4" t="s">
        <v>601</v>
      </c>
      <c r="B64" s="4">
        <v>2013</v>
      </c>
      <c r="C64" s="4" t="s">
        <v>602</v>
      </c>
      <c r="D64" s="4" t="s">
        <v>603</v>
      </c>
      <c r="E64" s="4" t="s">
        <v>307</v>
      </c>
      <c r="F64" s="1"/>
    </row>
    <row r="65" spans="1:6" ht="15.75" customHeight="1">
      <c r="A65" s="4" t="s">
        <v>604</v>
      </c>
      <c r="B65" s="4">
        <v>2022</v>
      </c>
      <c r="C65" s="4" t="s">
        <v>605</v>
      </c>
      <c r="D65" s="4" t="s">
        <v>606</v>
      </c>
      <c r="E65" s="4" t="s">
        <v>307</v>
      </c>
      <c r="F65" s="1"/>
    </row>
    <row r="66" spans="1:6" ht="15.75" customHeight="1">
      <c r="A66" s="4" t="s">
        <v>127</v>
      </c>
      <c r="B66" s="4">
        <v>2016</v>
      </c>
      <c r="C66" s="4" t="s">
        <v>339</v>
      </c>
      <c r="D66" s="4" t="s">
        <v>128</v>
      </c>
      <c r="E66" s="4" t="s">
        <v>307</v>
      </c>
      <c r="F66" s="1"/>
    </row>
    <row r="67" spans="1:6" ht="15.75" customHeight="1">
      <c r="A67" s="4" t="s">
        <v>216</v>
      </c>
      <c r="B67" s="4">
        <v>2014</v>
      </c>
      <c r="C67" s="4" t="s">
        <v>341</v>
      </c>
      <c r="D67" s="4" t="s">
        <v>217</v>
      </c>
      <c r="E67" s="4" t="s">
        <v>307</v>
      </c>
      <c r="F67" s="1"/>
    </row>
    <row r="68" spans="1:6" ht="15.75" customHeight="1">
      <c r="A68" s="4" t="s">
        <v>219</v>
      </c>
      <c r="B68" s="4">
        <v>2016</v>
      </c>
      <c r="C68" s="4" t="s">
        <v>343</v>
      </c>
      <c r="D68" s="4" t="s">
        <v>220</v>
      </c>
      <c r="E68" s="4" t="s">
        <v>307</v>
      </c>
      <c r="F68" s="1"/>
    </row>
    <row r="69" spans="1:6" ht="15.75" customHeight="1">
      <c r="A69" s="4" t="s">
        <v>607</v>
      </c>
      <c r="B69" s="4">
        <v>2004</v>
      </c>
      <c r="C69" s="4" t="s">
        <v>608</v>
      </c>
      <c r="D69" s="4" t="s">
        <v>609</v>
      </c>
      <c r="E69" s="4" t="s">
        <v>307</v>
      </c>
      <c r="F69" s="1"/>
    </row>
    <row r="70" spans="1:6" ht="15.75" customHeight="1">
      <c r="A70" s="4" t="s">
        <v>131</v>
      </c>
      <c r="B70" s="4">
        <v>2021</v>
      </c>
      <c r="C70" s="4" t="s">
        <v>346</v>
      </c>
      <c r="D70" s="4" t="s">
        <v>132</v>
      </c>
      <c r="E70" s="4" t="s">
        <v>307</v>
      </c>
      <c r="F70" s="1"/>
    </row>
    <row r="71" spans="1:6" ht="15.75" customHeight="1">
      <c r="A71" s="4" t="s">
        <v>610</v>
      </c>
      <c r="B71" s="4">
        <v>2017</v>
      </c>
      <c r="C71" s="4" t="s">
        <v>611</v>
      </c>
      <c r="D71" s="4" t="s">
        <v>612</v>
      </c>
      <c r="E71" s="4" t="s">
        <v>307</v>
      </c>
      <c r="F71" s="1"/>
    </row>
    <row r="72" spans="1:6" ht="15.75" customHeight="1">
      <c r="A72" s="4" t="s">
        <v>613</v>
      </c>
      <c r="B72" s="4">
        <v>2021</v>
      </c>
      <c r="C72" s="4" t="s">
        <v>614</v>
      </c>
      <c r="D72" s="4" t="s">
        <v>615</v>
      </c>
      <c r="E72" s="4" t="s">
        <v>307</v>
      </c>
      <c r="F72" s="1"/>
    </row>
    <row r="73" spans="1:6" ht="15.75" customHeight="1">
      <c r="A73" s="4" t="s">
        <v>616</v>
      </c>
      <c r="B73" s="4">
        <v>2021</v>
      </c>
      <c r="C73" s="4" t="s">
        <v>617</v>
      </c>
      <c r="D73" s="4" t="s">
        <v>618</v>
      </c>
      <c r="E73" s="4" t="s">
        <v>307</v>
      </c>
      <c r="F73" s="1"/>
    </row>
    <row r="74" spans="1:6" ht="15.75" customHeight="1">
      <c r="A74" s="4" t="s">
        <v>619</v>
      </c>
      <c r="B74" s="4">
        <v>2021</v>
      </c>
      <c r="C74" s="4" t="s">
        <v>620</v>
      </c>
      <c r="D74" s="4" t="s">
        <v>621</v>
      </c>
      <c r="E74" s="4" t="s">
        <v>307</v>
      </c>
      <c r="F74" s="1"/>
    </row>
    <row r="75" spans="1:6" ht="15.75" customHeight="1">
      <c r="A75" s="4" t="s">
        <v>135</v>
      </c>
      <c r="B75" s="4">
        <v>2005</v>
      </c>
      <c r="C75" s="4" t="s">
        <v>348</v>
      </c>
      <c r="D75" s="4" t="s">
        <v>136</v>
      </c>
      <c r="E75" s="4" t="s">
        <v>307</v>
      </c>
      <c r="F75" s="1"/>
    </row>
    <row r="76" spans="1:6" ht="15.75" customHeight="1">
      <c r="A76" s="4" t="s">
        <v>221</v>
      </c>
      <c r="B76" s="4">
        <v>2024</v>
      </c>
      <c r="C76" s="4" t="s">
        <v>350</v>
      </c>
      <c r="D76" s="4" t="s">
        <v>222</v>
      </c>
      <c r="E76" s="4" t="s">
        <v>307</v>
      </c>
      <c r="F76" s="1"/>
    </row>
    <row r="77" spans="1:6" ht="15.75" customHeight="1">
      <c r="A77" s="4" t="s">
        <v>221</v>
      </c>
      <c r="B77" s="4">
        <v>2019</v>
      </c>
      <c r="C77" s="4" t="s">
        <v>622</v>
      </c>
      <c r="D77" s="4" t="s">
        <v>623</v>
      </c>
      <c r="E77" s="4" t="s">
        <v>307</v>
      </c>
      <c r="F77" s="1"/>
    </row>
    <row r="78" spans="1:6" ht="15.75" customHeight="1">
      <c r="A78" s="4" t="s">
        <v>221</v>
      </c>
      <c r="B78" s="4">
        <v>2015</v>
      </c>
      <c r="C78" s="4" t="s">
        <v>624</v>
      </c>
      <c r="D78" s="4" t="s">
        <v>625</v>
      </c>
      <c r="E78" s="4" t="s">
        <v>307</v>
      </c>
      <c r="F78" s="1"/>
    </row>
    <row r="79" spans="1:6" ht="15.75" customHeight="1">
      <c r="A79" s="4" t="s">
        <v>221</v>
      </c>
      <c r="B79" s="4">
        <v>2015</v>
      </c>
      <c r="C79" s="4" t="s">
        <v>627</v>
      </c>
      <c r="D79" s="4" t="s">
        <v>628</v>
      </c>
      <c r="E79" s="4" t="s">
        <v>307</v>
      </c>
      <c r="F79" s="1"/>
    </row>
    <row r="80" spans="1:6" ht="15.75" customHeight="1">
      <c r="A80" s="4" t="s">
        <v>221</v>
      </c>
      <c r="B80" s="4">
        <v>2016</v>
      </c>
      <c r="C80" s="4" t="s">
        <v>630</v>
      </c>
      <c r="D80" s="4" t="s">
        <v>631</v>
      </c>
      <c r="E80" s="4" t="s">
        <v>307</v>
      </c>
      <c r="F80" s="1"/>
    </row>
    <row r="81" spans="1:6" ht="15.75" customHeight="1">
      <c r="A81" s="4" t="s">
        <v>221</v>
      </c>
      <c r="B81" s="4">
        <v>2014</v>
      </c>
      <c r="C81" s="4" t="s">
        <v>632</v>
      </c>
      <c r="D81" s="4" t="s">
        <v>633</v>
      </c>
      <c r="E81" s="4" t="s">
        <v>307</v>
      </c>
      <c r="F81" s="1"/>
    </row>
    <row r="82" spans="1:6" ht="15.75" customHeight="1">
      <c r="A82" s="4" t="s">
        <v>221</v>
      </c>
      <c r="B82" s="4">
        <v>2017</v>
      </c>
      <c r="C82" s="4" t="s">
        <v>634</v>
      </c>
      <c r="D82" s="4" t="s">
        <v>635</v>
      </c>
      <c r="E82" s="4" t="s">
        <v>307</v>
      </c>
      <c r="F82" s="1"/>
    </row>
    <row r="83" spans="1:6" ht="15.75" customHeight="1">
      <c r="A83" s="4" t="s">
        <v>221</v>
      </c>
      <c r="B83" s="4">
        <v>2022</v>
      </c>
      <c r="C83" s="4" t="s">
        <v>637</v>
      </c>
      <c r="D83" s="4" t="s">
        <v>638</v>
      </c>
      <c r="E83" s="4" t="s">
        <v>307</v>
      </c>
      <c r="F83" s="1"/>
    </row>
    <row r="84" spans="1:6" ht="15.75" customHeight="1">
      <c r="A84" s="4" t="s">
        <v>221</v>
      </c>
      <c r="B84" s="4">
        <v>2017</v>
      </c>
      <c r="C84" s="4" t="s">
        <v>639</v>
      </c>
      <c r="D84" s="4" t="s">
        <v>640</v>
      </c>
      <c r="E84" s="4" t="s">
        <v>307</v>
      </c>
      <c r="F84" s="1"/>
    </row>
    <row r="85" spans="1:6" ht="15.75" customHeight="1">
      <c r="A85" s="4" t="s">
        <v>221</v>
      </c>
      <c r="B85" s="4">
        <v>2020</v>
      </c>
      <c r="C85" s="4" t="s">
        <v>641</v>
      </c>
      <c r="D85" s="4" t="s">
        <v>642</v>
      </c>
      <c r="E85" s="4" t="s">
        <v>307</v>
      </c>
      <c r="F85" s="1"/>
    </row>
    <row r="86" spans="1:6" ht="15.75" customHeight="1">
      <c r="A86" s="4" t="s">
        <v>221</v>
      </c>
      <c r="B86" s="4">
        <v>2012</v>
      </c>
      <c r="C86" s="4" t="s">
        <v>643</v>
      </c>
      <c r="D86" s="4" t="s">
        <v>644</v>
      </c>
      <c r="E86" s="4" t="s">
        <v>307</v>
      </c>
      <c r="F86" s="1"/>
    </row>
    <row r="87" spans="1:6" ht="15.75" customHeight="1">
      <c r="A87" s="4" t="s">
        <v>221</v>
      </c>
      <c r="B87" s="4">
        <v>2018</v>
      </c>
      <c r="C87" s="4" t="s">
        <v>353</v>
      </c>
      <c r="D87" s="4" t="s">
        <v>223</v>
      </c>
      <c r="E87" s="4" t="s">
        <v>307</v>
      </c>
      <c r="F87" s="1"/>
    </row>
    <row r="88" spans="1:6" ht="15.75" customHeight="1">
      <c r="A88" s="4" t="s">
        <v>645</v>
      </c>
      <c r="B88" s="4">
        <v>2017</v>
      </c>
      <c r="C88" s="4" t="s">
        <v>646</v>
      </c>
      <c r="D88" s="4" t="s">
        <v>647</v>
      </c>
      <c r="E88" s="4" t="s">
        <v>307</v>
      </c>
      <c r="F88" s="1"/>
    </row>
    <row r="89" spans="1:6" ht="15.75" customHeight="1">
      <c r="A89" s="4" t="s">
        <v>648</v>
      </c>
      <c r="B89" s="4">
        <v>2012</v>
      </c>
      <c r="C89" s="4" t="s">
        <v>649</v>
      </c>
      <c r="D89" s="4" t="s">
        <v>650</v>
      </c>
      <c r="E89" s="4" t="s">
        <v>307</v>
      </c>
      <c r="F89" s="1"/>
    </row>
    <row r="90" spans="1:6" ht="15.75" customHeight="1">
      <c r="A90" s="4" t="s">
        <v>651</v>
      </c>
      <c r="B90" s="4">
        <v>2009</v>
      </c>
      <c r="C90" s="4" t="s">
        <v>652</v>
      </c>
      <c r="D90" s="4" t="s">
        <v>653</v>
      </c>
      <c r="E90" s="4" t="s">
        <v>307</v>
      </c>
      <c r="F90" s="1"/>
    </row>
    <row r="91" spans="1:6" ht="15.75" customHeight="1">
      <c r="A91" s="4" t="s">
        <v>224</v>
      </c>
      <c r="B91" s="4">
        <v>2018</v>
      </c>
      <c r="C91" s="4" t="s">
        <v>356</v>
      </c>
      <c r="D91" s="4" t="s">
        <v>225</v>
      </c>
      <c r="E91" s="4" t="s">
        <v>307</v>
      </c>
      <c r="F91" s="1"/>
    </row>
    <row r="92" spans="1:6" ht="15.75" customHeight="1">
      <c r="A92" s="4" t="s">
        <v>654</v>
      </c>
      <c r="B92" s="4">
        <v>2002</v>
      </c>
      <c r="C92" s="4" t="s">
        <v>655</v>
      </c>
      <c r="D92" s="4" t="s">
        <v>656</v>
      </c>
      <c r="E92" s="4" t="s">
        <v>307</v>
      </c>
      <c r="F92" s="1"/>
    </row>
    <row r="93" spans="1:6" ht="15.75" customHeight="1">
      <c r="A93" s="4" t="s">
        <v>654</v>
      </c>
      <c r="B93" s="4">
        <v>2012</v>
      </c>
      <c r="C93" s="4" t="s">
        <v>657</v>
      </c>
      <c r="D93" s="4" t="s">
        <v>658</v>
      </c>
      <c r="E93" s="4" t="s">
        <v>307</v>
      </c>
      <c r="F93" s="1"/>
    </row>
    <row r="94" spans="1:6" ht="15.75" customHeight="1">
      <c r="A94" s="4" t="s">
        <v>226</v>
      </c>
      <c r="B94" s="4">
        <v>2021</v>
      </c>
      <c r="C94" s="4" t="s">
        <v>358</v>
      </c>
      <c r="D94" s="4" t="s">
        <v>227</v>
      </c>
      <c r="E94" s="4" t="s">
        <v>307</v>
      </c>
      <c r="F94" s="1"/>
    </row>
    <row r="95" spans="1:6" ht="15.75" customHeight="1">
      <c r="A95" s="4" t="s">
        <v>228</v>
      </c>
      <c r="B95" s="4">
        <v>2014</v>
      </c>
      <c r="C95" s="4" t="s">
        <v>360</v>
      </c>
      <c r="D95" s="4" t="s">
        <v>229</v>
      </c>
      <c r="E95" s="4" t="s">
        <v>307</v>
      </c>
      <c r="F95" s="1"/>
    </row>
    <row r="96" spans="1:6" ht="15.75" customHeight="1">
      <c r="A96" s="4" t="s">
        <v>228</v>
      </c>
      <c r="B96" s="4">
        <v>2017</v>
      </c>
      <c r="C96" s="4" t="s">
        <v>361</v>
      </c>
      <c r="D96" s="4" t="s">
        <v>230</v>
      </c>
      <c r="E96" s="4" t="s">
        <v>307</v>
      </c>
      <c r="F96" s="1"/>
    </row>
    <row r="97" spans="1:6" ht="15.75" customHeight="1">
      <c r="A97" s="4" t="s">
        <v>231</v>
      </c>
      <c r="B97" s="4">
        <v>2000</v>
      </c>
      <c r="C97" s="4" t="s">
        <v>363</v>
      </c>
      <c r="D97" s="4" t="s">
        <v>232</v>
      </c>
      <c r="E97" s="4" t="s">
        <v>307</v>
      </c>
      <c r="F97" s="1"/>
    </row>
    <row r="98" spans="1:6" ht="15.75" customHeight="1">
      <c r="A98" s="4" t="s">
        <v>184</v>
      </c>
      <c r="B98" s="4">
        <v>2016</v>
      </c>
      <c r="C98" s="4" t="s">
        <v>659</v>
      </c>
      <c r="D98" s="4" t="s">
        <v>660</v>
      </c>
      <c r="E98" s="4" t="s">
        <v>307</v>
      </c>
      <c r="F98" s="1"/>
    </row>
    <row r="99" spans="1:6" ht="15.75" customHeight="1">
      <c r="A99" s="4" t="s">
        <v>184</v>
      </c>
      <c r="B99" s="4">
        <v>2017</v>
      </c>
      <c r="C99" s="4" t="s">
        <v>365</v>
      </c>
      <c r="D99" s="4" t="s">
        <v>185</v>
      </c>
      <c r="E99" s="4" t="s">
        <v>307</v>
      </c>
      <c r="F99" s="1"/>
    </row>
    <row r="100" spans="1:6" ht="15.75" customHeight="1">
      <c r="A100" s="4" t="s">
        <v>184</v>
      </c>
      <c r="B100" s="4">
        <v>2015</v>
      </c>
      <c r="C100" s="4" t="s">
        <v>661</v>
      </c>
      <c r="D100" s="4" t="s">
        <v>662</v>
      </c>
      <c r="E100" s="4" t="s">
        <v>307</v>
      </c>
      <c r="F100" s="1"/>
    </row>
    <row r="101" spans="1:6" ht="15.75" customHeight="1">
      <c r="A101" s="4" t="s">
        <v>663</v>
      </c>
      <c r="B101" s="4">
        <v>2019</v>
      </c>
      <c r="C101" s="4" t="s">
        <v>664</v>
      </c>
      <c r="D101" s="4" t="s">
        <v>665</v>
      </c>
      <c r="E101" s="4" t="s">
        <v>307</v>
      </c>
      <c r="F101" s="1"/>
    </row>
    <row r="102" spans="1:6" ht="15.75" customHeight="1">
      <c r="A102" s="4" t="s">
        <v>186</v>
      </c>
      <c r="B102" s="4">
        <v>2011</v>
      </c>
      <c r="C102" s="4" t="s">
        <v>367</v>
      </c>
      <c r="D102" s="4" t="s">
        <v>187</v>
      </c>
      <c r="E102" s="4" t="s">
        <v>307</v>
      </c>
      <c r="F102" s="1"/>
    </row>
    <row r="103" spans="1:6" ht="15.75" customHeight="1">
      <c r="A103" s="4" t="s">
        <v>186</v>
      </c>
      <c r="B103" s="4">
        <v>2012</v>
      </c>
      <c r="C103" s="4" t="s">
        <v>667</v>
      </c>
      <c r="D103" s="4" t="s">
        <v>668</v>
      </c>
      <c r="E103" s="4" t="s">
        <v>307</v>
      </c>
      <c r="F103" s="1"/>
    </row>
    <row r="104" spans="1:6" ht="15.75" customHeight="1">
      <c r="A104" s="4" t="s">
        <v>669</v>
      </c>
      <c r="B104" s="4">
        <v>1996</v>
      </c>
      <c r="C104" s="4" t="s">
        <v>670</v>
      </c>
      <c r="D104" s="4" t="s">
        <v>671</v>
      </c>
      <c r="E104" s="4" t="s">
        <v>307</v>
      </c>
      <c r="F104" s="1"/>
    </row>
    <row r="105" spans="1:6" ht="15.75" customHeight="1">
      <c r="A105" s="4" t="s">
        <v>672</v>
      </c>
      <c r="B105" s="4">
        <v>2010</v>
      </c>
      <c r="C105" s="4" t="s">
        <v>673</v>
      </c>
      <c r="D105" s="4" t="s">
        <v>674</v>
      </c>
      <c r="E105" s="4" t="s">
        <v>307</v>
      </c>
      <c r="F105" s="1"/>
    </row>
    <row r="106" spans="1:6" ht="15.75" customHeight="1">
      <c r="A106" s="4" t="s">
        <v>672</v>
      </c>
      <c r="B106" s="4">
        <v>2015</v>
      </c>
      <c r="C106" s="4" t="s">
        <v>675</v>
      </c>
      <c r="D106" s="4" t="s">
        <v>676</v>
      </c>
      <c r="E106" s="4" t="s">
        <v>307</v>
      </c>
      <c r="F106" s="1"/>
    </row>
    <row r="107" spans="1:6" ht="15.75" customHeight="1">
      <c r="A107" s="4" t="s">
        <v>233</v>
      </c>
      <c r="B107" s="4">
        <v>2013</v>
      </c>
      <c r="C107" s="4" t="s">
        <v>369</v>
      </c>
      <c r="D107" s="4" t="s">
        <v>234</v>
      </c>
      <c r="E107" s="4" t="s">
        <v>307</v>
      </c>
      <c r="F107" s="1"/>
    </row>
    <row r="108" spans="1:6" ht="15.75" customHeight="1">
      <c r="A108" s="4" t="s">
        <v>233</v>
      </c>
      <c r="B108" s="4">
        <v>2009</v>
      </c>
      <c r="C108" s="4" t="s">
        <v>677</v>
      </c>
      <c r="D108" s="4" t="s">
        <v>678</v>
      </c>
      <c r="E108" s="4" t="s">
        <v>307</v>
      </c>
      <c r="F108" s="1"/>
    </row>
    <row r="109" spans="1:6" ht="15.75" customHeight="1">
      <c r="A109" s="4" t="s">
        <v>235</v>
      </c>
      <c r="B109" s="4">
        <v>1996</v>
      </c>
      <c r="C109" s="4" t="s">
        <v>371</v>
      </c>
      <c r="D109" s="4" t="s">
        <v>236</v>
      </c>
      <c r="E109" s="4" t="s">
        <v>307</v>
      </c>
      <c r="F109" s="1"/>
    </row>
    <row r="110" spans="1:6" ht="15.75" customHeight="1">
      <c r="A110" s="4" t="s">
        <v>237</v>
      </c>
      <c r="B110" s="4">
        <v>2021</v>
      </c>
      <c r="C110" s="4" t="s">
        <v>373</v>
      </c>
      <c r="D110" s="4" t="s">
        <v>238</v>
      </c>
      <c r="E110" s="4" t="s">
        <v>307</v>
      </c>
      <c r="F110" s="1"/>
    </row>
    <row r="111" spans="1:6" ht="15.75" customHeight="1">
      <c r="A111" s="4" t="s">
        <v>679</v>
      </c>
      <c r="B111" s="4">
        <v>2023</v>
      </c>
      <c r="C111" s="4" t="s">
        <v>680</v>
      </c>
      <c r="D111" s="4" t="s">
        <v>681</v>
      </c>
      <c r="E111" s="4" t="s">
        <v>307</v>
      </c>
      <c r="F111" s="1"/>
    </row>
    <row r="112" spans="1:6" ht="15.75" customHeight="1">
      <c r="A112" s="4" t="s">
        <v>683</v>
      </c>
      <c r="B112" s="4">
        <v>2018</v>
      </c>
      <c r="C112" s="4" t="s">
        <v>684</v>
      </c>
      <c r="D112" s="4" t="s">
        <v>685</v>
      </c>
      <c r="E112" s="4" t="s">
        <v>307</v>
      </c>
      <c r="F112" s="1"/>
    </row>
    <row r="113" spans="1:6" ht="15.75" customHeight="1">
      <c r="A113" s="4" t="s">
        <v>686</v>
      </c>
      <c r="B113" s="4">
        <v>2011</v>
      </c>
      <c r="C113" s="4" t="s">
        <v>687</v>
      </c>
      <c r="D113" s="4" t="s">
        <v>688</v>
      </c>
      <c r="E113" s="4" t="s">
        <v>307</v>
      </c>
      <c r="F113" s="1"/>
    </row>
    <row r="114" spans="1:6" ht="15.75" customHeight="1">
      <c r="A114" s="4" t="s">
        <v>239</v>
      </c>
      <c r="B114" s="4">
        <v>2021</v>
      </c>
      <c r="C114" s="4" t="s">
        <v>375</v>
      </c>
      <c r="D114" s="4" t="s">
        <v>240</v>
      </c>
      <c r="E114" s="4" t="s">
        <v>307</v>
      </c>
      <c r="F114" s="1"/>
    </row>
    <row r="115" spans="1:6" ht="15.75" customHeight="1">
      <c r="A115" s="4" t="s">
        <v>689</v>
      </c>
      <c r="B115" s="4">
        <v>2002</v>
      </c>
      <c r="C115" s="4" t="s">
        <v>690</v>
      </c>
      <c r="D115" s="4" t="s">
        <v>691</v>
      </c>
      <c r="E115" s="4" t="s">
        <v>307</v>
      </c>
      <c r="F115" s="1"/>
    </row>
    <row r="116" spans="1:6" ht="15.75" customHeight="1">
      <c r="A116" s="4" t="s">
        <v>692</v>
      </c>
      <c r="B116" s="4">
        <v>2008</v>
      </c>
      <c r="C116" s="4" t="s">
        <v>693</v>
      </c>
      <c r="D116" s="4" t="s">
        <v>694</v>
      </c>
      <c r="E116" s="4" t="s">
        <v>307</v>
      </c>
      <c r="F116" s="1"/>
    </row>
    <row r="117" spans="1:6" ht="15.75" customHeight="1">
      <c r="A117" s="4" t="s">
        <v>695</v>
      </c>
      <c r="B117" s="4">
        <v>2008</v>
      </c>
      <c r="C117" s="4" t="s">
        <v>696</v>
      </c>
      <c r="D117" s="4" t="s">
        <v>697</v>
      </c>
      <c r="E117" s="4" t="s">
        <v>307</v>
      </c>
      <c r="F117" s="1"/>
    </row>
    <row r="118" spans="1:6" ht="15.75" customHeight="1">
      <c r="A118" s="4" t="s">
        <v>698</v>
      </c>
      <c r="B118" s="4">
        <v>2011</v>
      </c>
      <c r="C118" s="4" t="s">
        <v>699</v>
      </c>
      <c r="D118" s="4" t="s">
        <v>700</v>
      </c>
      <c r="E118" s="4" t="s">
        <v>307</v>
      </c>
      <c r="F118" s="1"/>
    </row>
    <row r="119" spans="1:6" ht="15.75" customHeight="1">
      <c r="A119" s="4" t="s">
        <v>701</v>
      </c>
      <c r="B119" s="4">
        <v>2003</v>
      </c>
      <c r="C119" s="4" t="s">
        <v>702</v>
      </c>
      <c r="D119" s="4" t="s">
        <v>703</v>
      </c>
      <c r="E119" s="4" t="s">
        <v>307</v>
      </c>
      <c r="F119" s="1"/>
    </row>
    <row r="120" spans="1:6" ht="15.75" customHeight="1">
      <c r="A120" s="4" t="s">
        <v>241</v>
      </c>
      <c r="B120" s="4">
        <v>2013</v>
      </c>
      <c r="C120" s="4" t="s">
        <v>376</v>
      </c>
      <c r="D120" s="4" t="s">
        <v>242</v>
      </c>
      <c r="E120" s="4" t="s">
        <v>307</v>
      </c>
      <c r="F120" s="1"/>
    </row>
    <row r="121" spans="1:6" ht="15.75" customHeight="1">
      <c r="A121" s="4" t="s">
        <v>139</v>
      </c>
      <c r="B121" s="4">
        <v>2014</v>
      </c>
      <c r="C121" s="4" t="s">
        <v>377</v>
      </c>
      <c r="D121" s="4" t="s">
        <v>140</v>
      </c>
      <c r="E121" s="4" t="s">
        <v>307</v>
      </c>
      <c r="F121" s="1"/>
    </row>
    <row r="122" spans="1:6" ht="15.75" customHeight="1">
      <c r="A122" s="4" t="s">
        <v>243</v>
      </c>
      <c r="B122" s="4">
        <v>2003</v>
      </c>
      <c r="C122" s="4" t="s">
        <v>378</v>
      </c>
      <c r="D122" s="4" t="s">
        <v>244</v>
      </c>
      <c r="E122" s="4" t="s">
        <v>307</v>
      </c>
      <c r="F122" s="1"/>
    </row>
    <row r="123" spans="1:6" ht="15.75" customHeight="1">
      <c r="A123" s="4" t="s">
        <v>245</v>
      </c>
      <c r="B123" s="4">
        <v>2022</v>
      </c>
      <c r="C123" s="4" t="s">
        <v>380</v>
      </c>
      <c r="D123" s="4" t="s">
        <v>246</v>
      </c>
      <c r="E123" s="4" t="s">
        <v>307</v>
      </c>
      <c r="F123" s="1"/>
    </row>
    <row r="124" spans="1:6" ht="15.75" customHeight="1">
      <c r="A124" s="4" t="s">
        <v>704</v>
      </c>
      <c r="B124" s="4">
        <v>2013</v>
      </c>
      <c r="C124" s="4" t="s">
        <v>705</v>
      </c>
      <c r="D124" s="4" t="s">
        <v>706</v>
      </c>
      <c r="E124" s="4" t="s">
        <v>307</v>
      </c>
      <c r="F124" s="1"/>
    </row>
    <row r="125" spans="1:6" ht="15.75" customHeight="1">
      <c r="A125" s="4" t="s">
        <v>247</v>
      </c>
      <c r="B125" s="4">
        <v>2019</v>
      </c>
      <c r="C125" s="4" t="s">
        <v>381</v>
      </c>
      <c r="D125" s="4" t="s">
        <v>248</v>
      </c>
      <c r="E125" s="4" t="s">
        <v>307</v>
      </c>
      <c r="F125" s="1"/>
    </row>
    <row r="126" spans="1:6" ht="15.75" customHeight="1">
      <c r="A126" s="4" t="s">
        <v>249</v>
      </c>
      <c r="B126" s="4">
        <v>2007</v>
      </c>
      <c r="C126" s="4" t="s">
        <v>707</v>
      </c>
      <c r="D126" s="4" t="s">
        <v>708</v>
      </c>
      <c r="E126" s="4" t="s">
        <v>307</v>
      </c>
      <c r="F126" s="1"/>
    </row>
    <row r="127" spans="1:6" ht="15.75" customHeight="1">
      <c r="A127" s="4" t="s">
        <v>249</v>
      </c>
      <c r="B127" s="4">
        <v>2000</v>
      </c>
      <c r="C127" s="4" t="s">
        <v>382</v>
      </c>
      <c r="D127" s="4" t="s">
        <v>250</v>
      </c>
      <c r="E127" s="4" t="s">
        <v>307</v>
      </c>
      <c r="F127" s="1"/>
    </row>
    <row r="128" spans="1:6" ht="15.75" customHeight="1">
      <c r="A128" s="4" t="s">
        <v>252</v>
      </c>
      <c r="B128" s="4">
        <v>2001</v>
      </c>
      <c r="C128" s="4" t="s">
        <v>383</v>
      </c>
      <c r="D128" s="19" t="s">
        <v>253</v>
      </c>
      <c r="E128" s="4" t="s">
        <v>307</v>
      </c>
      <c r="F128" s="1"/>
    </row>
    <row r="129" spans="1:6" ht="15.75" customHeight="1">
      <c r="A129" s="4" t="s">
        <v>709</v>
      </c>
      <c r="B129" s="4">
        <v>2015</v>
      </c>
      <c r="C129" s="4" t="s">
        <v>710</v>
      </c>
      <c r="D129" s="4" t="s">
        <v>711</v>
      </c>
      <c r="E129" s="4" t="s">
        <v>307</v>
      </c>
      <c r="F129" s="1"/>
    </row>
    <row r="130" spans="1:6" ht="15.75" customHeight="1">
      <c r="A130" s="4" t="s">
        <v>254</v>
      </c>
      <c r="B130" s="4">
        <v>1999</v>
      </c>
      <c r="C130" s="4" t="s">
        <v>384</v>
      </c>
      <c r="D130" s="4" t="s">
        <v>255</v>
      </c>
      <c r="E130" s="4" t="s">
        <v>307</v>
      </c>
      <c r="F130" s="1"/>
    </row>
    <row r="131" spans="1:6" ht="15.75" customHeight="1">
      <c r="A131" s="4" t="s">
        <v>254</v>
      </c>
      <c r="B131" s="4">
        <v>2000</v>
      </c>
      <c r="C131" s="4" t="s">
        <v>712</v>
      </c>
      <c r="D131" s="4" t="s">
        <v>713</v>
      </c>
      <c r="E131" s="4" t="s">
        <v>307</v>
      </c>
      <c r="F131" s="1"/>
    </row>
    <row r="132" spans="1:6" ht="15.75" customHeight="1">
      <c r="A132" s="4" t="s">
        <v>714</v>
      </c>
      <c r="B132" s="4">
        <v>2011</v>
      </c>
      <c r="C132" s="4" t="s">
        <v>715</v>
      </c>
      <c r="D132" s="4" t="s">
        <v>716</v>
      </c>
      <c r="E132" s="4" t="s">
        <v>307</v>
      </c>
      <c r="F132" s="1"/>
    </row>
    <row r="133" spans="1:6" ht="15.75" customHeight="1">
      <c r="A133" s="4" t="s">
        <v>717</v>
      </c>
      <c r="B133" s="4">
        <v>2014</v>
      </c>
      <c r="C133" s="4" t="s">
        <v>718</v>
      </c>
      <c r="D133" s="4" t="s">
        <v>719</v>
      </c>
      <c r="E133" s="4" t="s">
        <v>307</v>
      </c>
      <c r="F133" s="1"/>
    </row>
    <row r="134" spans="1:6" ht="15.75" customHeight="1">
      <c r="A134" s="4" t="s">
        <v>720</v>
      </c>
      <c r="B134" s="4">
        <v>2011</v>
      </c>
      <c r="C134" s="4" t="s">
        <v>721</v>
      </c>
      <c r="D134" s="4" t="s">
        <v>722</v>
      </c>
      <c r="E134" s="4" t="s">
        <v>307</v>
      </c>
      <c r="F134" s="1"/>
    </row>
    <row r="135" spans="1:6" ht="15.75" customHeight="1">
      <c r="A135" s="4" t="s">
        <v>723</v>
      </c>
      <c r="B135" s="4">
        <v>2018</v>
      </c>
      <c r="C135" s="4" t="s">
        <v>724</v>
      </c>
      <c r="D135" s="4" t="s">
        <v>725</v>
      </c>
      <c r="E135" s="4" t="s">
        <v>307</v>
      </c>
      <c r="F135" s="1"/>
    </row>
    <row r="136" spans="1:6" ht="15.75" customHeight="1">
      <c r="A136" s="4" t="s">
        <v>726</v>
      </c>
      <c r="B136" s="4">
        <v>2008</v>
      </c>
      <c r="C136" s="4" t="s">
        <v>727</v>
      </c>
      <c r="D136" s="4" t="s">
        <v>728</v>
      </c>
      <c r="E136" s="4" t="s">
        <v>307</v>
      </c>
      <c r="F136" s="1"/>
    </row>
    <row r="137" spans="1:6" ht="15.75" customHeight="1">
      <c r="A137" s="4" t="s">
        <v>729</v>
      </c>
      <c r="B137" s="4">
        <v>2023</v>
      </c>
      <c r="C137" s="4" t="s">
        <v>730</v>
      </c>
      <c r="D137" s="4" t="s">
        <v>731</v>
      </c>
      <c r="E137" s="4" t="s">
        <v>307</v>
      </c>
      <c r="F137" s="1"/>
    </row>
    <row r="138" spans="1:6" ht="15.75" customHeight="1">
      <c r="A138" s="4" t="s">
        <v>733</v>
      </c>
      <c r="B138" s="4">
        <v>2022</v>
      </c>
      <c r="C138" s="4" t="s">
        <v>734</v>
      </c>
      <c r="D138" s="4" t="s">
        <v>735</v>
      </c>
      <c r="E138" s="4" t="s">
        <v>307</v>
      </c>
      <c r="F138" s="1"/>
    </row>
    <row r="139" spans="1:6" ht="15.75" customHeight="1">
      <c r="A139" s="4" t="s">
        <v>147</v>
      </c>
      <c r="B139" s="4">
        <v>2020</v>
      </c>
      <c r="C139" s="4" t="s">
        <v>736</v>
      </c>
      <c r="D139" s="4" t="s">
        <v>737</v>
      </c>
      <c r="E139" s="4" t="s">
        <v>307</v>
      </c>
      <c r="F139" s="1"/>
    </row>
    <row r="140" spans="1:6" ht="15.75" customHeight="1">
      <c r="A140" s="4" t="s">
        <v>147</v>
      </c>
      <c r="B140" s="4">
        <v>2023</v>
      </c>
      <c r="C140" s="4" t="s">
        <v>386</v>
      </c>
      <c r="D140" s="4" t="s">
        <v>148</v>
      </c>
      <c r="E140" s="4" t="s">
        <v>307</v>
      </c>
      <c r="F140" s="1"/>
    </row>
    <row r="141" spans="1:6" ht="15.75" customHeight="1">
      <c r="A141" s="4" t="s">
        <v>256</v>
      </c>
      <c r="B141" s="4">
        <v>2018</v>
      </c>
      <c r="C141" s="4" t="s">
        <v>738</v>
      </c>
      <c r="D141" s="4" t="s">
        <v>739</v>
      </c>
      <c r="E141" s="4" t="s">
        <v>307</v>
      </c>
      <c r="F141" s="1"/>
    </row>
    <row r="142" spans="1:6" ht="15.75" customHeight="1">
      <c r="A142" s="4" t="s">
        <v>256</v>
      </c>
      <c r="B142" s="4">
        <v>2015</v>
      </c>
      <c r="C142" s="4" t="s">
        <v>387</v>
      </c>
      <c r="D142" s="4" t="s">
        <v>257</v>
      </c>
      <c r="E142" s="4" t="s">
        <v>307</v>
      </c>
      <c r="F142" s="1"/>
    </row>
    <row r="143" spans="1:6" ht="15.75" customHeight="1">
      <c r="A143" s="4" t="s">
        <v>256</v>
      </c>
      <c r="B143" s="4">
        <v>2020</v>
      </c>
      <c r="C143" s="4" t="s">
        <v>740</v>
      </c>
      <c r="D143" s="4" t="s">
        <v>741</v>
      </c>
      <c r="E143" s="4" t="s">
        <v>307</v>
      </c>
      <c r="F143" s="1"/>
    </row>
    <row r="144" spans="1:6" ht="15.75" customHeight="1">
      <c r="A144" s="4" t="s">
        <v>742</v>
      </c>
      <c r="B144" s="4">
        <v>2021</v>
      </c>
      <c r="C144" s="4" t="s">
        <v>743</v>
      </c>
      <c r="D144" s="4" t="s">
        <v>744</v>
      </c>
      <c r="E144" s="4" t="s">
        <v>307</v>
      </c>
      <c r="F144" s="1"/>
    </row>
    <row r="145" spans="1:6" ht="15.75" customHeight="1">
      <c r="A145" s="4" t="s">
        <v>745</v>
      </c>
      <c r="B145" s="4">
        <v>2017</v>
      </c>
      <c r="C145" s="4" t="s">
        <v>746</v>
      </c>
      <c r="D145" s="4" t="s">
        <v>747</v>
      </c>
      <c r="E145" s="4" t="s">
        <v>307</v>
      </c>
      <c r="F145" s="1"/>
    </row>
    <row r="146" spans="1:6" ht="15.75" customHeight="1">
      <c r="A146" s="4" t="s">
        <v>748</v>
      </c>
      <c r="B146" s="4">
        <v>2001</v>
      </c>
      <c r="C146" s="4" t="s">
        <v>749</v>
      </c>
      <c r="D146" s="4" t="s">
        <v>750</v>
      </c>
      <c r="E146" s="4" t="s">
        <v>307</v>
      </c>
      <c r="F146" s="1"/>
    </row>
    <row r="147" spans="1:6" ht="15.75" customHeight="1">
      <c r="A147" s="4" t="s">
        <v>751</v>
      </c>
      <c r="B147" s="4">
        <v>2014</v>
      </c>
      <c r="C147" s="4" t="s">
        <v>752</v>
      </c>
      <c r="D147" s="4" t="s">
        <v>753</v>
      </c>
      <c r="E147" s="4" t="s">
        <v>307</v>
      </c>
      <c r="F147" s="1"/>
    </row>
    <row r="148" spans="1:6" ht="15.75" customHeight="1">
      <c r="A148" s="4" t="s">
        <v>754</v>
      </c>
      <c r="B148" s="4">
        <v>2022</v>
      </c>
      <c r="C148" s="4" t="s">
        <v>755</v>
      </c>
      <c r="D148" s="4" t="s">
        <v>756</v>
      </c>
      <c r="E148" s="4" t="s">
        <v>307</v>
      </c>
      <c r="F148" s="1"/>
    </row>
    <row r="149" spans="1:6" ht="15.75" customHeight="1">
      <c r="A149" s="4" t="s">
        <v>757</v>
      </c>
      <c r="B149" s="4">
        <v>2010</v>
      </c>
      <c r="C149" s="4" t="s">
        <v>758</v>
      </c>
      <c r="D149" s="4" t="s">
        <v>759</v>
      </c>
      <c r="E149" s="4" t="s">
        <v>307</v>
      </c>
      <c r="F149" s="1"/>
    </row>
    <row r="150" spans="1:6" ht="15.75" customHeight="1">
      <c r="A150" s="4" t="s">
        <v>760</v>
      </c>
      <c r="B150" s="4">
        <v>1998</v>
      </c>
      <c r="C150" s="4" t="s">
        <v>761</v>
      </c>
      <c r="D150" s="4" t="s">
        <v>762</v>
      </c>
      <c r="E150" s="4" t="s">
        <v>307</v>
      </c>
      <c r="F150" s="1"/>
    </row>
    <row r="151" spans="1:6" ht="15.75" customHeight="1">
      <c r="A151" s="4" t="s">
        <v>763</v>
      </c>
      <c r="B151" s="4">
        <v>2017</v>
      </c>
      <c r="C151" s="4" t="s">
        <v>764</v>
      </c>
      <c r="D151" s="4" t="s">
        <v>765</v>
      </c>
      <c r="E151" s="4" t="s">
        <v>307</v>
      </c>
      <c r="F151" s="1"/>
    </row>
    <row r="152" spans="1:6" ht="15.75" customHeight="1">
      <c r="A152" s="4" t="s">
        <v>258</v>
      </c>
      <c r="B152" s="4">
        <v>2020</v>
      </c>
      <c r="C152" s="4" t="s">
        <v>389</v>
      </c>
      <c r="D152" s="4" t="s">
        <v>259</v>
      </c>
      <c r="E152" s="4" t="s">
        <v>307</v>
      </c>
      <c r="F152" s="1"/>
    </row>
    <row r="153" spans="1:6" ht="15.75" customHeight="1">
      <c r="A153" s="4" t="s">
        <v>766</v>
      </c>
      <c r="B153" s="4">
        <v>2009</v>
      </c>
      <c r="C153" s="4" t="s">
        <v>767</v>
      </c>
      <c r="D153" s="4" t="s">
        <v>768</v>
      </c>
      <c r="E153" s="4" t="s">
        <v>307</v>
      </c>
      <c r="F153" s="1"/>
    </row>
    <row r="154" spans="1:6" ht="15.75" customHeight="1">
      <c r="A154" s="4" t="s">
        <v>260</v>
      </c>
      <c r="B154" s="4">
        <v>2014</v>
      </c>
      <c r="C154" s="4" t="s">
        <v>391</v>
      </c>
      <c r="D154" s="4" t="s">
        <v>261</v>
      </c>
      <c r="E154" s="4" t="s">
        <v>307</v>
      </c>
      <c r="F154" s="1"/>
    </row>
    <row r="155" spans="1:6" ht="15.75" customHeight="1">
      <c r="A155" s="4" t="s">
        <v>769</v>
      </c>
      <c r="B155" s="4">
        <v>2018</v>
      </c>
      <c r="C155" s="4" t="s">
        <v>770</v>
      </c>
      <c r="D155" s="4" t="s">
        <v>771</v>
      </c>
      <c r="E155" s="4" t="s">
        <v>307</v>
      </c>
      <c r="F155" s="1"/>
    </row>
    <row r="156" spans="1:6" ht="15.75" customHeight="1">
      <c r="A156" s="4" t="s">
        <v>772</v>
      </c>
      <c r="B156" s="4">
        <v>2016</v>
      </c>
      <c r="C156" s="4" t="s">
        <v>773</v>
      </c>
      <c r="D156" s="4" t="s">
        <v>774</v>
      </c>
      <c r="E156" s="4" t="s">
        <v>307</v>
      </c>
      <c r="F156" s="1"/>
    </row>
    <row r="157" spans="1:6" ht="15.75" customHeight="1">
      <c r="A157" s="4" t="s">
        <v>775</v>
      </c>
      <c r="B157" s="4">
        <v>2021</v>
      </c>
      <c r="C157" s="4" t="s">
        <v>776</v>
      </c>
      <c r="D157" s="4" t="s">
        <v>777</v>
      </c>
      <c r="E157" s="4" t="s">
        <v>307</v>
      </c>
      <c r="F157" s="1"/>
    </row>
    <row r="158" spans="1:6" ht="15.75" customHeight="1">
      <c r="A158" s="4" t="s">
        <v>775</v>
      </c>
      <c r="B158" s="4">
        <v>2019</v>
      </c>
      <c r="C158" s="4" t="s">
        <v>778</v>
      </c>
      <c r="D158" s="4" t="s">
        <v>779</v>
      </c>
      <c r="E158" s="4" t="s">
        <v>307</v>
      </c>
      <c r="F158" s="1"/>
    </row>
    <row r="159" spans="1:6" ht="15.75" customHeight="1">
      <c r="A159" s="4" t="s">
        <v>780</v>
      </c>
      <c r="B159" s="4">
        <v>2018</v>
      </c>
      <c r="C159" s="4" t="s">
        <v>781</v>
      </c>
      <c r="D159" s="4" t="s">
        <v>782</v>
      </c>
      <c r="E159" s="4" t="s">
        <v>307</v>
      </c>
      <c r="F159" s="1"/>
    </row>
    <row r="160" spans="1:6" ht="15.75" customHeight="1">
      <c r="A160" s="4" t="s">
        <v>783</v>
      </c>
      <c r="B160" s="4">
        <v>2003</v>
      </c>
      <c r="C160" s="4" t="s">
        <v>784</v>
      </c>
      <c r="D160" s="4" t="s">
        <v>785</v>
      </c>
      <c r="E160" s="4" t="s">
        <v>307</v>
      </c>
      <c r="F160" s="1"/>
    </row>
    <row r="161" spans="1:6" ht="15.75" customHeight="1">
      <c r="A161" s="4" t="s">
        <v>786</v>
      </c>
      <c r="B161" s="4">
        <v>2001</v>
      </c>
      <c r="C161" s="4" t="s">
        <v>787</v>
      </c>
      <c r="D161" s="4" t="s">
        <v>788</v>
      </c>
      <c r="E161" s="4" t="s">
        <v>307</v>
      </c>
      <c r="F161" s="1"/>
    </row>
    <row r="162" spans="1:6" ht="15.75" customHeight="1">
      <c r="A162" s="4" t="s">
        <v>789</v>
      </c>
      <c r="B162" s="4">
        <v>2006</v>
      </c>
      <c r="C162" s="4" t="s">
        <v>790</v>
      </c>
      <c r="D162" s="4" t="s">
        <v>791</v>
      </c>
      <c r="E162" s="4" t="s">
        <v>307</v>
      </c>
      <c r="F162" s="1"/>
    </row>
    <row r="163" spans="1:6" ht="15.75" customHeight="1">
      <c r="A163" s="4" t="s">
        <v>262</v>
      </c>
      <c r="B163" s="4">
        <v>2023</v>
      </c>
      <c r="C163" s="4" t="s">
        <v>392</v>
      </c>
      <c r="D163" s="4" t="s">
        <v>263</v>
      </c>
      <c r="E163" s="4" t="s">
        <v>307</v>
      </c>
      <c r="F163" s="1"/>
    </row>
    <row r="164" spans="1:6" ht="15.75" customHeight="1">
      <c r="A164" s="4" t="s">
        <v>151</v>
      </c>
      <c r="B164" s="4">
        <v>2006</v>
      </c>
      <c r="C164" s="4" t="s">
        <v>394</v>
      </c>
      <c r="D164" s="4" t="s">
        <v>152</v>
      </c>
      <c r="E164" s="4" t="s">
        <v>307</v>
      </c>
      <c r="F164" s="1"/>
    </row>
    <row r="165" spans="1:6" ht="15.75" customHeight="1">
      <c r="A165" s="4" t="s">
        <v>151</v>
      </c>
      <c r="B165" s="4">
        <v>2008</v>
      </c>
      <c r="C165" s="4" t="s">
        <v>792</v>
      </c>
      <c r="D165" s="4" t="s">
        <v>793</v>
      </c>
      <c r="E165" s="4" t="s">
        <v>307</v>
      </c>
      <c r="F165" s="1"/>
    </row>
    <row r="166" spans="1:6" ht="15.75" customHeight="1">
      <c r="A166" s="4" t="s">
        <v>151</v>
      </c>
      <c r="B166" s="4">
        <v>2021</v>
      </c>
      <c r="C166" s="4" t="s">
        <v>794</v>
      </c>
      <c r="D166" s="4" t="s">
        <v>795</v>
      </c>
      <c r="E166" s="4" t="s">
        <v>307</v>
      </c>
      <c r="F166" s="1"/>
    </row>
    <row r="167" spans="1:6" ht="15.75" customHeight="1">
      <c r="A167" s="4" t="s">
        <v>151</v>
      </c>
      <c r="B167" s="4">
        <v>2018</v>
      </c>
      <c r="C167" s="4" t="s">
        <v>395</v>
      </c>
      <c r="D167" s="4" t="s">
        <v>264</v>
      </c>
      <c r="E167" s="4" t="s">
        <v>307</v>
      </c>
      <c r="F167" s="1"/>
    </row>
    <row r="168" spans="1:6" ht="15.75" customHeight="1">
      <c r="A168" s="4" t="s">
        <v>151</v>
      </c>
      <c r="B168" s="4">
        <v>2013</v>
      </c>
      <c r="C168" s="4" t="s">
        <v>796</v>
      </c>
      <c r="D168" s="4" t="s">
        <v>797</v>
      </c>
      <c r="E168" s="4" t="s">
        <v>307</v>
      </c>
      <c r="F168" s="1"/>
    </row>
    <row r="169" spans="1:6" ht="15.75" customHeight="1">
      <c r="A169" s="4" t="s">
        <v>151</v>
      </c>
      <c r="B169" s="4">
        <v>2017</v>
      </c>
      <c r="C169" s="4" t="s">
        <v>799</v>
      </c>
      <c r="D169" s="4" t="s">
        <v>800</v>
      </c>
      <c r="E169" s="4" t="s">
        <v>307</v>
      </c>
      <c r="F169" s="1"/>
    </row>
    <row r="170" spans="1:6" ht="15.75" customHeight="1">
      <c r="A170" s="4" t="s">
        <v>151</v>
      </c>
      <c r="B170" s="4">
        <v>2013</v>
      </c>
      <c r="C170" s="4" t="s">
        <v>801</v>
      </c>
      <c r="D170" s="4" t="s">
        <v>802</v>
      </c>
      <c r="E170" s="4" t="s">
        <v>307</v>
      </c>
      <c r="F170" s="1"/>
    </row>
    <row r="171" spans="1:6" ht="15.75" customHeight="1">
      <c r="A171" s="4" t="s">
        <v>151</v>
      </c>
      <c r="B171" s="4">
        <v>2010</v>
      </c>
      <c r="C171" s="4" t="s">
        <v>804</v>
      </c>
      <c r="D171" s="4" t="s">
        <v>805</v>
      </c>
      <c r="E171" s="4" t="s">
        <v>307</v>
      </c>
      <c r="F171" s="1"/>
    </row>
    <row r="172" spans="1:6" ht="15.75" customHeight="1">
      <c r="A172" s="4" t="s">
        <v>151</v>
      </c>
      <c r="B172" s="4">
        <v>2011</v>
      </c>
      <c r="C172" s="4" t="s">
        <v>806</v>
      </c>
      <c r="D172" s="4" t="s">
        <v>807</v>
      </c>
      <c r="E172" s="4" t="s">
        <v>307</v>
      </c>
      <c r="F172" s="1"/>
    </row>
    <row r="173" spans="1:6" ht="15.75" customHeight="1">
      <c r="A173" s="4" t="s">
        <v>155</v>
      </c>
      <c r="B173" s="4">
        <v>2000</v>
      </c>
      <c r="C173" s="4" t="s">
        <v>396</v>
      </c>
      <c r="D173" s="4" t="s">
        <v>156</v>
      </c>
      <c r="E173" s="4" t="s">
        <v>307</v>
      </c>
      <c r="F173" s="1"/>
    </row>
    <row r="174" spans="1:6" ht="15.75" customHeight="1">
      <c r="A174" s="4" t="s">
        <v>189</v>
      </c>
      <c r="B174" s="4">
        <v>2014</v>
      </c>
      <c r="C174" s="4" t="s">
        <v>397</v>
      </c>
      <c r="D174" s="4" t="s">
        <v>190</v>
      </c>
      <c r="E174" s="4" t="s">
        <v>307</v>
      </c>
      <c r="F174" s="1"/>
    </row>
    <row r="175" spans="1:6" ht="15.75" customHeight="1">
      <c r="A175" s="4" t="s">
        <v>265</v>
      </c>
      <c r="B175" s="4">
        <v>2020</v>
      </c>
      <c r="C175" s="4" t="s">
        <v>398</v>
      </c>
      <c r="D175" s="4" t="s">
        <v>266</v>
      </c>
      <c r="E175" s="4" t="s">
        <v>307</v>
      </c>
      <c r="F175" s="1"/>
    </row>
    <row r="176" spans="1:6" ht="15.75" customHeight="1">
      <c r="A176" s="4" t="s">
        <v>808</v>
      </c>
      <c r="B176" s="4">
        <v>2014</v>
      </c>
      <c r="C176" s="4" t="s">
        <v>809</v>
      </c>
      <c r="D176" s="4" t="s">
        <v>810</v>
      </c>
      <c r="E176" s="4" t="s">
        <v>307</v>
      </c>
      <c r="F176" s="1"/>
    </row>
    <row r="177" spans="1:6" ht="15.75" customHeight="1">
      <c r="A177" s="4" t="s">
        <v>811</v>
      </c>
      <c r="B177" s="4">
        <v>2020</v>
      </c>
      <c r="C177" s="4" t="s">
        <v>812</v>
      </c>
      <c r="D177" s="4" t="s">
        <v>813</v>
      </c>
      <c r="E177" s="4" t="s">
        <v>307</v>
      </c>
      <c r="F177" s="1"/>
    </row>
    <row r="178" spans="1:6" ht="15.75" customHeight="1">
      <c r="A178" s="4" t="s">
        <v>267</v>
      </c>
      <c r="B178" s="4">
        <v>2021</v>
      </c>
      <c r="C178" s="4" t="s">
        <v>399</v>
      </c>
      <c r="D178" s="4" t="s">
        <v>268</v>
      </c>
      <c r="E178" s="4" t="s">
        <v>307</v>
      </c>
      <c r="F178" s="1"/>
    </row>
    <row r="179" spans="1:6" ht="15.75" customHeight="1">
      <c r="A179" s="4" t="s">
        <v>814</v>
      </c>
      <c r="B179" s="4">
        <v>2007</v>
      </c>
      <c r="C179" s="4" t="s">
        <v>815</v>
      </c>
      <c r="D179" s="4" t="s">
        <v>816</v>
      </c>
      <c r="E179" s="4" t="s">
        <v>307</v>
      </c>
      <c r="F179" s="1"/>
    </row>
    <row r="180" spans="1:6" ht="15.75" customHeight="1">
      <c r="A180" s="4" t="s">
        <v>269</v>
      </c>
      <c r="B180" s="4">
        <v>2015</v>
      </c>
      <c r="C180" s="4" t="s">
        <v>400</v>
      </c>
      <c r="D180" s="4" t="s">
        <v>270</v>
      </c>
      <c r="E180" s="4" t="s">
        <v>307</v>
      </c>
      <c r="F180" s="1"/>
    </row>
    <row r="181" spans="1:6" ht="15.75" customHeight="1">
      <c r="A181" s="4" t="s">
        <v>271</v>
      </c>
      <c r="B181" s="4">
        <v>2018</v>
      </c>
      <c r="C181" s="4" t="s">
        <v>402</v>
      </c>
      <c r="D181" s="4" t="s">
        <v>272</v>
      </c>
      <c r="E181" s="4" t="s">
        <v>307</v>
      </c>
      <c r="F181" s="1"/>
    </row>
    <row r="182" spans="1:6" ht="15.75" customHeight="1">
      <c r="A182" s="4" t="s">
        <v>817</v>
      </c>
      <c r="B182" s="4">
        <v>2012</v>
      </c>
      <c r="C182" s="4" t="s">
        <v>818</v>
      </c>
      <c r="D182" s="4" t="s">
        <v>819</v>
      </c>
      <c r="E182" s="4" t="s">
        <v>307</v>
      </c>
      <c r="F182" s="1"/>
    </row>
    <row r="183" spans="1:6" ht="15.75" customHeight="1">
      <c r="A183" s="4" t="s">
        <v>820</v>
      </c>
      <c r="B183" s="4">
        <v>1998</v>
      </c>
      <c r="C183" s="4" t="s">
        <v>821</v>
      </c>
      <c r="D183" s="4" t="s">
        <v>822</v>
      </c>
      <c r="E183" s="4" t="s">
        <v>307</v>
      </c>
      <c r="F183" s="1"/>
    </row>
    <row r="184" spans="1:6" ht="15.75" customHeight="1">
      <c r="A184" s="4" t="s">
        <v>823</v>
      </c>
      <c r="B184" s="4">
        <v>2014</v>
      </c>
      <c r="C184" s="4" t="s">
        <v>824</v>
      </c>
      <c r="D184" s="4" t="s">
        <v>825</v>
      </c>
      <c r="E184" s="4" t="s">
        <v>307</v>
      </c>
      <c r="F184" s="1"/>
    </row>
    <row r="185" spans="1:6" ht="15.75" customHeight="1">
      <c r="A185" s="4" t="s">
        <v>273</v>
      </c>
      <c r="B185" s="4">
        <v>2009</v>
      </c>
      <c r="C185" s="4" t="s">
        <v>403</v>
      </c>
      <c r="D185" s="4" t="s">
        <v>274</v>
      </c>
      <c r="E185" s="4" t="s">
        <v>307</v>
      </c>
      <c r="F185" s="1"/>
    </row>
    <row r="186" spans="1:6" ht="15.75" customHeight="1">
      <c r="A186" s="4" t="s">
        <v>826</v>
      </c>
      <c r="B186" s="4">
        <v>2006</v>
      </c>
      <c r="C186" s="4" t="s">
        <v>827</v>
      </c>
      <c r="D186" s="4" t="s">
        <v>828</v>
      </c>
      <c r="E186" s="4" t="s">
        <v>307</v>
      </c>
      <c r="F186" s="1"/>
    </row>
    <row r="187" spans="1:6" ht="15.75" customHeight="1">
      <c r="A187" s="4" t="s">
        <v>826</v>
      </c>
      <c r="B187" s="4">
        <v>2006</v>
      </c>
      <c r="C187" s="4" t="s">
        <v>829</v>
      </c>
      <c r="D187" s="4" t="s">
        <v>830</v>
      </c>
      <c r="E187" s="4" t="s">
        <v>307</v>
      </c>
      <c r="F187" s="1"/>
    </row>
    <row r="188" spans="1:6" ht="15.75" customHeight="1">
      <c r="A188" s="4" t="s">
        <v>832</v>
      </c>
      <c r="B188" s="4">
        <v>2021</v>
      </c>
      <c r="C188" s="4" t="s">
        <v>833</v>
      </c>
      <c r="D188" s="4" t="s">
        <v>834</v>
      </c>
      <c r="E188" s="4" t="s">
        <v>307</v>
      </c>
      <c r="F188" s="1"/>
    </row>
    <row r="189" spans="1:6" ht="15.75" customHeight="1">
      <c r="A189" s="4" t="s">
        <v>191</v>
      </c>
      <c r="B189" s="4">
        <v>2016</v>
      </c>
      <c r="C189" s="4" t="s">
        <v>405</v>
      </c>
      <c r="D189" s="4" t="s">
        <v>192</v>
      </c>
      <c r="E189" s="4" t="s">
        <v>307</v>
      </c>
      <c r="F189" s="1"/>
    </row>
    <row r="190" spans="1:6" ht="15.75" customHeight="1">
      <c r="A190" s="4" t="s">
        <v>275</v>
      </c>
      <c r="B190" s="4">
        <v>2005</v>
      </c>
      <c r="C190" s="4" t="s">
        <v>406</v>
      </c>
      <c r="D190" s="4" t="s">
        <v>276</v>
      </c>
      <c r="E190" s="4" t="s">
        <v>307</v>
      </c>
      <c r="F190" s="1"/>
    </row>
    <row r="191" spans="1:6" ht="15.75" customHeight="1">
      <c r="A191" s="4" t="s">
        <v>835</v>
      </c>
      <c r="B191" s="4">
        <v>2023</v>
      </c>
      <c r="C191" s="4" t="s">
        <v>836</v>
      </c>
      <c r="D191" s="4" t="s">
        <v>837</v>
      </c>
      <c r="E191" s="4" t="s">
        <v>307</v>
      </c>
      <c r="F191" s="1"/>
    </row>
    <row r="192" spans="1:6" ht="15.75" customHeight="1">
      <c r="A192" s="4" t="s">
        <v>839</v>
      </c>
      <c r="B192" s="4">
        <v>2021</v>
      </c>
      <c r="C192" s="4" t="s">
        <v>840</v>
      </c>
      <c r="D192" s="4" t="s">
        <v>841</v>
      </c>
      <c r="E192" s="4" t="s">
        <v>307</v>
      </c>
      <c r="F192" s="1"/>
    </row>
    <row r="193" spans="1:6" ht="15.75" customHeight="1">
      <c r="A193" s="4" t="s">
        <v>163</v>
      </c>
      <c r="B193" s="4">
        <v>2023</v>
      </c>
      <c r="C193" s="4" t="s">
        <v>407</v>
      </c>
      <c r="D193" s="4" t="s">
        <v>164</v>
      </c>
      <c r="E193" s="4" t="s">
        <v>307</v>
      </c>
      <c r="F193" s="1"/>
    </row>
    <row r="194" spans="1:6" ht="15.75" customHeight="1">
      <c r="A194" s="4" t="s">
        <v>168</v>
      </c>
      <c r="B194" s="4">
        <v>2002</v>
      </c>
      <c r="C194" s="4" t="s">
        <v>408</v>
      </c>
      <c r="D194" s="4" t="s">
        <v>169</v>
      </c>
      <c r="E194" s="4" t="s">
        <v>307</v>
      </c>
      <c r="F194" s="1"/>
    </row>
    <row r="195" spans="1:6" ht="15.75" customHeight="1">
      <c r="A195" s="4" t="s">
        <v>842</v>
      </c>
      <c r="B195" s="4">
        <v>2018</v>
      </c>
      <c r="C195" s="4" t="s">
        <v>843</v>
      </c>
      <c r="D195" s="4" t="s">
        <v>844</v>
      </c>
      <c r="E195" s="4" t="s">
        <v>307</v>
      </c>
      <c r="F195" s="1"/>
    </row>
    <row r="196" spans="1:6" ht="15.75" customHeight="1">
      <c r="A196" s="4" t="s">
        <v>845</v>
      </c>
      <c r="B196" s="4">
        <v>2011</v>
      </c>
      <c r="C196" s="4" t="s">
        <v>846</v>
      </c>
      <c r="D196" s="4" t="s">
        <v>847</v>
      </c>
      <c r="E196" s="4" t="s">
        <v>307</v>
      </c>
      <c r="F196" s="1"/>
    </row>
    <row r="197" spans="1:6" ht="15.75" customHeight="1">
      <c r="A197" s="4" t="s">
        <v>848</v>
      </c>
      <c r="B197" s="4">
        <v>2009</v>
      </c>
      <c r="C197" s="4" t="s">
        <v>849</v>
      </c>
      <c r="D197" s="4" t="s">
        <v>850</v>
      </c>
      <c r="E197" s="4" t="s">
        <v>307</v>
      </c>
      <c r="F197" s="1"/>
    </row>
    <row r="198" spans="1:6" ht="15.75" customHeight="1">
      <c r="A198" s="4" t="s">
        <v>851</v>
      </c>
      <c r="B198" s="4">
        <v>2022</v>
      </c>
      <c r="C198" s="4" t="s">
        <v>852</v>
      </c>
      <c r="D198" s="4" t="s">
        <v>853</v>
      </c>
      <c r="E198" s="4" t="s">
        <v>307</v>
      </c>
      <c r="F198" s="1"/>
    </row>
    <row r="199" spans="1:6" ht="15.75" customHeight="1">
      <c r="A199" s="4" t="s">
        <v>854</v>
      </c>
      <c r="B199" s="4">
        <v>2019</v>
      </c>
      <c r="C199" s="4" t="s">
        <v>855</v>
      </c>
      <c r="D199" s="4" t="s">
        <v>856</v>
      </c>
      <c r="E199" s="4" t="s">
        <v>307</v>
      </c>
      <c r="F199" s="1"/>
    </row>
    <row r="200" spans="1:6" ht="15.75" customHeight="1">
      <c r="A200" s="4" t="s">
        <v>857</v>
      </c>
      <c r="B200" s="4">
        <v>2011</v>
      </c>
      <c r="C200" s="4" t="s">
        <v>858</v>
      </c>
      <c r="D200" s="4" t="s">
        <v>859</v>
      </c>
      <c r="E200" s="4" t="s">
        <v>307</v>
      </c>
      <c r="F200" s="1"/>
    </row>
    <row r="201" spans="1:6" ht="15.75" customHeight="1">
      <c r="A201" s="4" t="s">
        <v>860</v>
      </c>
      <c r="B201" s="4">
        <v>2019</v>
      </c>
      <c r="C201" s="4" t="s">
        <v>861</v>
      </c>
      <c r="D201" s="4" t="s">
        <v>862</v>
      </c>
      <c r="E201" s="4" t="s">
        <v>307</v>
      </c>
      <c r="F201" s="1"/>
    </row>
    <row r="202" spans="1:6" ht="15.75" customHeight="1">
      <c r="A202" s="4" t="s">
        <v>863</v>
      </c>
      <c r="B202" s="4">
        <v>2002</v>
      </c>
      <c r="C202" s="4" t="s">
        <v>864</v>
      </c>
      <c r="D202" s="4" t="s">
        <v>865</v>
      </c>
      <c r="E202" s="4" t="s">
        <v>307</v>
      </c>
      <c r="F202" s="1"/>
    </row>
    <row r="203" spans="1:6" ht="15.75" customHeight="1">
      <c r="A203" s="4" t="s">
        <v>866</v>
      </c>
      <c r="B203" s="4">
        <v>2006</v>
      </c>
      <c r="C203" s="4" t="s">
        <v>867</v>
      </c>
      <c r="D203" s="4" t="s">
        <v>868</v>
      </c>
      <c r="E203" s="4" t="s">
        <v>307</v>
      </c>
      <c r="F203" s="1"/>
    </row>
    <row r="204" spans="1:6" ht="15.75" customHeight="1">
      <c r="A204" s="4" t="s">
        <v>171</v>
      </c>
      <c r="B204" s="4">
        <v>2005</v>
      </c>
      <c r="C204" s="4" t="s">
        <v>409</v>
      </c>
      <c r="D204" s="4" t="s">
        <v>172</v>
      </c>
      <c r="E204" s="4" t="s">
        <v>307</v>
      </c>
      <c r="F204" s="1"/>
    </row>
    <row r="205" spans="1:6" ht="15.75" customHeight="1">
      <c r="A205" s="4" t="s">
        <v>869</v>
      </c>
      <c r="B205" s="4">
        <v>2011</v>
      </c>
      <c r="C205" s="4" t="s">
        <v>870</v>
      </c>
      <c r="D205" s="4" t="s">
        <v>871</v>
      </c>
      <c r="E205" s="4" t="s">
        <v>307</v>
      </c>
      <c r="F205" s="1"/>
    </row>
    <row r="206" spans="1:6" ht="15.75" customHeight="1">
      <c r="A206" s="4" t="s">
        <v>872</v>
      </c>
      <c r="B206" s="4">
        <v>2011</v>
      </c>
      <c r="C206" s="4" t="s">
        <v>873</v>
      </c>
      <c r="D206" s="4" t="s">
        <v>874</v>
      </c>
      <c r="E206" s="4" t="s">
        <v>307</v>
      </c>
      <c r="F206" s="1"/>
    </row>
    <row r="207" spans="1:6" ht="15.75" customHeight="1">
      <c r="A207" s="4" t="s">
        <v>278</v>
      </c>
      <c r="B207" s="4">
        <v>2010</v>
      </c>
      <c r="C207" s="4" t="s">
        <v>410</v>
      </c>
      <c r="D207" s="4" t="s">
        <v>279</v>
      </c>
      <c r="E207" s="4" t="s">
        <v>307</v>
      </c>
      <c r="F207" s="1"/>
    </row>
    <row r="208" spans="1:6" ht="15.75" customHeight="1">
      <c r="A208" s="4" t="s">
        <v>875</v>
      </c>
      <c r="B208" s="4">
        <v>2018</v>
      </c>
      <c r="C208" s="4" t="s">
        <v>876</v>
      </c>
      <c r="D208" s="4" t="s">
        <v>877</v>
      </c>
      <c r="E208" s="4" t="s">
        <v>307</v>
      </c>
      <c r="F208" s="1"/>
    </row>
    <row r="209" spans="1:6" ht="15.75" customHeight="1">
      <c r="A209" s="4" t="s">
        <v>280</v>
      </c>
      <c r="B209" s="4">
        <v>1995</v>
      </c>
      <c r="C209" s="4" t="s">
        <v>411</v>
      </c>
      <c r="D209" s="4" t="s">
        <v>281</v>
      </c>
      <c r="E209" s="4" t="s">
        <v>307</v>
      </c>
      <c r="F209" s="1"/>
    </row>
    <row r="210" spans="1:6" ht="15.75" customHeight="1">
      <c r="A210" s="4" t="s">
        <v>878</v>
      </c>
      <c r="B210" s="4">
        <v>2007</v>
      </c>
      <c r="C210" s="4" t="s">
        <v>879</v>
      </c>
      <c r="D210" s="4" t="s">
        <v>880</v>
      </c>
      <c r="E210" s="4" t="s">
        <v>307</v>
      </c>
      <c r="F210" s="1"/>
    </row>
    <row r="211" spans="1:6" ht="15.75" customHeight="1">
      <c r="A211" s="4" t="s">
        <v>881</v>
      </c>
      <c r="B211" s="4">
        <v>2015</v>
      </c>
      <c r="C211" s="4" t="s">
        <v>882</v>
      </c>
      <c r="D211" s="4" t="s">
        <v>883</v>
      </c>
      <c r="E211" s="4" t="s">
        <v>307</v>
      </c>
      <c r="F211" s="1"/>
    </row>
    <row r="212" spans="1:6" ht="15.75" customHeight="1">
      <c r="A212" s="4" t="s">
        <v>884</v>
      </c>
      <c r="B212" s="4">
        <v>2015</v>
      </c>
      <c r="C212" s="4" t="s">
        <v>885</v>
      </c>
      <c r="D212" s="4" t="s">
        <v>886</v>
      </c>
      <c r="E212" s="4" t="s">
        <v>307</v>
      </c>
      <c r="F212" s="1"/>
    </row>
    <row r="213" spans="1:6" ht="15.75" customHeight="1">
      <c r="A213" s="4" t="s">
        <v>887</v>
      </c>
      <c r="B213" s="4">
        <v>2019</v>
      </c>
      <c r="C213" s="4" t="s">
        <v>888</v>
      </c>
      <c r="D213" s="4" t="s">
        <v>889</v>
      </c>
      <c r="E213" s="4" t="s">
        <v>307</v>
      </c>
      <c r="F213" s="1"/>
    </row>
    <row r="214" spans="1:6" ht="15.75" customHeight="1">
      <c r="A214" s="4" t="s">
        <v>890</v>
      </c>
      <c r="B214" s="4">
        <v>2013</v>
      </c>
      <c r="C214" s="4" t="s">
        <v>891</v>
      </c>
      <c r="D214" s="4" t="s">
        <v>892</v>
      </c>
      <c r="E214" s="4" t="s">
        <v>307</v>
      </c>
      <c r="F214" s="1"/>
    </row>
    <row r="215" spans="1:6" ht="15.75" customHeight="1">
      <c r="A215" s="4" t="s">
        <v>893</v>
      </c>
      <c r="B215" s="4">
        <v>2020</v>
      </c>
      <c r="C215" s="4" t="s">
        <v>894</v>
      </c>
      <c r="D215" s="4" t="s">
        <v>895</v>
      </c>
      <c r="E215" s="4" t="s">
        <v>307</v>
      </c>
      <c r="F215" s="1"/>
    </row>
    <row r="216" spans="1:6" ht="15.75" customHeight="1">
      <c r="A216" s="4" t="s">
        <v>282</v>
      </c>
      <c r="B216" s="4">
        <v>2021</v>
      </c>
      <c r="C216" s="4" t="s">
        <v>413</v>
      </c>
      <c r="D216" s="4" t="s">
        <v>283</v>
      </c>
      <c r="E216" s="4" t="s">
        <v>307</v>
      </c>
      <c r="F216" s="1"/>
    </row>
    <row r="217" spans="1:6" ht="15.75" customHeight="1">
      <c r="A217" s="4" t="s">
        <v>896</v>
      </c>
      <c r="B217" s="4">
        <v>2022</v>
      </c>
      <c r="C217" s="4" t="s">
        <v>897</v>
      </c>
      <c r="D217" s="4" t="s">
        <v>898</v>
      </c>
      <c r="E217" s="4" t="s">
        <v>307</v>
      </c>
      <c r="F217" s="1"/>
    </row>
    <row r="218" spans="1:6" ht="15.75" customHeight="1">
      <c r="A218" s="4" t="s">
        <v>284</v>
      </c>
      <c r="B218" s="4">
        <v>2018</v>
      </c>
      <c r="C218" s="4" t="s">
        <v>415</v>
      </c>
      <c r="D218" s="4" t="s">
        <v>285</v>
      </c>
      <c r="E218" s="4" t="s">
        <v>307</v>
      </c>
      <c r="F218" s="1"/>
    </row>
    <row r="219" spans="1:6" ht="15.75" customHeight="1">
      <c r="A219" s="4" t="s">
        <v>899</v>
      </c>
      <c r="B219" s="4">
        <v>2016</v>
      </c>
      <c r="C219" s="4" t="s">
        <v>900</v>
      </c>
      <c r="D219" s="4" t="s">
        <v>901</v>
      </c>
      <c r="E219" s="4" t="s">
        <v>307</v>
      </c>
      <c r="F219" s="1"/>
    </row>
    <row r="220" spans="1:6" ht="15.75" customHeight="1">
      <c r="A220" s="4" t="s">
        <v>902</v>
      </c>
      <c r="B220" s="4">
        <v>2008</v>
      </c>
      <c r="C220" s="4" t="s">
        <v>903</v>
      </c>
      <c r="D220" s="4" t="s">
        <v>904</v>
      </c>
      <c r="E220" s="4" t="s">
        <v>307</v>
      </c>
      <c r="F220" s="1"/>
    </row>
    <row r="221" spans="1:6" ht="15.75" customHeight="1">
      <c r="A221" s="4" t="s">
        <v>905</v>
      </c>
      <c r="B221" s="4">
        <v>2019</v>
      </c>
      <c r="C221" s="4" t="s">
        <v>906</v>
      </c>
      <c r="D221" s="4" t="s">
        <v>907</v>
      </c>
      <c r="E221" s="4" t="s">
        <v>307</v>
      </c>
      <c r="F221" s="1"/>
    </row>
    <row r="222" spans="1:6" ht="15.75" customHeight="1">
      <c r="A222" s="4" t="s">
        <v>905</v>
      </c>
      <c r="B222" s="4">
        <v>2018</v>
      </c>
      <c r="C222" s="4" t="s">
        <v>908</v>
      </c>
      <c r="D222" s="4" t="s">
        <v>909</v>
      </c>
      <c r="E222" s="4" t="s">
        <v>307</v>
      </c>
      <c r="F222" s="1"/>
    </row>
    <row r="223" spans="1:6" ht="15.75" customHeight="1">
      <c r="A223" s="4" t="s">
        <v>286</v>
      </c>
      <c r="B223" s="4">
        <v>2003</v>
      </c>
      <c r="C223" s="4" t="s">
        <v>910</v>
      </c>
      <c r="D223" s="4" t="s">
        <v>911</v>
      </c>
      <c r="E223" s="4" t="s">
        <v>307</v>
      </c>
      <c r="F223" s="1"/>
    </row>
    <row r="224" spans="1:6" ht="15.75" customHeight="1">
      <c r="A224" s="4" t="s">
        <v>286</v>
      </c>
      <c r="B224" s="4">
        <v>2001</v>
      </c>
      <c r="C224" s="4" t="s">
        <v>416</v>
      </c>
      <c r="D224" s="4" t="s">
        <v>287</v>
      </c>
      <c r="E224" s="4" t="s">
        <v>307</v>
      </c>
      <c r="F224" s="1"/>
    </row>
    <row r="225" spans="1:6" ht="15.75" customHeight="1">
      <c r="A225" s="4" t="s">
        <v>912</v>
      </c>
      <c r="B225" s="4">
        <v>2000</v>
      </c>
      <c r="C225" s="4" t="s">
        <v>913</v>
      </c>
      <c r="D225" s="4" t="s">
        <v>914</v>
      </c>
      <c r="E225" s="4" t="s">
        <v>307</v>
      </c>
      <c r="F225" s="1"/>
    </row>
    <row r="226" spans="1:6" ht="15.75" customHeight="1">
      <c r="A226" s="4" t="s">
        <v>915</v>
      </c>
      <c r="B226" s="4">
        <v>2019</v>
      </c>
      <c r="C226" s="4" t="s">
        <v>916</v>
      </c>
      <c r="D226" s="4" t="s">
        <v>917</v>
      </c>
      <c r="E226" s="4" t="s">
        <v>307</v>
      </c>
      <c r="F226" s="1"/>
    </row>
    <row r="227" spans="1:6" ht="15.75" customHeight="1">
      <c r="A227" s="4" t="s">
        <v>288</v>
      </c>
      <c r="B227" s="4">
        <v>2020</v>
      </c>
      <c r="C227" s="4" t="s">
        <v>418</v>
      </c>
      <c r="D227" s="4" t="s">
        <v>289</v>
      </c>
      <c r="E227" s="4" t="s">
        <v>307</v>
      </c>
      <c r="F227" s="1"/>
    </row>
    <row r="228" spans="1:6" ht="15.75" customHeight="1">
      <c r="A228" s="4" t="s">
        <v>918</v>
      </c>
      <c r="B228" s="4">
        <v>2021</v>
      </c>
      <c r="C228" s="4" t="s">
        <v>919</v>
      </c>
      <c r="D228" s="4" t="s">
        <v>920</v>
      </c>
      <c r="E228" s="4" t="s">
        <v>307</v>
      </c>
      <c r="F228" s="1"/>
    </row>
    <row r="229" spans="1:6" ht="15.75" customHeight="1">
      <c r="A229" s="4" t="s">
        <v>921</v>
      </c>
      <c r="B229" s="4">
        <v>2002</v>
      </c>
      <c r="C229" s="4" t="s">
        <v>922</v>
      </c>
      <c r="D229" s="4" t="s">
        <v>923</v>
      </c>
      <c r="E229" s="4" t="s">
        <v>307</v>
      </c>
      <c r="F229" s="1"/>
    </row>
    <row r="230" spans="1:6" ht="15.75" customHeight="1">
      <c r="A230" s="4" t="s">
        <v>924</v>
      </c>
      <c r="B230" s="4">
        <v>2005</v>
      </c>
      <c r="C230" s="4" t="s">
        <v>925</v>
      </c>
      <c r="D230" s="4" t="s">
        <v>926</v>
      </c>
      <c r="E230" s="4" t="s">
        <v>307</v>
      </c>
      <c r="F230" s="1"/>
    </row>
    <row r="231" spans="1:6" ht="15.75" customHeight="1">
      <c r="A231" s="4" t="s">
        <v>927</v>
      </c>
      <c r="B231" s="4">
        <v>2014</v>
      </c>
      <c r="C231" s="4" t="s">
        <v>928</v>
      </c>
      <c r="D231" s="4" t="s">
        <v>929</v>
      </c>
      <c r="E231" s="4" t="s">
        <v>307</v>
      </c>
      <c r="F231" s="1"/>
    </row>
    <row r="232" spans="1:6" ht="15.75" customHeight="1">
      <c r="A232" s="4" t="s">
        <v>193</v>
      </c>
      <c r="B232" s="4">
        <v>2010</v>
      </c>
      <c r="C232" s="4" t="s">
        <v>419</v>
      </c>
      <c r="D232" s="4" t="s">
        <v>194</v>
      </c>
      <c r="E232" s="4" t="s">
        <v>307</v>
      </c>
      <c r="F232" s="1"/>
    </row>
    <row r="233" spans="1:6" ht="15.75" customHeight="1">
      <c r="A233" s="4" t="s">
        <v>930</v>
      </c>
      <c r="B233" s="4">
        <v>2018</v>
      </c>
      <c r="C233" s="4" t="s">
        <v>931</v>
      </c>
      <c r="D233" s="4" t="s">
        <v>932</v>
      </c>
      <c r="E233" s="4" t="s">
        <v>307</v>
      </c>
      <c r="F233" s="1"/>
    </row>
    <row r="234" spans="1:6" ht="15.75" customHeight="1">
      <c r="A234" s="4" t="s">
        <v>933</v>
      </c>
      <c r="B234" s="4">
        <v>2017</v>
      </c>
      <c r="C234" s="4" t="s">
        <v>934</v>
      </c>
      <c r="D234" s="4" t="s">
        <v>935</v>
      </c>
      <c r="E234" s="4" t="s">
        <v>307</v>
      </c>
      <c r="F234" s="1"/>
    </row>
    <row r="235" spans="1:6" ht="15.75" customHeight="1">
      <c r="A235" s="4" t="s">
        <v>936</v>
      </c>
      <c r="B235" s="4">
        <v>2018</v>
      </c>
      <c r="C235" s="4" t="s">
        <v>937</v>
      </c>
      <c r="D235" s="4" t="s">
        <v>938</v>
      </c>
      <c r="E235" s="4" t="s">
        <v>307</v>
      </c>
      <c r="F235" s="1"/>
    </row>
    <row r="236" spans="1:6" ht="15.75" customHeight="1">
      <c r="A236" s="4" t="s">
        <v>939</v>
      </c>
      <c r="B236" s="4">
        <v>2022</v>
      </c>
      <c r="C236" s="4" t="s">
        <v>940</v>
      </c>
      <c r="D236" s="4" t="s">
        <v>941</v>
      </c>
      <c r="E236" s="4" t="s">
        <v>307</v>
      </c>
      <c r="F236" s="1"/>
    </row>
    <row r="237" spans="1:6" ht="15.75" customHeight="1">
      <c r="A237" s="4" t="s">
        <v>942</v>
      </c>
      <c r="B237" s="4">
        <v>2011</v>
      </c>
      <c r="C237" s="4" t="s">
        <v>943</v>
      </c>
      <c r="D237" s="4" t="s">
        <v>944</v>
      </c>
      <c r="E237" s="4" t="s">
        <v>307</v>
      </c>
      <c r="F237" s="1"/>
    </row>
    <row r="238" spans="1:6" ht="15.75" customHeight="1">
      <c r="A238" s="4" t="s">
        <v>290</v>
      </c>
      <c r="B238" s="4">
        <v>2015</v>
      </c>
      <c r="C238" s="4" t="s">
        <v>420</v>
      </c>
      <c r="D238" s="4" t="s">
        <v>291</v>
      </c>
      <c r="E238" s="4" t="s">
        <v>307</v>
      </c>
      <c r="F238" s="1"/>
    </row>
    <row r="239" spans="1:6" ht="15.75" customHeight="1">
      <c r="A239" s="4" t="s">
        <v>173</v>
      </c>
      <c r="B239" s="4">
        <v>2015</v>
      </c>
      <c r="C239" s="4" t="s">
        <v>421</v>
      </c>
      <c r="D239" s="4" t="s">
        <v>174</v>
      </c>
      <c r="E239" s="4" t="s">
        <v>307</v>
      </c>
      <c r="F239" s="1"/>
    </row>
    <row r="240" spans="1:6" ht="15.75" customHeight="1">
      <c r="A240" s="4" t="s">
        <v>292</v>
      </c>
      <c r="B240" s="4">
        <v>2023</v>
      </c>
      <c r="C240" s="4" t="s">
        <v>422</v>
      </c>
      <c r="D240" s="4" t="s">
        <v>293</v>
      </c>
      <c r="E240" s="4" t="s">
        <v>307</v>
      </c>
      <c r="F240" s="1"/>
    </row>
    <row r="241" spans="1:6" ht="15.75" customHeight="1">
      <c r="A241" s="4" t="s">
        <v>294</v>
      </c>
      <c r="B241" s="4">
        <v>2004</v>
      </c>
      <c r="C241" s="4" t="s">
        <v>423</v>
      </c>
      <c r="D241" s="4" t="s">
        <v>295</v>
      </c>
      <c r="E241" s="4" t="s">
        <v>307</v>
      </c>
      <c r="F241" s="1"/>
    </row>
    <row r="242" spans="1:6" ht="15.75" customHeight="1">
      <c r="A242" s="4" t="s">
        <v>945</v>
      </c>
      <c r="B242" s="4">
        <v>2019</v>
      </c>
      <c r="C242" s="4" t="s">
        <v>946</v>
      </c>
      <c r="D242" s="4" t="s">
        <v>947</v>
      </c>
      <c r="E242" s="4" t="s">
        <v>307</v>
      </c>
      <c r="F242" s="1"/>
    </row>
    <row r="243" spans="1:6" ht="15.75" customHeight="1">
      <c r="A243" s="4" t="s">
        <v>296</v>
      </c>
      <c r="B243" s="4">
        <v>2007</v>
      </c>
      <c r="C243" s="4" t="s">
        <v>425</v>
      </c>
      <c r="D243" s="4" t="s">
        <v>297</v>
      </c>
      <c r="E243" s="4" t="s">
        <v>307</v>
      </c>
      <c r="F243" s="1"/>
    </row>
    <row r="244" spans="1:6" ht="15.75" customHeight="1">
      <c r="A244" s="4" t="s">
        <v>948</v>
      </c>
      <c r="B244" s="4">
        <v>1998</v>
      </c>
      <c r="C244" s="4" t="s">
        <v>949</v>
      </c>
      <c r="D244" s="4" t="s">
        <v>950</v>
      </c>
      <c r="E244" s="4" t="s">
        <v>307</v>
      </c>
      <c r="F244" s="1"/>
    </row>
    <row r="245" spans="1:6" ht="15.75" customHeight="1">
      <c r="A245" s="4" t="s">
        <v>175</v>
      </c>
      <c r="B245" s="4">
        <v>1999</v>
      </c>
      <c r="C245" s="4" t="s">
        <v>951</v>
      </c>
      <c r="D245" s="4" t="s">
        <v>952</v>
      </c>
      <c r="E245" s="4" t="s">
        <v>307</v>
      </c>
      <c r="F245" s="1"/>
    </row>
    <row r="246" spans="1:6" ht="15.75" customHeight="1">
      <c r="A246" s="4" t="s">
        <v>175</v>
      </c>
      <c r="B246" s="4">
        <v>2002</v>
      </c>
      <c r="C246" s="4" t="s">
        <v>954</v>
      </c>
      <c r="D246" s="4" t="s">
        <v>955</v>
      </c>
      <c r="E246" s="4" t="s">
        <v>307</v>
      </c>
      <c r="F246" s="1"/>
    </row>
    <row r="247" spans="1:6" ht="15.75" customHeight="1">
      <c r="A247" s="4" t="s">
        <v>175</v>
      </c>
      <c r="B247" s="4">
        <v>1999</v>
      </c>
      <c r="C247" s="4" t="s">
        <v>426</v>
      </c>
      <c r="D247" s="4" t="s">
        <v>298</v>
      </c>
      <c r="E247" s="4" t="s">
        <v>307</v>
      </c>
      <c r="F247" s="1"/>
    </row>
    <row r="248" spans="1:6" ht="15.75" customHeight="1">
      <c r="A248" s="4" t="s">
        <v>175</v>
      </c>
      <c r="B248" s="4">
        <v>1996</v>
      </c>
      <c r="C248" s="4" t="s">
        <v>428</v>
      </c>
      <c r="D248" s="4" t="s">
        <v>176</v>
      </c>
      <c r="E248" s="4" t="s">
        <v>307</v>
      </c>
      <c r="F248" s="1"/>
    </row>
    <row r="249" spans="1:6" ht="15.75" customHeight="1">
      <c r="A249" s="4" t="s">
        <v>177</v>
      </c>
      <c r="B249" s="4">
        <v>2006</v>
      </c>
      <c r="C249" s="4" t="s">
        <v>430</v>
      </c>
      <c r="D249" s="4" t="s">
        <v>178</v>
      </c>
      <c r="E249" s="4" t="s">
        <v>307</v>
      </c>
      <c r="F249" s="1"/>
    </row>
    <row r="250" spans="1:6" ht="15.75" customHeight="1">
      <c r="A250" s="4" t="s">
        <v>177</v>
      </c>
      <c r="B250" s="4">
        <v>2008</v>
      </c>
      <c r="C250" s="4" t="s">
        <v>956</v>
      </c>
      <c r="D250" s="4" t="s">
        <v>957</v>
      </c>
      <c r="E250" s="4" t="s">
        <v>307</v>
      </c>
      <c r="F250" s="1"/>
    </row>
    <row r="251" spans="1:6" ht="15.75" customHeight="1">
      <c r="A251" s="4" t="s">
        <v>177</v>
      </c>
      <c r="B251" s="4">
        <v>2006</v>
      </c>
      <c r="C251" s="4" t="s">
        <v>958</v>
      </c>
      <c r="D251" s="4" t="s">
        <v>959</v>
      </c>
      <c r="E251" s="4" t="s">
        <v>307</v>
      </c>
      <c r="F251" s="1"/>
    </row>
    <row r="252" spans="1:6" ht="15.75" customHeight="1">
      <c r="A252" s="4" t="s">
        <v>960</v>
      </c>
      <c r="B252" s="4">
        <v>2022</v>
      </c>
      <c r="C252" s="4" t="s">
        <v>961</v>
      </c>
      <c r="D252" s="4" t="s">
        <v>962</v>
      </c>
      <c r="E252" s="4" t="s">
        <v>307</v>
      </c>
      <c r="F252" s="1"/>
    </row>
    <row r="253" spans="1:6" ht="15.75" customHeight="1">
      <c r="A253" s="4" t="s">
        <v>960</v>
      </c>
      <c r="B253" s="4">
        <v>2022</v>
      </c>
      <c r="C253" s="4" t="s">
        <v>964</v>
      </c>
      <c r="D253" s="4" t="s">
        <v>965</v>
      </c>
      <c r="E253" s="4" t="s">
        <v>307</v>
      </c>
      <c r="F253" s="1"/>
    </row>
    <row r="254" spans="1:6" ht="15.75" customHeight="1">
      <c r="A254" s="4" t="s">
        <v>967</v>
      </c>
      <c r="B254" s="4">
        <v>2021</v>
      </c>
      <c r="C254" s="4" t="s">
        <v>968</v>
      </c>
      <c r="D254" s="4" t="s">
        <v>969</v>
      </c>
      <c r="E254" s="4" t="s">
        <v>307</v>
      </c>
      <c r="F254" s="1"/>
    </row>
    <row r="255" spans="1:6" ht="15.75" customHeight="1">
      <c r="A255" s="4" t="s">
        <v>970</v>
      </c>
      <c r="B255" s="4">
        <v>2019</v>
      </c>
      <c r="C255" s="4" t="s">
        <v>971</v>
      </c>
      <c r="D255" s="4" t="s">
        <v>972</v>
      </c>
      <c r="E255" s="4" t="s">
        <v>307</v>
      </c>
      <c r="F255" s="1"/>
    </row>
    <row r="256" spans="1:6" ht="15.75" customHeight="1">
      <c r="A256" s="4" t="s">
        <v>973</v>
      </c>
      <c r="B256" s="4">
        <v>2021</v>
      </c>
      <c r="C256" s="4" t="s">
        <v>974</v>
      </c>
      <c r="D256" s="4" t="s">
        <v>975</v>
      </c>
      <c r="E256" s="4" t="s">
        <v>307</v>
      </c>
      <c r="F256" s="1"/>
    </row>
    <row r="257" spans="1:6" ht="15.75" customHeight="1">
      <c r="A257" s="4" t="s">
        <v>976</v>
      </c>
      <c r="B257" s="4">
        <v>2020</v>
      </c>
      <c r="C257" s="4" t="s">
        <v>977</v>
      </c>
      <c r="D257" s="4" t="s">
        <v>978</v>
      </c>
      <c r="E257" s="4" t="s">
        <v>307</v>
      </c>
      <c r="F257" s="1"/>
    </row>
    <row r="258" spans="1:6" ht="15.75" customHeight="1">
      <c r="A258" s="4" t="s">
        <v>979</v>
      </c>
      <c r="B258" s="4">
        <v>1994</v>
      </c>
      <c r="C258" s="4" t="s">
        <v>980</v>
      </c>
      <c r="D258" s="4" t="s">
        <v>981</v>
      </c>
      <c r="E258" s="4" t="s">
        <v>307</v>
      </c>
      <c r="F258" s="1"/>
    </row>
    <row r="259" spans="1:6" ht="15.75" customHeight="1">
      <c r="A259" s="4" t="s">
        <v>300</v>
      </c>
      <c r="B259" s="4">
        <v>2018</v>
      </c>
      <c r="C259" s="4" t="s">
        <v>432</v>
      </c>
      <c r="D259" s="4" t="s">
        <v>301</v>
      </c>
      <c r="E259" s="4" t="s">
        <v>307</v>
      </c>
      <c r="F259" s="1"/>
    </row>
    <row r="260" spans="1:6" ht="15.75" customHeight="1">
      <c r="A260" s="4" t="s">
        <v>982</v>
      </c>
      <c r="B260" s="4">
        <v>2014</v>
      </c>
      <c r="C260" s="4" t="s">
        <v>983</v>
      </c>
      <c r="D260" s="4" t="s">
        <v>984</v>
      </c>
      <c r="E260" s="4" t="s">
        <v>307</v>
      </c>
      <c r="F260" s="1"/>
    </row>
    <row r="261" spans="1:6" ht="15.75" customHeight="1">
      <c r="A261" s="4" t="s">
        <v>985</v>
      </c>
      <c r="B261" s="4">
        <v>2007</v>
      </c>
      <c r="C261" s="4" t="s">
        <v>986</v>
      </c>
      <c r="D261" s="4" t="s">
        <v>987</v>
      </c>
      <c r="E261" s="4" t="s">
        <v>307</v>
      </c>
      <c r="F261" s="1"/>
    </row>
    <row r="262" spans="1:6" ht="15.75" customHeight="1">
      <c r="A262" s="4" t="s">
        <v>988</v>
      </c>
      <c r="B262" s="4">
        <v>2020</v>
      </c>
      <c r="C262" s="4" t="s">
        <v>989</v>
      </c>
      <c r="D262" s="4" t="s">
        <v>990</v>
      </c>
      <c r="E262" s="4" t="s">
        <v>307</v>
      </c>
      <c r="F262" s="1"/>
    </row>
    <row r="263" spans="1:6" ht="15.75" customHeight="1">
      <c r="A263" s="4" t="s">
        <v>991</v>
      </c>
      <c r="B263" s="4">
        <v>2015</v>
      </c>
      <c r="C263" s="4" t="s">
        <v>992</v>
      </c>
      <c r="D263" s="4" t="s">
        <v>993</v>
      </c>
      <c r="E263" s="4" t="s">
        <v>307</v>
      </c>
      <c r="F263" s="1"/>
    </row>
    <row r="264" spans="1:6" ht="15.75" customHeight="1">
      <c r="A264" s="4" t="s">
        <v>994</v>
      </c>
      <c r="B264" s="4">
        <v>2023</v>
      </c>
      <c r="C264" s="4" t="s">
        <v>995</v>
      </c>
      <c r="D264" s="4" t="s">
        <v>996</v>
      </c>
      <c r="E264" s="4" t="s">
        <v>307</v>
      </c>
      <c r="F264" s="1"/>
    </row>
    <row r="265" spans="1:6" ht="15.75" customHeight="1">
      <c r="A265" s="4" t="s">
        <v>195</v>
      </c>
      <c r="B265" s="4">
        <v>1991</v>
      </c>
      <c r="C265" s="4" t="s">
        <v>997</v>
      </c>
      <c r="D265" s="4" t="s">
        <v>998</v>
      </c>
      <c r="E265" s="4" t="s">
        <v>307</v>
      </c>
      <c r="F265" s="1"/>
    </row>
    <row r="266" spans="1:6" ht="15.75" customHeight="1">
      <c r="A266" s="4" t="s">
        <v>195</v>
      </c>
      <c r="B266" s="4">
        <v>1998</v>
      </c>
      <c r="C266" s="4" t="s">
        <v>999</v>
      </c>
      <c r="D266" s="4" t="s">
        <v>1000</v>
      </c>
      <c r="E266" s="4" t="s">
        <v>307</v>
      </c>
      <c r="F266" s="1"/>
    </row>
    <row r="267" spans="1:6" ht="15.75" customHeight="1">
      <c r="A267" s="4" t="s">
        <v>195</v>
      </c>
      <c r="B267" s="4">
        <v>2002</v>
      </c>
      <c r="C267" s="4" t="s">
        <v>434</v>
      </c>
      <c r="D267" s="4" t="s">
        <v>196</v>
      </c>
      <c r="E267" s="4" t="s">
        <v>307</v>
      </c>
      <c r="F267" s="1"/>
    </row>
    <row r="268" spans="1:6" ht="15.75" customHeight="1">
      <c r="A268" s="4" t="s">
        <v>195</v>
      </c>
      <c r="B268" s="4">
        <v>2001</v>
      </c>
      <c r="C268" s="4" t="s">
        <v>1001</v>
      </c>
      <c r="D268" s="4" t="s">
        <v>1002</v>
      </c>
      <c r="E268" s="4" t="s">
        <v>307</v>
      </c>
      <c r="F268" s="1"/>
    </row>
    <row r="269" spans="1:6" ht="15.75" customHeight="1">
      <c r="A269" s="4" t="s">
        <v>1003</v>
      </c>
      <c r="B269" s="4">
        <v>2003</v>
      </c>
      <c r="C269" s="4" t="s">
        <v>1004</v>
      </c>
      <c r="D269" s="4" t="s">
        <v>1005</v>
      </c>
      <c r="E269" s="4" t="s">
        <v>307</v>
      </c>
      <c r="F269" s="1"/>
    </row>
    <row r="270" spans="1:6" ht="15.75" customHeight="1">
      <c r="A270" s="4" t="s">
        <v>1006</v>
      </c>
      <c r="B270" s="4">
        <v>2018</v>
      </c>
      <c r="C270" s="4" t="s">
        <v>1007</v>
      </c>
      <c r="D270" s="4" t="s">
        <v>1008</v>
      </c>
      <c r="E270" s="4" t="s">
        <v>307</v>
      </c>
      <c r="F270" s="1"/>
    </row>
    <row r="271" spans="1:6" ht="15.75" customHeight="1">
      <c r="A271" s="4" t="s">
        <v>1009</v>
      </c>
      <c r="B271" s="4">
        <v>2011</v>
      </c>
      <c r="C271" s="4" t="s">
        <v>1010</v>
      </c>
      <c r="D271" s="4" t="s">
        <v>1011</v>
      </c>
      <c r="E271" s="4" t="s">
        <v>307</v>
      </c>
      <c r="F271" s="1"/>
    </row>
    <row r="272" spans="1:6" ht="15.75" customHeight="1">
      <c r="A272" s="4" t="s">
        <v>197</v>
      </c>
      <c r="B272" s="4">
        <v>2005</v>
      </c>
      <c r="C272" s="4" t="s">
        <v>436</v>
      </c>
      <c r="D272" s="4" t="s">
        <v>198</v>
      </c>
      <c r="E272" s="4" t="s">
        <v>307</v>
      </c>
      <c r="F272" s="1"/>
    </row>
    <row r="273" spans="1:7" ht="15.75" customHeight="1">
      <c r="A273" s="4" t="s">
        <v>197</v>
      </c>
      <c r="B273" s="4">
        <v>2002</v>
      </c>
      <c r="C273" s="4" t="s">
        <v>1012</v>
      </c>
      <c r="D273" s="4" t="s">
        <v>1013</v>
      </c>
      <c r="E273" s="4" t="s">
        <v>307</v>
      </c>
      <c r="F273" s="1"/>
    </row>
    <row r="274" spans="1:7" ht="15.75" customHeight="1">
      <c r="A274" s="4" t="s">
        <v>197</v>
      </c>
      <c r="B274" s="4">
        <v>2001</v>
      </c>
      <c r="C274" s="4" t="s">
        <v>1014</v>
      </c>
      <c r="D274" s="4" t="s">
        <v>1015</v>
      </c>
      <c r="E274" s="4" t="s">
        <v>307</v>
      </c>
      <c r="F274" s="1"/>
    </row>
    <row r="275" spans="1:7" ht="15.75" customHeight="1">
      <c r="A275" s="4" t="s">
        <v>197</v>
      </c>
      <c r="B275" s="4">
        <v>2011</v>
      </c>
      <c r="C275" s="4" t="s">
        <v>1016</v>
      </c>
      <c r="D275" s="4" t="s">
        <v>1017</v>
      </c>
      <c r="E275" s="4" t="s">
        <v>307</v>
      </c>
      <c r="F275" s="1"/>
    </row>
    <row r="276" spans="1:7" ht="15.75" customHeight="1">
      <c r="A276" s="4" t="s">
        <v>197</v>
      </c>
      <c r="B276" s="4">
        <v>2012</v>
      </c>
      <c r="C276" s="4" t="s">
        <v>1018</v>
      </c>
      <c r="D276" s="4" t="s">
        <v>1019</v>
      </c>
      <c r="E276" s="4" t="s">
        <v>307</v>
      </c>
      <c r="F276" s="1"/>
    </row>
    <row r="277" spans="1:7" ht="15.75" customHeight="1">
      <c r="A277" s="4" t="s">
        <v>1020</v>
      </c>
      <c r="B277" s="4">
        <v>2017</v>
      </c>
      <c r="C277" s="4" t="s">
        <v>1021</v>
      </c>
      <c r="D277" s="4" t="s">
        <v>1022</v>
      </c>
      <c r="E277" s="4" t="s">
        <v>307</v>
      </c>
      <c r="F277" s="1"/>
    </row>
    <row r="278" spans="1:7" ht="15.75" customHeight="1">
      <c r="A278" s="4" t="s">
        <v>1023</v>
      </c>
      <c r="B278" s="4">
        <v>2019</v>
      </c>
      <c r="C278" s="4" t="s">
        <v>1024</v>
      </c>
      <c r="D278" s="4" t="s">
        <v>1025</v>
      </c>
      <c r="E278" s="4" t="s">
        <v>307</v>
      </c>
      <c r="F278" s="1"/>
    </row>
    <row r="279" spans="1:7" ht="15.75" customHeight="1">
      <c r="A279" s="4" t="s">
        <v>151</v>
      </c>
      <c r="B279" s="4">
        <v>2024</v>
      </c>
      <c r="C279" s="4" t="s">
        <v>1026</v>
      </c>
      <c r="D279" s="4" t="s">
        <v>1027</v>
      </c>
      <c r="E279" s="4" t="s">
        <v>307</v>
      </c>
      <c r="F279" s="1"/>
      <c r="G279" s="4" t="s">
        <v>438</v>
      </c>
    </row>
    <row r="280" spans="1:7" ht="15.75" customHeight="1">
      <c r="A280" s="4" t="s">
        <v>143</v>
      </c>
      <c r="B280" s="4">
        <v>2024</v>
      </c>
      <c r="C280" s="4" t="s">
        <v>437</v>
      </c>
      <c r="D280" s="4" t="s">
        <v>144</v>
      </c>
      <c r="E280" s="4" t="s">
        <v>307</v>
      </c>
      <c r="F280" s="1"/>
      <c r="G280" s="4" t="s">
        <v>438</v>
      </c>
    </row>
    <row r="281" spans="1:7" ht="15.75" customHeight="1">
      <c r="A281" s="4" t="s">
        <v>1028</v>
      </c>
      <c r="B281" s="4">
        <v>2024</v>
      </c>
      <c r="C281" s="4" t="s">
        <v>1029</v>
      </c>
      <c r="D281" s="4" t="s">
        <v>1030</v>
      </c>
      <c r="E281" s="4" t="s">
        <v>307</v>
      </c>
      <c r="F281" s="1"/>
      <c r="G281" s="4" t="s">
        <v>438</v>
      </c>
    </row>
    <row r="282" spans="1:7" ht="15.75" customHeight="1">
      <c r="A282" s="4" t="s">
        <v>679</v>
      </c>
      <c r="B282" s="4">
        <v>2024</v>
      </c>
      <c r="C282" s="4" t="s">
        <v>1031</v>
      </c>
      <c r="D282" s="4" t="s">
        <v>1032</v>
      </c>
      <c r="E282" s="4" t="s">
        <v>307</v>
      </c>
      <c r="F282" s="1"/>
      <c r="G282" s="4" t="s">
        <v>438</v>
      </c>
    </row>
    <row r="283" spans="1:7" ht="15.75" customHeight="1">
      <c r="A283" s="4" t="s">
        <v>1034</v>
      </c>
      <c r="B283" s="4">
        <v>2024</v>
      </c>
      <c r="C283" s="4" t="s">
        <v>1035</v>
      </c>
      <c r="D283" s="4" t="s">
        <v>1036</v>
      </c>
      <c r="E283" s="4" t="s">
        <v>307</v>
      </c>
      <c r="F283" s="1"/>
      <c r="G283" s="4" t="s">
        <v>438</v>
      </c>
    </row>
    <row r="284" spans="1:7" ht="15.75" customHeight="1">
      <c r="A284" s="4" t="s">
        <v>158</v>
      </c>
      <c r="B284" s="4">
        <v>2024</v>
      </c>
      <c r="C284" s="4" t="s">
        <v>439</v>
      </c>
      <c r="D284" s="4" t="s">
        <v>159</v>
      </c>
      <c r="E284" s="4" t="s">
        <v>307</v>
      </c>
      <c r="F284" s="1"/>
      <c r="G284" s="4" t="s">
        <v>438</v>
      </c>
    </row>
    <row r="285" spans="1:7" ht="15.75" customHeight="1">
      <c r="A285" s="4" t="s">
        <v>1038</v>
      </c>
      <c r="B285" s="4">
        <v>2024</v>
      </c>
      <c r="C285" s="4" t="s">
        <v>1039</v>
      </c>
      <c r="D285" s="4" t="s">
        <v>1040</v>
      </c>
      <c r="E285" s="4" t="s">
        <v>307</v>
      </c>
      <c r="F285" s="1"/>
      <c r="G285" s="4" t="s">
        <v>438</v>
      </c>
    </row>
    <row r="286" spans="1:7" ht="15.75" customHeight="1">
      <c r="A286" s="4" t="s">
        <v>1057</v>
      </c>
      <c r="B286" s="4">
        <v>2009</v>
      </c>
      <c r="C286" s="4" t="s">
        <v>1058</v>
      </c>
      <c r="D286" s="4" t="s">
        <v>1059</v>
      </c>
      <c r="E286" s="4" t="s">
        <v>443</v>
      </c>
      <c r="F286" s="1" t="s">
        <v>508</v>
      </c>
    </row>
    <row r="287" spans="1:7" ht="15.75" customHeight="1">
      <c r="A287" s="4" t="s">
        <v>1060</v>
      </c>
      <c r="B287" s="4">
        <v>2004</v>
      </c>
      <c r="C287" s="4" t="s">
        <v>1061</v>
      </c>
      <c r="D287" s="4" t="s">
        <v>1062</v>
      </c>
      <c r="E287" s="4" t="s">
        <v>443</v>
      </c>
      <c r="F287" s="1" t="s">
        <v>508</v>
      </c>
    </row>
    <row r="288" spans="1:7" ht="15.75" customHeight="1">
      <c r="A288" s="4" t="s">
        <v>1063</v>
      </c>
      <c r="B288" s="4">
        <v>1998</v>
      </c>
      <c r="C288" s="4" t="s">
        <v>1064</v>
      </c>
      <c r="D288" s="4" t="s">
        <v>1065</v>
      </c>
      <c r="E288" s="4" t="s">
        <v>443</v>
      </c>
      <c r="F288" s="1" t="s">
        <v>508</v>
      </c>
    </row>
    <row r="289" spans="1:6" ht="15.75" customHeight="1">
      <c r="A289" s="4" t="s">
        <v>1063</v>
      </c>
      <c r="B289" s="4">
        <v>1991</v>
      </c>
      <c r="D289" s="4" t="s">
        <v>1066</v>
      </c>
      <c r="E289" s="4" t="s">
        <v>443</v>
      </c>
      <c r="F289" s="1" t="s">
        <v>508</v>
      </c>
    </row>
    <row r="290" spans="1:6" ht="15.75" customHeight="1">
      <c r="A290" s="4" t="s">
        <v>1063</v>
      </c>
      <c r="B290" s="4">
        <v>2010</v>
      </c>
      <c r="C290" s="4" t="s">
        <v>1067</v>
      </c>
      <c r="D290" s="4" t="s">
        <v>1068</v>
      </c>
      <c r="E290" s="4" t="s">
        <v>443</v>
      </c>
      <c r="F290" s="1" t="s">
        <v>508</v>
      </c>
    </row>
    <row r="291" spans="1:6" ht="15.75" customHeight="1">
      <c r="A291" s="4" t="s">
        <v>1063</v>
      </c>
      <c r="B291" s="4">
        <v>1991</v>
      </c>
      <c r="C291" s="4" t="s">
        <v>1069</v>
      </c>
      <c r="D291" s="4" t="s">
        <v>1070</v>
      </c>
      <c r="E291" s="4" t="s">
        <v>443</v>
      </c>
      <c r="F291" s="1" t="s">
        <v>508</v>
      </c>
    </row>
    <row r="292" spans="1:6" ht="15.75" customHeight="1">
      <c r="A292" s="4" t="s">
        <v>1063</v>
      </c>
      <c r="B292" s="4">
        <v>1994</v>
      </c>
      <c r="D292" s="4" t="s">
        <v>1071</v>
      </c>
      <c r="E292" s="4" t="s">
        <v>443</v>
      </c>
      <c r="F292" s="1" t="s">
        <v>508</v>
      </c>
    </row>
    <row r="293" spans="1:6" ht="15.75" customHeight="1">
      <c r="A293" s="4" t="s">
        <v>1063</v>
      </c>
      <c r="B293" s="4">
        <v>1994</v>
      </c>
      <c r="D293" s="4" t="s">
        <v>1072</v>
      </c>
      <c r="E293" s="4" t="s">
        <v>443</v>
      </c>
      <c r="F293" s="1" t="s">
        <v>508</v>
      </c>
    </row>
    <row r="294" spans="1:6" ht="15.75" customHeight="1">
      <c r="A294" s="4" t="s">
        <v>1063</v>
      </c>
      <c r="B294" s="4">
        <v>1994</v>
      </c>
      <c r="D294" s="4" t="s">
        <v>1073</v>
      </c>
      <c r="E294" s="4" t="s">
        <v>443</v>
      </c>
      <c r="F294" s="1" t="s">
        <v>508</v>
      </c>
    </row>
    <row r="295" spans="1:6" ht="15.75" customHeight="1">
      <c r="A295" s="4" t="s">
        <v>1063</v>
      </c>
      <c r="B295" s="4">
        <v>1989</v>
      </c>
      <c r="D295" s="4" t="s">
        <v>1074</v>
      </c>
      <c r="E295" s="4" t="s">
        <v>443</v>
      </c>
      <c r="F295" s="1" t="s">
        <v>508</v>
      </c>
    </row>
    <row r="296" spans="1:6" ht="15.75" customHeight="1">
      <c r="A296" s="4" t="s">
        <v>1063</v>
      </c>
      <c r="B296" s="4">
        <v>1988</v>
      </c>
      <c r="C296" s="4" t="s">
        <v>1075</v>
      </c>
      <c r="D296" s="4" t="s">
        <v>1076</v>
      </c>
      <c r="E296" s="4" t="s">
        <v>443</v>
      </c>
      <c r="F296" s="1" t="s">
        <v>508</v>
      </c>
    </row>
    <row r="297" spans="1:6" ht="15.75" customHeight="1">
      <c r="A297" s="4" t="s">
        <v>1063</v>
      </c>
      <c r="B297" s="4">
        <v>1995</v>
      </c>
      <c r="C297" s="4" t="s">
        <v>1077</v>
      </c>
      <c r="D297" s="4" t="s">
        <v>1078</v>
      </c>
      <c r="E297" s="4" t="s">
        <v>443</v>
      </c>
      <c r="F297" s="1" t="s">
        <v>508</v>
      </c>
    </row>
    <row r="298" spans="1:6" ht="15.75" customHeight="1">
      <c r="A298" s="4" t="s">
        <v>1063</v>
      </c>
      <c r="B298" s="4">
        <v>1987</v>
      </c>
      <c r="C298" s="4" t="s">
        <v>1079</v>
      </c>
      <c r="D298" s="4" t="s">
        <v>1080</v>
      </c>
      <c r="E298" s="4" t="s">
        <v>443</v>
      </c>
      <c r="F298" s="1" t="s">
        <v>508</v>
      </c>
    </row>
    <row r="299" spans="1:6" ht="15.75" customHeight="1">
      <c r="A299" s="4" t="s">
        <v>1063</v>
      </c>
      <c r="B299" s="4">
        <v>1998</v>
      </c>
      <c r="C299" s="4" t="s">
        <v>1081</v>
      </c>
      <c r="D299" s="4" t="s">
        <v>1082</v>
      </c>
      <c r="E299" s="4" t="s">
        <v>443</v>
      </c>
      <c r="F299" s="1" t="s">
        <v>508</v>
      </c>
    </row>
    <row r="300" spans="1:6" ht="15.75" customHeight="1">
      <c r="A300" s="4" t="s">
        <v>1083</v>
      </c>
      <c r="B300" s="4">
        <v>2020</v>
      </c>
      <c r="C300" s="4" t="s">
        <v>1084</v>
      </c>
      <c r="D300" s="4" t="s">
        <v>1085</v>
      </c>
      <c r="E300" s="4" t="s">
        <v>443</v>
      </c>
      <c r="F300" s="1" t="s">
        <v>508</v>
      </c>
    </row>
    <row r="301" spans="1:6" ht="15.75" customHeight="1">
      <c r="A301" s="4" t="s">
        <v>1086</v>
      </c>
      <c r="B301" s="4">
        <v>2004</v>
      </c>
      <c r="C301" s="4" t="s">
        <v>1087</v>
      </c>
      <c r="D301" s="4" t="s">
        <v>1088</v>
      </c>
      <c r="E301" s="4" t="s">
        <v>443</v>
      </c>
      <c r="F301" s="1" t="s">
        <v>508</v>
      </c>
    </row>
    <row r="302" spans="1:6" ht="15.75" customHeight="1">
      <c r="A302" s="4" t="s">
        <v>1086</v>
      </c>
      <c r="B302" s="4">
        <v>2001</v>
      </c>
      <c r="C302" s="4" t="s">
        <v>1089</v>
      </c>
      <c r="D302" s="4" t="s">
        <v>1090</v>
      </c>
      <c r="E302" s="4" t="s">
        <v>443</v>
      </c>
      <c r="F302" s="1" t="s">
        <v>508</v>
      </c>
    </row>
    <row r="303" spans="1:6" ht="15.75" customHeight="1">
      <c r="A303" s="4" t="s">
        <v>1086</v>
      </c>
      <c r="B303" s="4">
        <v>1996</v>
      </c>
      <c r="C303" s="4" t="s">
        <v>1091</v>
      </c>
      <c r="D303" s="4" t="s">
        <v>1092</v>
      </c>
      <c r="E303" s="4" t="s">
        <v>443</v>
      </c>
      <c r="F303" s="1" t="s">
        <v>508</v>
      </c>
    </row>
    <row r="304" spans="1:6" ht="15.75" customHeight="1">
      <c r="A304" s="4" t="s">
        <v>1086</v>
      </c>
      <c r="B304" s="4">
        <v>2004</v>
      </c>
      <c r="C304" s="4" t="s">
        <v>1093</v>
      </c>
      <c r="D304" s="4" t="s">
        <v>1094</v>
      </c>
      <c r="E304" s="4" t="s">
        <v>443</v>
      </c>
      <c r="F304" s="1" t="s">
        <v>508</v>
      </c>
    </row>
    <row r="305" spans="1:6" ht="15.75" customHeight="1">
      <c r="A305" s="4" t="s">
        <v>1095</v>
      </c>
      <c r="B305" s="4">
        <v>1998</v>
      </c>
      <c r="C305" s="4" t="s">
        <v>1096</v>
      </c>
      <c r="D305" s="4" t="s">
        <v>1097</v>
      </c>
      <c r="E305" s="4" t="s">
        <v>443</v>
      </c>
      <c r="F305" s="1" t="s">
        <v>508</v>
      </c>
    </row>
    <row r="306" spans="1:6" ht="15.75" customHeight="1">
      <c r="A306" s="4" t="s">
        <v>1098</v>
      </c>
      <c r="B306" s="4">
        <v>2022</v>
      </c>
      <c r="C306" s="4" t="s">
        <v>1099</v>
      </c>
      <c r="D306" s="4" t="s">
        <v>1100</v>
      </c>
      <c r="E306" s="4" t="s">
        <v>443</v>
      </c>
      <c r="F306" s="1" t="s">
        <v>508</v>
      </c>
    </row>
    <row r="307" spans="1:6" ht="15.75" customHeight="1">
      <c r="A307" s="4" t="s">
        <v>1101</v>
      </c>
      <c r="B307" s="4">
        <v>2019</v>
      </c>
      <c r="C307" s="4" t="s">
        <v>1102</v>
      </c>
      <c r="D307" s="4" t="s">
        <v>1103</v>
      </c>
      <c r="E307" s="4" t="s">
        <v>443</v>
      </c>
      <c r="F307" s="1" t="s">
        <v>508</v>
      </c>
    </row>
    <row r="308" spans="1:6" ht="15.75" customHeight="1">
      <c r="A308" s="4" t="s">
        <v>1104</v>
      </c>
      <c r="B308" s="4">
        <v>2016</v>
      </c>
      <c r="C308" s="4" t="s">
        <v>1105</v>
      </c>
      <c r="D308" s="4" t="s">
        <v>1106</v>
      </c>
      <c r="E308" s="4" t="s">
        <v>443</v>
      </c>
      <c r="F308" s="1" t="s">
        <v>508</v>
      </c>
    </row>
    <row r="309" spans="1:6" ht="15.75" customHeight="1">
      <c r="A309" s="4" t="s">
        <v>1104</v>
      </c>
      <c r="B309" s="4">
        <v>2021</v>
      </c>
      <c r="C309" s="4" t="s">
        <v>1107</v>
      </c>
      <c r="D309" s="4" t="s">
        <v>1108</v>
      </c>
      <c r="E309" s="4" t="s">
        <v>443</v>
      </c>
      <c r="F309" s="1" t="s">
        <v>508</v>
      </c>
    </row>
    <row r="310" spans="1:6" ht="15.75" customHeight="1">
      <c r="A310" s="4" t="s">
        <v>1109</v>
      </c>
      <c r="B310" s="4">
        <v>2017</v>
      </c>
      <c r="C310" s="4" t="s">
        <v>1110</v>
      </c>
      <c r="D310" s="4" t="s">
        <v>1111</v>
      </c>
      <c r="E310" s="4" t="s">
        <v>443</v>
      </c>
      <c r="F310" s="1" t="s">
        <v>508</v>
      </c>
    </row>
    <row r="311" spans="1:6" ht="15.75" customHeight="1">
      <c r="A311" s="4" t="s">
        <v>1112</v>
      </c>
      <c r="B311" s="4">
        <v>2017</v>
      </c>
      <c r="C311" s="4" t="s">
        <v>1113</v>
      </c>
      <c r="D311" s="4" t="s">
        <v>1114</v>
      </c>
      <c r="E311" s="4" t="s">
        <v>443</v>
      </c>
      <c r="F311" s="1" t="s">
        <v>508</v>
      </c>
    </row>
    <row r="312" spans="1:6" ht="15.75" customHeight="1">
      <c r="A312" s="4" t="s">
        <v>1115</v>
      </c>
      <c r="B312" s="4">
        <v>1994</v>
      </c>
      <c r="C312" s="4" t="s">
        <v>1116</v>
      </c>
      <c r="D312" s="4" t="s">
        <v>1117</v>
      </c>
      <c r="E312" s="4" t="s">
        <v>443</v>
      </c>
      <c r="F312" s="1" t="s">
        <v>508</v>
      </c>
    </row>
    <row r="313" spans="1:6" ht="15.75" customHeight="1">
      <c r="A313" s="4" t="s">
        <v>1118</v>
      </c>
      <c r="B313" s="4">
        <v>2016</v>
      </c>
      <c r="C313" s="4" t="s">
        <v>1119</v>
      </c>
      <c r="D313" s="4" t="s">
        <v>1120</v>
      </c>
      <c r="E313" s="4" t="s">
        <v>443</v>
      </c>
      <c r="F313" s="1" t="s">
        <v>508</v>
      </c>
    </row>
    <row r="314" spans="1:6" ht="15.75" customHeight="1">
      <c r="A314" s="4" t="s">
        <v>1118</v>
      </c>
      <c r="B314" s="4">
        <v>2015</v>
      </c>
      <c r="C314" s="4" t="s">
        <v>1121</v>
      </c>
      <c r="D314" s="4" t="s">
        <v>1122</v>
      </c>
      <c r="E314" s="4" t="s">
        <v>443</v>
      </c>
      <c r="F314" s="1" t="s">
        <v>508</v>
      </c>
    </row>
    <row r="315" spans="1:6" ht="15.75" customHeight="1">
      <c r="A315" s="4" t="s">
        <v>1118</v>
      </c>
      <c r="B315" s="4">
        <v>2017</v>
      </c>
      <c r="C315" s="4" t="s">
        <v>1123</v>
      </c>
      <c r="D315" s="4" t="s">
        <v>1124</v>
      </c>
      <c r="E315" s="4" t="s">
        <v>443</v>
      </c>
      <c r="F315" s="1" t="s">
        <v>508</v>
      </c>
    </row>
    <row r="316" spans="1:6" ht="15.75" customHeight="1">
      <c r="A316" s="4" t="s">
        <v>1118</v>
      </c>
      <c r="B316" s="4">
        <v>2011</v>
      </c>
      <c r="C316" s="4" t="s">
        <v>1125</v>
      </c>
      <c r="D316" s="4" t="s">
        <v>1126</v>
      </c>
      <c r="E316" s="4" t="s">
        <v>443</v>
      </c>
      <c r="F316" s="1" t="s">
        <v>508</v>
      </c>
    </row>
    <row r="317" spans="1:6" ht="15.75" customHeight="1">
      <c r="A317" s="4" t="s">
        <v>1118</v>
      </c>
      <c r="B317" s="4">
        <v>1994</v>
      </c>
      <c r="D317" s="4" t="s">
        <v>1127</v>
      </c>
      <c r="E317" s="4" t="s">
        <v>443</v>
      </c>
      <c r="F317" s="1" t="s">
        <v>1047</v>
      </c>
    </row>
    <row r="318" spans="1:6" ht="15.75" customHeight="1">
      <c r="A318" s="4" t="s">
        <v>1118</v>
      </c>
      <c r="B318" s="4">
        <v>2011</v>
      </c>
      <c r="C318" s="4" t="s">
        <v>1128</v>
      </c>
      <c r="D318" s="4" t="s">
        <v>1129</v>
      </c>
      <c r="E318" s="4" t="s">
        <v>443</v>
      </c>
      <c r="F318" s="1" t="s">
        <v>1047</v>
      </c>
    </row>
    <row r="319" spans="1:6" ht="15.75" customHeight="1">
      <c r="A319" s="4" t="s">
        <v>1118</v>
      </c>
      <c r="B319" s="4">
        <v>1998</v>
      </c>
      <c r="C319" s="4" t="s">
        <v>1130</v>
      </c>
      <c r="D319" s="4" t="s">
        <v>1131</v>
      </c>
      <c r="E319" s="4" t="s">
        <v>443</v>
      </c>
      <c r="F319" s="1" t="s">
        <v>1047</v>
      </c>
    </row>
    <row r="320" spans="1:6" ht="15.75" customHeight="1">
      <c r="A320" s="4" t="s">
        <v>1132</v>
      </c>
      <c r="B320" s="4">
        <v>2005</v>
      </c>
      <c r="C320" s="4" t="s">
        <v>1133</v>
      </c>
      <c r="D320" s="4" t="s">
        <v>1134</v>
      </c>
      <c r="E320" s="4" t="s">
        <v>443</v>
      </c>
      <c r="F320" s="1" t="s">
        <v>508</v>
      </c>
    </row>
    <row r="321" spans="1:6" ht="15.75" customHeight="1">
      <c r="A321" s="4" t="s">
        <v>1132</v>
      </c>
      <c r="B321" s="4">
        <v>2006</v>
      </c>
      <c r="C321" s="4" t="s">
        <v>1135</v>
      </c>
      <c r="D321" s="4" t="s">
        <v>1136</v>
      </c>
      <c r="E321" s="4" t="s">
        <v>443</v>
      </c>
      <c r="F321" s="1" t="s">
        <v>508</v>
      </c>
    </row>
    <row r="322" spans="1:6" ht="15.75" customHeight="1">
      <c r="A322" s="4" t="s">
        <v>1137</v>
      </c>
      <c r="B322" s="4">
        <v>2006</v>
      </c>
      <c r="C322" s="4" t="s">
        <v>1138</v>
      </c>
      <c r="D322" s="4" t="s">
        <v>1139</v>
      </c>
      <c r="E322" s="4" t="s">
        <v>443</v>
      </c>
      <c r="F322" s="1" t="s">
        <v>508</v>
      </c>
    </row>
    <row r="323" spans="1:6" ht="15.75" customHeight="1">
      <c r="A323" s="4" t="s">
        <v>1140</v>
      </c>
      <c r="B323" s="4">
        <v>2014</v>
      </c>
      <c r="C323" s="4" t="s">
        <v>1141</v>
      </c>
      <c r="D323" s="4" t="s">
        <v>1142</v>
      </c>
      <c r="E323" s="4" t="s">
        <v>443</v>
      </c>
      <c r="F323" s="1" t="s">
        <v>508</v>
      </c>
    </row>
    <row r="324" spans="1:6" ht="15.75" customHeight="1">
      <c r="A324" s="4" t="s">
        <v>1143</v>
      </c>
      <c r="B324" s="4">
        <v>1994</v>
      </c>
      <c r="C324" s="4" t="s">
        <v>1144</v>
      </c>
      <c r="D324" s="4" t="s">
        <v>1145</v>
      </c>
      <c r="E324" s="4" t="s">
        <v>443</v>
      </c>
      <c r="F324" s="1" t="s">
        <v>508</v>
      </c>
    </row>
    <row r="325" spans="1:6" ht="15.75" customHeight="1">
      <c r="A325" s="4" t="s">
        <v>1146</v>
      </c>
      <c r="B325" s="4">
        <v>2021</v>
      </c>
      <c r="C325" s="4" t="s">
        <v>1147</v>
      </c>
      <c r="D325" s="4" t="s">
        <v>1148</v>
      </c>
      <c r="E325" s="4" t="s">
        <v>443</v>
      </c>
      <c r="F325" s="1" t="s">
        <v>508</v>
      </c>
    </row>
    <row r="326" spans="1:6" ht="15.75" customHeight="1">
      <c r="A326" s="4" t="s">
        <v>1149</v>
      </c>
      <c r="B326" s="4">
        <v>2018</v>
      </c>
      <c r="C326" s="4" t="s">
        <v>1150</v>
      </c>
      <c r="D326" s="4" t="s">
        <v>1151</v>
      </c>
      <c r="E326" s="4" t="s">
        <v>443</v>
      </c>
      <c r="F326" s="1" t="s">
        <v>508</v>
      </c>
    </row>
    <row r="327" spans="1:6" ht="15.75" customHeight="1">
      <c r="A327" s="4" t="s">
        <v>1152</v>
      </c>
      <c r="B327" s="4">
        <v>2022</v>
      </c>
      <c r="C327" s="4" t="s">
        <v>1153</v>
      </c>
      <c r="D327" s="4" t="s">
        <v>1154</v>
      </c>
      <c r="E327" s="4" t="s">
        <v>443</v>
      </c>
      <c r="F327" s="1" t="s">
        <v>1048</v>
      </c>
    </row>
    <row r="328" spans="1:6" ht="15.75" customHeight="1">
      <c r="A328" s="4" t="s">
        <v>1155</v>
      </c>
      <c r="B328" s="4">
        <v>2013</v>
      </c>
      <c r="C328" s="4" t="s">
        <v>1156</v>
      </c>
      <c r="D328" s="4" t="s">
        <v>1157</v>
      </c>
      <c r="E328" s="4" t="s">
        <v>443</v>
      </c>
      <c r="F328" s="1" t="s">
        <v>508</v>
      </c>
    </row>
    <row r="329" spans="1:6" ht="15.75" customHeight="1">
      <c r="A329" s="4" t="s">
        <v>1158</v>
      </c>
      <c r="B329" s="4">
        <v>2001</v>
      </c>
      <c r="C329" s="4" t="s">
        <v>1159</v>
      </c>
      <c r="D329" s="4" t="s">
        <v>1160</v>
      </c>
      <c r="E329" s="4" t="s">
        <v>443</v>
      </c>
      <c r="F329" s="1" t="s">
        <v>508</v>
      </c>
    </row>
    <row r="330" spans="1:6" ht="15.75" customHeight="1">
      <c r="A330" s="4" t="s">
        <v>1161</v>
      </c>
      <c r="B330" s="4">
        <v>2023</v>
      </c>
      <c r="C330" s="4" t="s">
        <v>1162</v>
      </c>
      <c r="D330" s="4" t="s">
        <v>1163</v>
      </c>
      <c r="E330" s="4" t="s">
        <v>443</v>
      </c>
      <c r="F330" s="1" t="s">
        <v>508</v>
      </c>
    </row>
    <row r="331" spans="1:6" ht="15.75" customHeight="1">
      <c r="A331" s="4" t="s">
        <v>1164</v>
      </c>
      <c r="B331" s="4">
        <v>2011</v>
      </c>
      <c r="C331" s="4" t="s">
        <v>1165</v>
      </c>
      <c r="D331" s="4" t="s">
        <v>1166</v>
      </c>
      <c r="E331" s="4" t="s">
        <v>443</v>
      </c>
      <c r="F331" s="1" t="s">
        <v>508</v>
      </c>
    </row>
    <row r="332" spans="1:6" ht="15.75" customHeight="1">
      <c r="A332" s="4" t="s">
        <v>1167</v>
      </c>
      <c r="B332" s="4">
        <v>2008</v>
      </c>
      <c r="C332" s="4" t="s">
        <v>1168</v>
      </c>
      <c r="D332" s="4" t="s">
        <v>1169</v>
      </c>
      <c r="E332" s="4" t="s">
        <v>443</v>
      </c>
      <c r="F332" s="1" t="s">
        <v>508</v>
      </c>
    </row>
    <row r="333" spans="1:6" ht="15.75" customHeight="1">
      <c r="A333" s="4" t="s">
        <v>1167</v>
      </c>
      <c r="B333" s="4">
        <v>2006</v>
      </c>
      <c r="C333" s="4" t="s">
        <v>1170</v>
      </c>
      <c r="D333" s="4" t="s">
        <v>1171</v>
      </c>
      <c r="E333" s="4" t="s">
        <v>443</v>
      </c>
      <c r="F333" s="1" t="s">
        <v>508</v>
      </c>
    </row>
    <row r="334" spans="1:6" ht="15.75" customHeight="1">
      <c r="A334" s="4" t="s">
        <v>1172</v>
      </c>
      <c r="B334" s="4">
        <v>2003</v>
      </c>
      <c r="C334" s="4" t="s">
        <v>1173</v>
      </c>
      <c r="D334" s="4" t="s">
        <v>1174</v>
      </c>
      <c r="E334" s="4" t="s">
        <v>443</v>
      </c>
      <c r="F334" s="1" t="s">
        <v>508</v>
      </c>
    </row>
    <row r="335" spans="1:6" ht="15.75" customHeight="1">
      <c r="A335" s="4" t="s">
        <v>1175</v>
      </c>
      <c r="B335" s="4">
        <v>2010</v>
      </c>
      <c r="C335" s="4" t="s">
        <v>1176</v>
      </c>
      <c r="D335" s="4" t="s">
        <v>1177</v>
      </c>
      <c r="E335" s="4" t="s">
        <v>443</v>
      </c>
      <c r="F335" s="1" t="s">
        <v>508</v>
      </c>
    </row>
    <row r="336" spans="1:6" ht="15.75" customHeight="1">
      <c r="A336" s="4" t="s">
        <v>1178</v>
      </c>
      <c r="B336" s="4">
        <v>2004</v>
      </c>
      <c r="C336" s="4" t="s">
        <v>1179</v>
      </c>
      <c r="D336" s="4" t="s">
        <v>1180</v>
      </c>
      <c r="E336" s="4" t="s">
        <v>443</v>
      </c>
      <c r="F336" s="1" t="s">
        <v>508</v>
      </c>
    </row>
    <row r="337" spans="1:6" ht="15.75" customHeight="1">
      <c r="A337" s="4" t="s">
        <v>1181</v>
      </c>
      <c r="B337" s="4">
        <v>2009</v>
      </c>
      <c r="C337" s="4" t="s">
        <v>1182</v>
      </c>
      <c r="D337" s="4" t="s">
        <v>1183</v>
      </c>
      <c r="E337" s="4" t="s">
        <v>443</v>
      </c>
      <c r="F337" s="1" t="s">
        <v>508</v>
      </c>
    </row>
    <row r="338" spans="1:6" ht="15.75" customHeight="1">
      <c r="A338" s="4" t="s">
        <v>1184</v>
      </c>
      <c r="B338" s="4">
        <v>2008</v>
      </c>
      <c r="C338" s="4" t="s">
        <v>1185</v>
      </c>
      <c r="D338" s="4" t="s">
        <v>1186</v>
      </c>
      <c r="E338" s="4" t="s">
        <v>443</v>
      </c>
      <c r="F338" s="1" t="s">
        <v>508</v>
      </c>
    </row>
    <row r="339" spans="1:6" ht="15.75" customHeight="1">
      <c r="A339" s="4" t="s">
        <v>1187</v>
      </c>
      <c r="B339" s="4">
        <v>2012</v>
      </c>
      <c r="C339" s="4" t="s">
        <v>1188</v>
      </c>
      <c r="D339" s="4" t="s">
        <v>1189</v>
      </c>
      <c r="E339" s="4" t="s">
        <v>443</v>
      </c>
      <c r="F339" s="1" t="s">
        <v>508</v>
      </c>
    </row>
    <row r="340" spans="1:6" ht="15.75" customHeight="1">
      <c r="A340" s="4" t="s">
        <v>461</v>
      </c>
      <c r="B340" s="4">
        <v>1993</v>
      </c>
      <c r="D340" s="4" t="s">
        <v>1190</v>
      </c>
      <c r="E340" s="4" t="s">
        <v>443</v>
      </c>
      <c r="F340" s="1" t="s">
        <v>508</v>
      </c>
    </row>
    <row r="341" spans="1:6" ht="15.75" customHeight="1">
      <c r="A341" s="4" t="s">
        <v>461</v>
      </c>
      <c r="B341" s="4">
        <v>1994</v>
      </c>
      <c r="C341" s="4" t="s">
        <v>1191</v>
      </c>
      <c r="D341" s="4" t="s">
        <v>1192</v>
      </c>
      <c r="E341" s="4" t="s">
        <v>443</v>
      </c>
      <c r="F341" s="1" t="s">
        <v>508</v>
      </c>
    </row>
    <row r="342" spans="1:6" ht="15.75" customHeight="1">
      <c r="A342" s="4" t="s">
        <v>1193</v>
      </c>
      <c r="B342" s="4">
        <v>2018</v>
      </c>
      <c r="C342" s="4" t="s">
        <v>1194</v>
      </c>
      <c r="D342" s="4" t="s">
        <v>1195</v>
      </c>
      <c r="E342" s="4" t="s">
        <v>443</v>
      </c>
      <c r="F342" s="1" t="s">
        <v>508</v>
      </c>
    </row>
    <row r="343" spans="1:6" ht="15.75" customHeight="1">
      <c r="A343" s="4" t="s">
        <v>1196</v>
      </c>
      <c r="B343" s="4">
        <v>2011</v>
      </c>
      <c r="C343" s="4" t="s">
        <v>1197</v>
      </c>
      <c r="D343" s="4" t="s">
        <v>1198</v>
      </c>
      <c r="E343" s="4" t="s">
        <v>443</v>
      </c>
      <c r="F343" s="1" t="s">
        <v>1047</v>
      </c>
    </row>
    <row r="344" spans="1:6" ht="15.75" customHeight="1">
      <c r="A344" s="4" t="s">
        <v>1199</v>
      </c>
      <c r="B344" s="4">
        <v>2002</v>
      </c>
      <c r="D344" s="4" t="s">
        <v>1200</v>
      </c>
      <c r="E344" s="4" t="s">
        <v>443</v>
      </c>
      <c r="F344" s="1" t="s">
        <v>508</v>
      </c>
    </row>
    <row r="345" spans="1:6" ht="15.75" customHeight="1">
      <c r="A345" s="4" t="s">
        <v>1199</v>
      </c>
      <c r="B345" s="4">
        <v>2000</v>
      </c>
      <c r="D345" s="4" t="s">
        <v>1201</v>
      </c>
      <c r="E345" s="4" t="s">
        <v>443</v>
      </c>
      <c r="F345" s="1" t="s">
        <v>508</v>
      </c>
    </row>
    <row r="346" spans="1:6" ht="15.75" customHeight="1">
      <c r="A346" s="4" t="s">
        <v>1199</v>
      </c>
      <c r="B346" s="4">
        <v>1999</v>
      </c>
      <c r="D346" s="4" t="s">
        <v>1202</v>
      </c>
      <c r="E346" s="4" t="s">
        <v>443</v>
      </c>
      <c r="F346" s="1" t="s">
        <v>508</v>
      </c>
    </row>
    <row r="347" spans="1:6" ht="15.75" customHeight="1">
      <c r="A347" s="4" t="s">
        <v>1199</v>
      </c>
      <c r="B347" s="4">
        <v>1996</v>
      </c>
      <c r="D347" s="4" t="s">
        <v>1203</v>
      </c>
      <c r="E347" s="4" t="s">
        <v>443</v>
      </c>
      <c r="F347" s="1" t="s">
        <v>508</v>
      </c>
    </row>
    <row r="348" spans="1:6" ht="15.75" customHeight="1">
      <c r="A348" s="4" t="s">
        <v>1199</v>
      </c>
      <c r="B348" s="4">
        <v>1997</v>
      </c>
      <c r="D348" s="4" t="s">
        <v>1204</v>
      </c>
      <c r="E348" s="4" t="s">
        <v>443</v>
      </c>
      <c r="F348" s="1" t="s">
        <v>508</v>
      </c>
    </row>
    <row r="349" spans="1:6" ht="15.75" customHeight="1">
      <c r="A349" s="4" t="s">
        <v>1205</v>
      </c>
      <c r="B349" s="4">
        <v>2001</v>
      </c>
      <c r="C349" s="4" t="s">
        <v>1206</v>
      </c>
      <c r="D349" s="4" t="s">
        <v>1207</v>
      </c>
      <c r="E349" s="4" t="s">
        <v>443</v>
      </c>
      <c r="F349" s="1" t="s">
        <v>508</v>
      </c>
    </row>
    <row r="350" spans="1:6" ht="15.75" customHeight="1">
      <c r="A350" s="4" t="s">
        <v>1208</v>
      </c>
      <c r="B350" s="4">
        <v>2016</v>
      </c>
      <c r="C350" s="4" t="s">
        <v>1209</v>
      </c>
      <c r="D350" s="4" t="s">
        <v>1210</v>
      </c>
      <c r="E350" s="4" t="s">
        <v>443</v>
      </c>
      <c r="F350" s="1" t="s">
        <v>1047</v>
      </c>
    </row>
    <row r="351" spans="1:6" ht="15.75" customHeight="1">
      <c r="A351" s="4" t="s">
        <v>1211</v>
      </c>
      <c r="B351" s="4">
        <v>1997</v>
      </c>
      <c r="D351" s="4" t="s">
        <v>1212</v>
      </c>
      <c r="E351" s="4" t="s">
        <v>443</v>
      </c>
      <c r="F351" s="1" t="s">
        <v>1047</v>
      </c>
    </row>
    <row r="352" spans="1:6" ht="15.75" customHeight="1">
      <c r="A352" s="4" t="s">
        <v>1213</v>
      </c>
      <c r="B352" s="4">
        <v>1989</v>
      </c>
      <c r="C352" s="4" t="s">
        <v>1214</v>
      </c>
      <c r="D352" s="4" t="s">
        <v>1215</v>
      </c>
      <c r="E352" s="4" t="s">
        <v>443</v>
      </c>
      <c r="F352" s="1" t="s">
        <v>508</v>
      </c>
    </row>
    <row r="353" spans="1:6" ht="15.75" customHeight="1">
      <c r="A353" s="4" t="s">
        <v>1216</v>
      </c>
      <c r="B353" s="4">
        <v>2020</v>
      </c>
      <c r="C353" s="4" t="s">
        <v>1217</v>
      </c>
      <c r="D353" s="4" t="s">
        <v>1218</v>
      </c>
      <c r="E353" s="4" t="s">
        <v>443</v>
      </c>
      <c r="F353" s="1" t="s">
        <v>508</v>
      </c>
    </row>
    <row r="354" spans="1:6" ht="15.75" customHeight="1">
      <c r="A354" s="4" t="s">
        <v>465</v>
      </c>
      <c r="B354" s="4">
        <v>1989</v>
      </c>
      <c r="C354" s="4" t="s">
        <v>1219</v>
      </c>
      <c r="D354" s="4" t="s">
        <v>1220</v>
      </c>
      <c r="E354" s="4" t="s">
        <v>443</v>
      </c>
      <c r="F354" s="1" t="s">
        <v>508</v>
      </c>
    </row>
    <row r="355" spans="1:6" ht="15.75" customHeight="1">
      <c r="A355" s="4" t="s">
        <v>465</v>
      </c>
      <c r="B355" s="4">
        <v>1990</v>
      </c>
      <c r="C355" s="4" t="s">
        <v>1221</v>
      </c>
      <c r="D355" s="4" t="s">
        <v>1222</v>
      </c>
      <c r="E355" s="4" t="s">
        <v>443</v>
      </c>
      <c r="F355" s="1" t="s">
        <v>508</v>
      </c>
    </row>
    <row r="356" spans="1:6" ht="15.75" customHeight="1">
      <c r="A356" s="4" t="s">
        <v>465</v>
      </c>
      <c r="B356" s="4">
        <v>1993</v>
      </c>
      <c r="C356" s="4" t="s">
        <v>1223</v>
      </c>
      <c r="D356" s="4" t="s">
        <v>1224</v>
      </c>
      <c r="E356" s="4" t="s">
        <v>443</v>
      </c>
      <c r="F356" s="1" t="s">
        <v>508</v>
      </c>
    </row>
    <row r="357" spans="1:6" ht="15.75" customHeight="1">
      <c r="A357" s="4" t="s">
        <v>1225</v>
      </c>
      <c r="B357" s="4">
        <v>2007</v>
      </c>
      <c r="C357" s="4" t="s">
        <v>1226</v>
      </c>
      <c r="D357" s="4" t="s">
        <v>1227</v>
      </c>
      <c r="E357" s="4" t="s">
        <v>443</v>
      </c>
      <c r="F357" s="1" t="s">
        <v>508</v>
      </c>
    </row>
    <row r="358" spans="1:6" ht="15.75" customHeight="1">
      <c r="A358" s="4" t="s">
        <v>1228</v>
      </c>
      <c r="B358" s="4">
        <v>1997</v>
      </c>
      <c r="D358" s="4" t="s">
        <v>1229</v>
      </c>
      <c r="E358" s="4" t="s">
        <v>443</v>
      </c>
      <c r="F358" s="1" t="s">
        <v>508</v>
      </c>
    </row>
    <row r="359" spans="1:6" ht="15.75" customHeight="1">
      <c r="A359" s="4" t="s">
        <v>1230</v>
      </c>
      <c r="B359" s="4">
        <v>1992</v>
      </c>
      <c r="C359" s="4" t="s">
        <v>1231</v>
      </c>
      <c r="D359" s="4" t="s">
        <v>1232</v>
      </c>
      <c r="E359" s="4" t="s">
        <v>443</v>
      </c>
      <c r="F359" s="1" t="s">
        <v>508</v>
      </c>
    </row>
    <row r="360" spans="1:6" ht="15.75" customHeight="1">
      <c r="A360" s="4" t="s">
        <v>1233</v>
      </c>
      <c r="B360" s="4">
        <v>2009</v>
      </c>
      <c r="C360" s="4" t="s">
        <v>1234</v>
      </c>
      <c r="D360" s="4" t="s">
        <v>1235</v>
      </c>
      <c r="E360" s="4" t="s">
        <v>443</v>
      </c>
      <c r="F360" s="1" t="s">
        <v>508</v>
      </c>
    </row>
    <row r="361" spans="1:6" ht="15.75" customHeight="1">
      <c r="A361" s="4" t="s">
        <v>1236</v>
      </c>
      <c r="B361" s="4">
        <v>2013</v>
      </c>
      <c r="C361" s="4" t="s">
        <v>1237</v>
      </c>
      <c r="D361" s="4" t="s">
        <v>1238</v>
      </c>
      <c r="E361" s="4" t="s">
        <v>443</v>
      </c>
      <c r="F361" s="1" t="s">
        <v>508</v>
      </c>
    </row>
    <row r="362" spans="1:6" ht="15.75" customHeight="1">
      <c r="A362" s="4" t="s">
        <v>1239</v>
      </c>
      <c r="B362" s="4">
        <v>1994</v>
      </c>
      <c r="C362" s="4" t="s">
        <v>1240</v>
      </c>
      <c r="D362" s="4" t="s">
        <v>1241</v>
      </c>
      <c r="E362" s="4" t="s">
        <v>443</v>
      </c>
      <c r="F362" s="1" t="s">
        <v>508</v>
      </c>
    </row>
    <row r="363" spans="1:6" ht="15.75" customHeight="1">
      <c r="A363" s="4" t="s">
        <v>1242</v>
      </c>
      <c r="B363" s="4">
        <v>2019</v>
      </c>
      <c r="C363" s="4" t="s">
        <v>1243</v>
      </c>
      <c r="D363" s="4" t="s">
        <v>1244</v>
      </c>
      <c r="E363" s="4" t="s">
        <v>443</v>
      </c>
      <c r="F363" s="1" t="s">
        <v>508</v>
      </c>
    </row>
    <row r="364" spans="1:6" ht="15.75" customHeight="1">
      <c r="A364" s="4" t="s">
        <v>1245</v>
      </c>
      <c r="B364" s="4">
        <v>2013</v>
      </c>
      <c r="C364" s="4" t="s">
        <v>1246</v>
      </c>
      <c r="D364" s="4" t="s">
        <v>1247</v>
      </c>
      <c r="E364" s="4" t="s">
        <v>443</v>
      </c>
      <c r="F364" s="1" t="s">
        <v>508</v>
      </c>
    </row>
    <row r="365" spans="1:6" ht="15.75" customHeight="1">
      <c r="A365" s="4" t="s">
        <v>1248</v>
      </c>
      <c r="B365" s="4">
        <v>2022</v>
      </c>
      <c r="C365" s="4" t="s">
        <v>1249</v>
      </c>
      <c r="D365" s="4" t="s">
        <v>1250</v>
      </c>
      <c r="E365" s="4" t="s">
        <v>443</v>
      </c>
      <c r="F365" s="1" t="s">
        <v>508</v>
      </c>
    </row>
    <row r="366" spans="1:6" ht="15.75" customHeight="1">
      <c r="A366" s="4" t="s">
        <v>1251</v>
      </c>
      <c r="B366" s="4">
        <v>1997</v>
      </c>
      <c r="D366" s="4" t="s">
        <v>1252</v>
      </c>
      <c r="E366" s="4" t="s">
        <v>443</v>
      </c>
      <c r="F366" s="1" t="s">
        <v>508</v>
      </c>
    </row>
    <row r="367" spans="1:6" ht="15.75" customHeight="1">
      <c r="A367" s="4" t="s">
        <v>1253</v>
      </c>
      <c r="B367" s="4">
        <v>2009</v>
      </c>
      <c r="C367" s="4" t="s">
        <v>1254</v>
      </c>
      <c r="D367" s="4" t="s">
        <v>1255</v>
      </c>
      <c r="E367" s="4" t="s">
        <v>443</v>
      </c>
      <c r="F367" s="1" t="s">
        <v>508</v>
      </c>
    </row>
    <row r="368" spans="1:6" ht="15.75" customHeight="1">
      <c r="A368" s="4" t="s">
        <v>1256</v>
      </c>
      <c r="B368" s="4">
        <v>1989</v>
      </c>
      <c r="C368" s="4" t="s">
        <v>1257</v>
      </c>
      <c r="D368" s="4" t="s">
        <v>1258</v>
      </c>
      <c r="E368" s="4" t="s">
        <v>443</v>
      </c>
      <c r="F368" s="1" t="s">
        <v>508</v>
      </c>
    </row>
    <row r="369" spans="1:6" ht="15.75" customHeight="1">
      <c r="A369" s="4" t="s">
        <v>1259</v>
      </c>
      <c r="B369" s="4">
        <v>2018</v>
      </c>
      <c r="C369" s="4" t="s">
        <v>1260</v>
      </c>
      <c r="D369" s="4" t="s">
        <v>1261</v>
      </c>
      <c r="E369" s="4" t="s">
        <v>443</v>
      </c>
      <c r="F369" s="1" t="s">
        <v>508</v>
      </c>
    </row>
    <row r="370" spans="1:6" ht="15.75" customHeight="1">
      <c r="A370" s="4" t="s">
        <v>1262</v>
      </c>
      <c r="B370" s="4">
        <v>2011</v>
      </c>
      <c r="C370" s="4" t="s">
        <v>1263</v>
      </c>
      <c r="D370" s="4" t="s">
        <v>1264</v>
      </c>
      <c r="E370" s="4" t="s">
        <v>443</v>
      </c>
      <c r="F370" s="1" t="s">
        <v>508</v>
      </c>
    </row>
    <row r="371" spans="1:6" ht="15.75" customHeight="1">
      <c r="A371" s="4" t="s">
        <v>1265</v>
      </c>
      <c r="B371" s="4">
        <v>2021</v>
      </c>
      <c r="C371" s="4" t="s">
        <v>1266</v>
      </c>
      <c r="D371" s="4" t="s">
        <v>1267</v>
      </c>
      <c r="E371" s="4" t="s">
        <v>443</v>
      </c>
      <c r="F371" s="1" t="s">
        <v>508</v>
      </c>
    </row>
    <row r="372" spans="1:6" ht="15.75" customHeight="1">
      <c r="A372" s="4" t="s">
        <v>1268</v>
      </c>
      <c r="B372" s="4">
        <v>1997</v>
      </c>
      <c r="D372" s="4" t="s">
        <v>1269</v>
      </c>
      <c r="E372" s="4" t="s">
        <v>443</v>
      </c>
      <c r="F372" s="1" t="s">
        <v>508</v>
      </c>
    </row>
    <row r="373" spans="1:6" ht="15.75" customHeight="1">
      <c r="A373" s="4" t="s">
        <v>1270</v>
      </c>
      <c r="B373" s="4">
        <v>2002</v>
      </c>
      <c r="C373" s="4" t="s">
        <v>1271</v>
      </c>
      <c r="D373" s="4" t="s">
        <v>1272</v>
      </c>
      <c r="E373" s="4" t="s">
        <v>443</v>
      </c>
      <c r="F373" s="1" t="s">
        <v>508</v>
      </c>
    </row>
    <row r="374" spans="1:6" ht="15.75" customHeight="1">
      <c r="A374" s="4" t="s">
        <v>1273</v>
      </c>
      <c r="B374" s="4">
        <v>2016</v>
      </c>
      <c r="C374" s="4" t="s">
        <v>1274</v>
      </c>
      <c r="D374" s="4" t="s">
        <v>1275</v>
      </c>
      <c r="E374" s="4" t="s">
        <v>443</v>
      </c>
      <c r="F374" s="1" t="s">
        <v>508</v>
      </c>
    </row>
    <row r="375" spans="1:6" ht="15.75" customHeight="1">
      <c r="A375" s="4" t="s">
        <v>1276</v>
      </c>
      <c r="B375" s="4">
        <v>2009</v>
      </c>
      <c r="C375" s="4" t="s">
        <v>1277</v>
      </c>
      <c r="D375" s="4" t="s">
        <v>1278</v>
      </c>
      <c r="E375" s="4" t="s">
        <v>443</v>
      </c>
      <c r="F375" s="1" t="s">
        <v>508</v>
      </c>
    </row>
    <row r="376" spans="1:6" ht="15.75" customHeight="1">
      <c r="A376" s="4" t="s">
        <v>1279</v>
      </c>
      <c r="B376" s="4">
        <v>1997</v>
      </c>
      <c r="D376" s="4" t="s">
        <v>1280</v>
      </c>
      <c r="E376" s="4" t="s">
        <v>443</v>
      </c>
      <c r="F376" s="1" t="s">
        <v>508</v>
      </c>
    </row>
    <row r="377" spans="1:6" ht="15.75" customHeight="1">
      <c r="A377" s="4" t="s">
        <v>1281</v>
      </c>
      <c r="B377" s="4">
        <v>2007</v>
      </c>
      <c r="C377" s="4" t="s">
        <v>1282</v>
      </c>
      <c r="D377" s="4" t="s">
        <v>1283</v>
      </c>
      <c r="E377" s="4" t="s">
        <v>443</v>
      </c>
      <c r="F377" s="1" t="s">
        <v>508</v>
      </c>
    </row>
    <row r="378" spans="1:6" ht="15.75" customHeight="1">
      <c r="A378" s="4" t="s">
        <v>1284</v>
      </c>
      <c r="B378" s="4">
        <v>2017</v>
      </c>
      <c r="C378" s="4" t="s">
        <v>1285</v>
      </c>
      <c r="D378" s="4" t="s">
        <v>1286</v>
      </c>
      <c r="E378" s="4" t="s">
        <v>443</v>
      </c>
      <c r="F378" s="1" t="s">
        <v>508</v>
      </c>
    </row>
    <row r="379" spans="1:6" ht="15.75" customHeight="1">
      <c r="A379" s="4" t="s">
        <v>1287</v>
      </c>
      <c r="B379" s="4">
        <v>1988</v>
      </c>
      <c r="C379" s="4" t="s">
        <v>1288</v>
      </c>
      <c r="D379" s="4" t="s">
        <v>1289</v>
      </c>
      <c r="E379" s="4" t="s">
        <v>443</v>
      </c>
      <c r="F379" s="1" t="s">
        <v>508</v>
      </c>
    </row>
    <row r="380" spans="1:6" ht="15.75" customHeight="1">
      <c r="A380" s="4" t="s">
        <v>1290</v>
      </c>
      <c r="B380" s="4">
        <v>2014</v>
      </c>
      <c r="C380" s="4" t="s">
        <v>1291</v>
      </c>
      <c r="D380" s="4" t="s">
        <v>1292</v>
      </c>
      <c r="E380" s="4" t="s">
        <v>443</v>
      </c>
      <c r="F380" s="1" t="s">
        <v>508</v>
      </c>
    </row>
    <row r="381" spans="1:6" ht="15.75" customHeight="1">
      <c r="A381" s="4" t="s">
        <v>1293</v>
      </c>
      <c r="B381" s="4">
        <v>2018</v>
      </c>
      <c r="C381" s="4" t="s">
        <v>1294</v>
      </c>
      <c r="D381" s="4" t="s">
        <v>1295</v>
      </c>
      <c r="E381" s="4" t="s">
        <v>443</v>
      </c>
      <c r="F381" s="1" t="s">
        <v>508</v>
      </c>
    </row>
    <row r="382" spans="1:6" ht="15.75" customHeight="1">
      <c r="A382" s="4" t="s">
        <v>1293</v>
      </c>
      <c r="B382" s="4">
        <v>2015</v>
      </c>
      <c r="C382" s="4" t="s">
        <v>1296</v>
      </c>
      <c r="D382" s="4" t="s">
        <v>1297</v>
      </c>
      <c r="E382" s="4" t="s">
        <v>443</v>
      </c>
      <c r="F382" s="1" t="s">
        <v>508</v>
      </c>
    </row>
    <row r="383" spans="1:6" ht="15.75" customHeight="1">
      <c r="A383" s="4" t="s">
        <v>1293</v>
      </c>
      <c r="B383" s="4">
        <v>2019</v>
      </c>
      <c r="C383" s="4" t="s">
        <v>1298</v>
      </c>
      <c r="D383" s="4" t="s">
        <v>1299</v>
      </c>
      <c r="E383" s="4" t="s">
        <v>443</v>
      </c>
      <c r="F383" s="1" t="s">
        <v>508</v>
      </c>
    </row>
    <row r="384" spans="1:6" ht="15.75" customHeight="1">
      <c r="A384" s="4" t="s">
        <v>1300</v>
      </c>
      <c r="B384" s="4">
        <v>2004</v>
      </c>
      <c r="C384" s="4" t="s">
        <v>1301</v>
      </c>
      <c r="D384" s="4" t="s">
        <v>1302</v>
      </c>
      <c r="E384" s="4" t="s">
        <v>443</v>
      </c>
      <c r="F384" s="1" t="s">
        <v>508</v>
      </c>
    </row>
    <row r="385" spans="1:6" ht="15.75" customHeight="1">
      <c r="A385" s="4" t="s">
        <v>1303</v>
      </c>
      <c r="B385" s="4">
        <v>2003</v>
      </c>
      <c r="C385" s="4" t="s">
        <v>1304</v>
      </c>
      <c r="D385" s="4" t="s">
        <v>1305</v>
      </c>
      <c r="E385" s="4" t="s">
        <v>443</v>
      </c>
      <c r="F385" s="1" t="s">
        <v>1047</v>
      </c>
    </row>
    <row r="386" spans="1:6" ht="15.75" customHeight="1">
      <c r="A386" s="4" t="s">
        <v>1303</v>
      </c>
      <c r="B386" s="4">
        <v>2004</v>
      </c>
      <c r="C386" s="4" t="s">
        <v>1306</v>
      </c>
      <c r="D386" s="4" t="s">
        <v>1307</v>
      </c>
      <c r="E386" s="4" t="s">
        <v>443</v>
      </c>
      <c r="F386" s="1" t="s">
        <v>508</v>
      </c>
    </row>
    <row r="387" spans="1:6" ht="15.75" customHeight="1">
      <c r="A387" s="4" t="s">
        <v>1308</v>
      </c>
      <c r="B387" s="4">
        <v>1999</v>
      </c>
      <c r="D387" s="4" t="s">
        <v>1309</v>
      </c>
      <c r="E387" s="4" t="s">
        <v>443</v>
      </c>
      <c r="F387" s="1" t="s">
        <v>1047</v>
      </c>
    </row>
    <row r="388" spans="1:6" ht="15.75" customHeight="1">
      <c r="A388" s="4" t="s">
        <v>1308</v>
      </c>
      <c r="B388" s="4">
        <v>1999</v>
      </c>
      <c r="D388" s="4" t="s">
        <v>1310</v>
      </c>
      <c r="E388" s="4" t="s">
        <v>443</v>
      </c>
      <c r="F388" s="1" t="s">
        <v>1047</v>
      </c>
    </row>
    <row r="389" spans="1:6" ht="15.75" customHeight="1">
      <c r="A389" s="4" t="s">
        <v>1311</v>
      </c>
      <c r="B389" s="4">
        <v>2013</v>
      </c>
      <c r="C389" s="4" t="s">
        <v>1312</v>
      </c>
      <c r="D389" s="4" t="s">
        <v>1313</v>
      </c>
      <c r="E389" s="4" t="s">
        <v>443</v>
      </c>
      <c r="F389" s="1" t="s">
        <v>508</v>
      </c>
    </row>
    <row r="390" spans="1:6" ht="15.75" customHeight="1">
      <c r="A390" s="4" t="s">
        <v>1314</v>
      </c>
      <c r="B390" s="4">
        <v>1992</v>
      </c>
      <c r="C390" s="4" t="s">
        <v>1315</v>
      </c>
      <c r="D390" s="4" t="s">
        <v>1316</v>
      </c>
      <c r="E390" s="4" t="s">
        <v>443</v>
      </c>
      <c r="F390" s="1" t="s">
        <v>508</v>
      </c>
    </row>
    <row r="391" spans="1:6" ht="15.75" customHeight="1">
      <c r="A391" s="4" t="s">
        <v>1317</v>
      </c>
      <c r="B391" s="4">
        <v>2010</v>
      </c>
      <c r="C391" s="4" t="s">
        <v>1318</v>
      </c>
      <c r="D391" s="4" t="s">
        <v>1319</v>
      </c>
      <c r="E391" s="4" t="s">
        <v>443</v>
      </c>
      <c r="F391" s="1" t="s">
        <v>508</v>
      </c>
    </row>
    <row r="392" spans="1:6" ht="15.75" customHeight="1">
      <c r="A392" s="4" t="s">
        <v>1320</v>
      </c>
      <c r="B392" s="4">
        <v>1989</v>
      </c>
      <c r="D392" s="4" t="s">
        <v>1321</v>
      </c>
      <c r="E392" s="4" t="s">
        <v>443</v>
      </c>
      <c r="F392" s="1" t="s">
        <v>508</v>
      </c>
    </row>
    <row r="393" spans="1:6" ht="15.75" customHeight="1">
      <c r="A393" s="4" t="s">
        <v>1322</v>
      </c>
      <c r="B393" s="4">
        <v>2020</v>
      </c>
      <c r="C393" s="4" t="s">
        <v>1323</v>
      </c>
      <c r="D393" s="4" t="s">
        <v>1324</v>
      </c>
      <c r="E393" s="4" t="s">
        <v>443</v>
      </c>
      <c r="F393" s="1" t="s">
        <v>508</v>
      </c>
    </row>
    <row r="394" spans="1:6" ht="15.75" customHeight="1">
      <c r="A394" s="4" t="s">
        <v>1325</v>
      </c>
      <c r="B394" s="4">
        <v>1999</v>
      </c>
      <c r="C394" s="4" t="s">
        <v>1326</v>
      </c>
      <c r="D394" s="4" t="s">
        <v>1327</v>
      </c>
      <c r="E394" s="4" t="s">
        <v>443</v>
      </c>
      <c r="F394" s="1" t="s">
        <v>508</v>
      </c>
    </row>
    <row r="395" spans="1:6" ht="15.75" customHeight="1">
      <c r="A395" s="4" t="s">
        <v>1328</v>
      </c>
      <c r="B395" s="4">
        <v>2002</v>
      </c>
      <c r="D395" s="4" t="s">
        <v>1329</v>
      </c>
      <c r="E395" s="4" t="s">
        <v>443</v>
      </c>
      <c r="F395" s="1" t="s">
        <v>508</v>
      </c>
    </row>
    <row r="396" spans="1:6" ht="15.75" customHeight="1">
      <c r="A396" s="4" t="s">
        <v>1330</v>
      </c>
      <c r="B396" s="4">
        <v>1987</v>
      </c>
      <c r="D396" s="4" t="s">
        <v>1331</v>
      </c>
      <c r="E396" s="4" t="s">
        <v>443</v>
      </c>
      <c r="F396" s="1" t="s">
        <v>508</v>
      </c>
    </row>
    <row r="397" spans="1:6" ht="15.75" customHeight="1">
      <c r="A397" s="4" t="s">
        <v>1332</v>
      </c>
      <c r="B397" s="4">
        <v>2001</v>
      </c>
      <c r="C397" s="4" t="s">
        <v>1333</v>
      </c>
      <c r="D397" s="4" t="s">
        <v>1334</v>
      </c>
      <c r="E397" s="4" t="s">
        <v>443</v>
      </c>
      <c r="F397" s="1" t="s">
        <v>508</v>
      </c>
    </row>
    <row r="398" spans="1:6" ht="15.75" customHeight="1">
      <c r="A398" s="4" t="s">
        <v>1335</v>
      </c>
      <c r="B398" s="4">
        <v>2005</v>
      </c>
      <c r="C398" s="4" t="s">
        <v>1336</v>
      </c>
      <c r="D398" s="4" t="s">
        <v>1337</v>
      </c>
      <c r="E398" s="4" t="s">
        <v>443</v>
      </c>
      <c r="F398" s="1" t="s">
        <v>508</v>
      </c>
    </row>
    <row r="399" spans="1:6" ht="15.75" customHeight="1">
      <c r="A399" s="4" t="s">
        <v>1338</v>
      </c>
      <c r="B399" s="4">
        <v>2003</v>
      </c>
      <c r="C399" s="4" t="s">
        <v>1339</v>
      </c>
      <c r="D399" s="4" t="s">
        <v>1340</v>
      </c>
      <c r="E399" s="4" t="s">
        <v>443</v>
      </c>
      <c r="F399" s="1" t="s">
        <v>508</v>
      </c>
    </row>
    <row r="400" spans="1:6" ht="15.75" customHeight="1">
      <c r="A400" s="4" t="s">
        <v>1341</v>
      </c>
      <c r="B400" s="4">
        <v>1992</v>
      </c>
      <c r="C400" s="4" t="s">
        <v>1342</v>
      </c>
      <c r="D400" s="4" t="s">
        <v>1343</v>
      </c>
      <c r="E400" s="4" t="s">
        <v>443</v>
      </c>
      <c r="F400" s="1" t="s">
        <v>508</v>
      </c>
    </row>
    <row r="401" spans="1:6" ht="15.75" customHeight="1">
      <c r="A401" s="4" t="s">
        <v>1341</v>
      </c>
      <c r="B401" s="4">
        <v>1996</v>
      </c>
      <c r="C401" s="4" t="s">
        <v>1344</v>
      </c>
      <c r="D401" s="4" t="s">
        <v>1345</v>
      </c>
      <c r="E401" s="4" t="s">
        <v>443</v>
      </c>
      <c r="F401" s="1" t="s">
        <v>508</v>
      </c>
    </row>
    <row r="402" spans="1:6" ht="15.75" customHeight="1">
      <c r="A402" s="4" t="s">
        <v>1341</v>
      </c>
      <c r="B402" s="4">
        <v>2000</v>
      </c>
      <c r="C402" s="4" t="s">
        <v>1346</v>
      </c>
      <c r="D402" s="4" t="s">
        <v>1347</v>
      </c>
      <c r="E402" s="4" t="s">
        <v>443</v>
      </c>
      <c r="F402" s="1" t="s">
        <v>508</v>
      </c>
    </row>
    <row r="403" spans="1:6" ht="15.75" customHeight="1">
      <c r="A403" s="4" t="s">
        <v>1341</v>
      </c>
      <c r="B403" s="4">
        <v>1989</v>
      </c>
      <c r="C403" s="4" t="s">
        <v>1348</v>
      </c>
      <c r="D403" s="4" t="s">
        <v>1349</v>
      </c>
      <c r="E403" s="4" t="s">
        <v>443</v>
      </c>
      <c r="F403" s="1" t="s">
        <v>508</v>
      </c>
    </row>
    <row r="404" spans="1:6" ht="15.75" customHeight="1">
      <c r="A404" s="4" t="s">
        <v>1341</v>
      </c>
      <c r="B404" s="4">
        <v>1997</v>
      </c>
      <c r="C404" s="4" t="s">
        <v>1350</v>
      </c>
      <c r="D404" s="4" t="s">
        <v>1351</v>
      </c>
      <c r="E404" s="4" t="s">
        <v>443</v>
      </c>
      <c r="F404" s="1" t="s">
        <v>508</v>
      </c>
    </row>
    <row r="405" spans="1:6" ht="15.75" customHeight="1">
      <c r="A405" s="4" t="s">
        <v>1341</v>
      </c>
      <c r="B405" s="4">
        <v>1993</v>
      </c>
      <c r="C405" s="4" t="s">
        <v>1352</v>
      </c>
      <c r="D405" s="4" t="s">
        <v>1353</v>
      </c>
      <c r="E405" s="4" t="s">
        <v>443</v>
      </c>
      <c r="F405" s="1" t="s">
        <v>508</v>
      </c>
    </row>
    <row r="406" spans="1:6" ht="15.75" customHeight="1">
      <c r="A406" s="4" t="s">
        <v>1354</v>
      </c>
      <c r="B406" s="4">
        <v>2004</v>
      </c>
      <c r="C406" s="4" t="s">
        <v>1355</v>
      </c>
      <c r="D406" s="4" t="s">
        <v>1356</v>
      </c>
      <c r="E406" s="4" t="s">
        <v>443</v>
      </c>
      <c r="F406" s="1" t="s">
        <v>508</v>
      </c>
    </row>
    <row r="407" spans="1:6" ht="15.75" customHeight="1">
      <c r="A407" s="4" t="s">
        <v>1357</v>
      </c>
      <c r="B407" s="4">
        <v>2005</v>
      </c>
      <c r="C407" s="4" t="s">
        <v>1358</v>
      </c>
      <c r="D407" s="4" t="s">
        <v>1359</v>
      </c>
      <c r="E407" s="4" t="s">
        <v>443</v>
      </c>
      <c r="F407" s="1" t="s">
        <v>1047</v>
      </c>
    </row>
    <row r="408" spans="1:6" ht="15.75" customHeight="1">
      <c r="A408" s="4" t="s">
        <v>1360</v>
      </c>
      <c r="B408" s="4">
        <v>2005</v>
      </c>
      <c r="C408" s="4" t="s">
        <v>1361</v>
      </c>
      <c r="D408" s="4" t="s">
        <v>1362</v>
      </c>
      <c r="E408" s="4" t="s">
        <v>443</v>
      </c>
      <c r="F408" s="1" t="s">
        <v>508</v>
      </c>
    </row>
    <row r="409" spans="1:6" ht="15.75" customHeight="1">
      <c r="A409" s="4" t="s">
        <v>1363</v>
      </c>
      <c r="B409" s="4">
        <v>2016</v>
      </c>
      <c r="C409" s="4" t="s">
        <v>1364</v>
      </c>
      <c r="D409" s="4" t="s">
        <v>1365</v>
      </c>
      <c r="E409" s="4" t="s">
        <v>443</v>
      </c>
      <c r="F409" s="1" t="s">
        <v>508</v>
      </c>
    </row>
    <row r="410" spans="1:6" ht="15.75" customHeight="1">
      <c r="A410" s="4" t="s">
        <v>1366</v>
      </c>
      <c r="B410" s="4">
        <v>2001</v>
      </c>
      <c r="C410" s="4" t="s">
        <v>1367</v>
      </c>
      <c r="D410" s="4" t="s">
        <v>1368</v>
      </c>
      <c r="E410" s="4" t="s">
        <v>443</v>
      </c>
      <c r="F410" s="1" t="s">
        <v>508</v>
      </c>
    </row>
    <row r="411" spans="1:6" ht="15.75" customHeight="1">
      <c r="A411" s="4" t="s">
        <v>1369</v>
      </c>
      <c r="B411" s="4">
        <v>2009</v>
      </c>
      <c r="C411" s="4" t="s">
        <v>1370</v>
      </c>
      <c r="D411" s="4" t="s">
        <v>1371</v>
      </c>
      <c r="E411" s="4" t="s">
        <v>443</v>
      </c>
      <c r="F411" s="1" t="s">
        <v>508</v>
      </c>
    </row>
    <row r="412" spans="1:6" ht="15.75" customHeight="1">
      <c r="A412" s="4" t="s">
        <v>1372</v>
      </c>
      <c r="B412" s="4">
        <v>2020</v>
      </c>
      <c r="C412" s="4" t="s">
        <v>1373</v>
      </c>
      <c r="D412" s="4" t="s">
        <v>1374</v>
      </c>
      <c r="E412" s="4" t="s">
        <v>443</v>
      </c>
      <c r="F412" s="1" t="s">
        <v>508</v>
      </c>
    </row>
    <row r="413" spans="1:6" ht="15.75" customHeight="1">
      <c r="A413" s="4" t="s">
        <v>1372</v>
      </c>
      <c r="B413" s="4">
        <v>2018</v>
      </c>
      <c r="C413" s="4" t="s">
        <v>1375</v>
      </c>
      <c r="D413" s="4" t="s">
        <v>1376</v>
      </c>
      <c r="E413" s="4" t="s">
        <v>443</v>
      </c>
      <c r="F413" s="1" t="s">
        <v>508</v>
      </c>
    </row>
    <row r="414" spans="1:6" ht="15.75" customHeight="1">
      <c r="A414" s="4" t="s">
        <v>1372</v>
      </c>
      <c r="B414" s="4">
        <v>2019</v>
      </c>
      <c r="C414" s="4" t="s">
        <v>1377</v>
      </c>
      <c r="D414" s="4" t="s">
        <v>1378</v>
      </c>
      <c r="E414" s="4" t="s">
        <v>443</v>
      </c>
      <c r="F414" s="1" t="s">
        <v>508</v>
      </c>
    </row>
    <row r="415" spans="1:6" ht="15.75" customHeight="1">
      <c r="A415" s="4" t="s">
        <v>1379</v>
      </c>
      <c r="B415" s="4">
        <v>1999</v>
      </c>
      <c r="D415" s="4" t="s">
        <v>1380</v>
      </c>
      <c r="E415" s="4" t="s">
        <v>443</v>
      </c>
      <c r="F415" s="1" t="s">
        <v>508</v>
      </c>
    </row>
    <row r="416" spans="1:6" ht="15.75" customHeight="1">
      <c r="A416" s="4" t="s">
        <v>1381</v>
      </c>
      <c r="B416" s="4">
        <v>2010</v>
      </c>
      <c r="C416" s="4" t="s">
        <v>1382</v>
      </c>
      <c r="D416" s="4" t="s">
        <v>1383</v>
      </c>
      <c r="E416" s="4" t="s">
        <v>443</v>
      </c>
      <c r="F416" s="1" t="s">
        <v>508</v>
      </c>
    </row>
    <row r="417" spans="1:6" ht="15.75" customHeight="1">
      <c r="A417" s="4" t="s">
        <v>1381</v>
      </c>
      <c r="B417" s="4">
        <v>2004</v>
      </c>
      <c r="C417" s="4" t="s">
        <v>1384</v>
      </c>
      <c r="D417" s="4" t="s">
        <v>1385</v>
      </c>
      <c r="E417" s="4" t="s">
        <v>443</v>
      </c>
      <c r="F417" s="1" t="s">
        <v>508</v>
      </c>
    </row>
    <row r="418" spans="1:6" ht="15.75" customHeight="1">
      <c r="A418" s="4" t="s">
        <v>1386</v>
      </c>
      <c r="B418" s="4">
        <v>2019</v>
      </c>
      <c r="C418" s="4" t="s">
        <v>1387</v>
      </c>
      <c r="D418" s="4" t="s">
        <v>1388</v>
      </c>
      <c r="E418" s="4" t="s">
        <v>443</v>
      </c>
      <c r="F418" s="1" t="s">
        <v>508</v>
      </c>
    </row>
    <row r="419" spans="1:6" ht="15.75" customHeight="1">
      <c r="A419" s="4" t="s">
        <v>1386</v>
      </c>
      <c r="B419" s="4">
        <v>2020</v>
      </c>
      <c r="C419" s="4" t="s">
        <v>1389</v>
      </c>
      <c r="D419" s="4" t="s">
        <v>1390</v>
      </c>
      <c r="E419" s="4" t="s">
        <v>443</v>
      </c>
      <c r="F419" s="1" t="s">
        <v>508</v>
      </c>
    </row>
    <row r="420" spans="1:6" ht="15.75" customHeight="1">
      <c r="A420" s="4" t="s">
        <v>1386</v>
      </c>
      <c r="B420" s="4">
        <v>2022</v>
      </c>
      <c r="C420" s="4" t="s">
        <v>1391</v>
      </c>
      <c r="D420" s="4" t="s">
        <v>1392</v>
      </c>
      <c r="E420" s="4" t="s">
        <v>443</v>
      </c>
      <c r="F420" s="1" t="s">
        <v>508</v>
      </c>
    </row>
    <row r="421" spans="1:6" ht="15.75" customHeight="1">
      <c r="A421" s="4" t="s">
        <v>1393</v>
      </c>
      <c r="B421" s="4">
        <v>1998</v>
      </c>
      <c r="C421" s="4" t="s">
        <v>1394</v>
      </c>
      <c r="D421" s="4" t="s">
        <v>1395</v>
      </c>
      <c r="E421" s="4" t="s">
        <v>443</v>
      </c>
      <c r="F421" s="1" t="s">
        <v>508</v>
      </c>
    </row>
    <row r="422" spans="1:6" ht="15.75" customHeight="1">
      <c r="A422" s="4" t="s">
        <v>1396</v>
      </c>
      <c r="B422" s="4">
        <v>2013</v>
      </c>
      <c r="C422" s="4" t="s">
        <v>1397</v>
      </c>
      <c r="D422" s="4" t="s">
        <v>1398</v>
      </c>
      <c r="E422" s="4" t="s">
        <v>443</v>
      </c>
      <c r="F422" s="1" t="s">
        <v>508</v>
      </c>
    </row>
    <row r="423" spans="1:6" ht="15.75" customHeight="1">
      <c r="A423" s="4" t="s">
        <v>501</v>
      </c>
      <c r="B423" s="4">
        <v>2006</v>
      </c>
      <c r="C423" s="4" t="s">
        <v>1399</v>
      </c>
      <c r="D423" s="4" t="s">
        <v>1400</v>
      </c>
      <c r="E423" s="4" t="s">
        <v>443</v>
      </c>
      <c r="F423" s="1" t="s">
        <v>508</v>
      </c>
    </row>
    <row r="424" spans="1:6" ht="15.75" customHeight="1">
      <c r="A424" s="4" t="s">
        <v>501</v>
      </c>
      <c r="B424" s="4">
        <v>2006</v>
      </c>
      <c r="C424" s="4" t="s">
        <v>1401</v>
      </c>
      <c r="D424" s="4" t="s">
        <v>1402</v>
      </c>
      <c r="E424" s="4" t="s">
        <v>443</v>
      </c>
      <c r="F424" s="1" t="s">
        <v>508</v>
      </c>
    </row>
    <row r="425" spans="1:6" ht="15.75" customHeight="1">
      <c r="A425" s="4" t="s">
        <v>501</v>
      </c>
      <c r="B425" s="4">
        <v>2010</v>
      </c>
      <c r="C425" s="4" t="s">
        <v>1403</v>
      </c>
      <c r="D425" s="4" t="s">
        <v>1404</v>
      </c>
      <c r="E425" s="4" t="s">
        <v>443</v>
      </c>
      <c r="F425" s="1" t="s">
        <v>1047</v>
      </c>
    </row>
    <row r="426" spans="1:6" ht="15.75" customHeight="1">
      <c r="A426" s="4" t="s">
        <v>1405</v>
      </c>
      <c r="B426" s="4">
        <v>2017</v>
      </c>
      <c r="C426" s="4" t="s">
        <v>1406</v>
      </c>
      <c r="D426" s="4" t="s">
        <v>1407</v>
      </c>
      <c r="E426" s="4" t="s">
        <v>443</v>
      </c>
      <c r="F426" s="1" t="s">
        <v>508</v>
      </c>
    </row>
    <row r="427" spans="1:6" ht="15.75" customHeight="1">
      <c r="A427" s="4" t="s">
        <v>1408</v>
      </c>
      <c r="B427" s="4">
        <v>2023</v>
      </c>
      <c r="C427" s="4" t="s">
        <v>1409</v>
      </c>
      <c r="D427" s="4" t="s">
        <v>1410</v>
      </c>
      <c r="E427" s="4" t="s">
        <v>443</v>
      </c>
      <c r="F427" s="1" t="s">
        <v>508</v>
      </c>
    </row>
    <row r="428" spans="1:6" ht="15.75" customHeight="1">
      <c r="A428" s="4" t="s">
        <v>1411</v>
      </c>
      <c r="B428" s="4">
        <v>1995</v>
      </c>
      <c r="C428" s="4" t="s">
        <v>1412</v>
      </c>
      <c r="D428" s="4" t="s">
        <v>1413</v>
      </c>
      <c r="E428" s="4" t="s">
        <v>443</v>
      </c>
      <c r="F428" s="1" t="s">
        <v>508</v>
      </c>
    </row>
    <row r="429" spans="1:6" ht="15.75" customHeight="1">
      <c r="A429" s="4" t="s">
        <v>1414</v>
      </c>
      <c r="B429" s="4">
        <v>2007</v>
      </c>
      <c r="D429" s="4" t="s">
        <v>1415</v>
      </c>
      <c r="E429" s="4" t="s">
        <v>443</v>
      </c>
      <c r="F429" s="1" t="s">
        <v>508</v>
      </c>
    </row>
    <row r="430" spans="1:6" ht="15.75" customHeight="1">
      <c r="A430" s="4" t="s">
        <v>1416</v>
      </c>
      <c r="B430" s="4">
        <v>2013</v>
      </c>
      <c r="C430" s="4" t="s">
        <v>1417</v>
      </c>
      <c r="D430" s="4" t="s">
        <v>1418</v>
      </c>
      <c r="E430" s="4" t="s">
        <v>443</v>
      </c>
      <c r="F430" s="1" t="s">
        <v>508</v>
      </c>
    </row>
    <row r="431" spans="1:6" ht="15.75" customHeight="1">
      <c r="A431" s="4" t="s">
        <v>1419</v>
      </c>
      <c r="B431" s="4">
        <v>2015</v>
      </c>
      <c r="C431" s="4" t="s">
        <v>1420</v>
      </c>
      <c r="D431" s="4" t="s">
        <v>1421</v>
      </c>
      <c r="E431" s="4" t="s">
        <v>443</v>
      </c>
      <c r="F431" s="1" t="s">
        <v>508</v>
      </c>
    </row>
    <row r="432" spans="1:6" ht="15.75" customHeight="1">
      <c r="A432" s="4" t="s">
        <v>1422</v>
      </c>
      <c r="B432" s="4">
        <v>2014</v>
      </c>
      <c r="C432" s="4" t="s">
        <v>1423</v>
      </c>
      <c r="D432" s="4" t="s">
        <v>1424</v>
      </c>
      <c r="E432" s="4" t="s">
        <v>443</v>
      </c>
      <c r="F432" s="1" t="s">
        <v>508</v>
      </c>
    </row>
    <row r="433" spans="1:6" ht="15.75" customHeight="1">
      <c r="A433" s="4" t="s">
        <v>1425</v>
      </c>
      <c r="B433" s="4">
        <v>2012</v>
      </c>
      <c r="C433" s="4" t="s">
        <v>1426</v>
      </c>
      <c r="D433" s="4" t="s">
        <v>1427</v>
      </c>
      <c r="E433" s="4" t="s">
        <v>443</v>
      </c>
      <c r="F433" s="1" t="s">
        <v>508</v>
      </c>
    </row>
    <row r="434" spans="1:6" ht="15.75" customHeight="1">
      <c r="A434" s="4" t="s">
        <v>1428</v>
      </c>
      <c r="B434" s="4">
        <v>1993</v>
      </c>
      <c r="C434" s="4" t="s">
        <v>1429</v>
      </c>
      <c r="D434" s="4" t="s">
        <v>1430</v>
      </c>
      <c r="E434" s="4" t="s">
        <v>443</v>
      </c>
      <c r="F434" s="1" t="s">
        <v>508</v>
      </c>
    </row>
    <row r="435" spans="1:6" ht="15.75" customHeight="1">
      <c r="A435" s="4" t="s">
        <v>1431</v>
      </c>
      <c r="B435" s="4">
        <v>1995</v>
      </c>
      <c r="D435" s="4" t="s">
        <v>1432</v>
      </c>
      <c r="E435" s="4" t="s">
        <v>443</v>
      </c>
      <c r="F435" s="1" t="s">
        <v>508</v>
      </c>
    </row>
    <row r="436" spans="1:6" ht="15.75" customHeight="1">
      <c r="A436" s="4" t="s">
        <v>1433</v>
      </c>
      <c r="B436" s="4">
        <v>2017</v>
      </c>
      <c r="C436" s="4" t="s">
        <v>1434</v>
      </c>
      <c r="D436" s="4" t="s">
        <v>1435</v>
      </c>
      <c r="E436" s="4" t="s">
        <v>443</v>
      </c>
      <c r="F436" s="1" t="s">
        <v>1047</v>
      </c>
    </row>
    <row r="437" spans="1:6" ht="15.75" customHeight="1">
      <c r="A437" s="4" t="s">
        <v>1436</v>
      </c>
      <c r="B437" s="4">
        <v>2012</v>
      </c>
      <c r="C437" s="4" t="s">
        <v>1437</v>
      </c>
      <c r="D437" s="4" t="s">
        <v>1438</v>
      </c>
      <c r="E437" s="4" t="s">
        <v>443</v>
      </c>
      <c r="F437" s="1" t="s">
        <v>1047</v>
      </c>
    </row>
    <row r="438" spans="1:6" ht="15.75" customHeight="1">
      <c r="A438" s="4" t="s">
        <v>1439</v>
      </c>
      <c r="B438" s="4">
        <v>1995</v>
      </c>
      <c r="C438" s="4" t="s">
        <v>1440</v>
      </c>
      <c r="D438" s="4" t="s">
        <v>1441</v>
      </c>
      <c r="E438" s="4" t="s">
        <v>443</v>
      </c>
      <c r="F438" s="1" t="s">
        <v>508</v>
      </c>
    </row>
    <row r="439" spans="1:6" ht="15.75" customHeight="1">
      <c r="A439" s="4" t="s">
        <v>1442</v>
      </c>
      <c r="B439" s="4">
        <v>2023</v>
      </c>
      <c r="C439" s="4" t="s">
        <v>1443</v>
      </c>
      <c r="D439" s="4" t="s">
        <v>1444</v>
      </c>
      <c r="E439" s="4" t="s">
        <v>443</v>
      </c>
      <c r="F439" s="1" t="s">
        <v>508</v>
      </c>
    </row>
    <row r="440" spans="1:6" ht="15.75" customHeight="1">
      <c r="A440" s="4" t="s">
        <v>1445</v>
      </c>
      <c r="B440" s="4">
        <v>1997</v>
      </c>
      <c r="C440" s="4" t="s">
        <v>1446</v>
      </c>
      <c r="D440" s="4" t="s">
        <v>1447</v>
      </c>
      <c r="E440" s="4" t="s">
        <v>443</v>
      </c>
      <c r="F440" s="1" t="s">
        <v>508</v>
      </c>
    </row>
    <row r="441" spans="1:6" ht="15.75" customHeight="1">
      <c r="A441" s="4" t="s">
        <v>1448</v>
      </c>
      <c r="B441" s="4">
        <v>2023</v>
      </c>
      <c r="C441" s="4" t="s">
        <v>1449</v>
      </c>
      <c r="D441" s="4" t="s">
        <v>1450</v>
      </c>
      <c r="E441" s="4" t="s">
        <v>443</v>
      </c>
      <c r="F441" s="1" t="s">
        <v>508</v>
      </c>
    </row>
    <row r="442" spans="1:6" ht="15.75" customHeight="1">
      <c r="A442" s="4" t="s">
        <v>1451</v>
      </c>
      <c r="B442" s="4">
        <v>2022</v>
      </c>
      <c r="C442" s="4" t="s">
        <v>1452</v>
      </c>
      <c r="D442" s="4" t="s">
        <v>1453</v>
      </c>
      <c r="E442" s="4" t="s">
        <v>443</v>
      </c>
      <c r="F442" s="1" t="s">
        <v>508</v>
      </c>
    </row>
    <row r="443" spans="1:6" ht="15.75" customHeight="1">
      <c r="A443" s="4" t="s">
        <v>1454</v>
      </c>
      <c r="B443" s="4">
        <v>1992</v>
      </c>
      <c r="C443" s="4" t="s">
        <v>1455</v>
      </c>
      <c r="D443" s="4" t="s">
        <v>1456</v>
      </c>
      <c r="E443" s="4" t="s">
        <v>443</v>
      </c>
      <c r="F443" s="1" t="s">
        <v>508</v>
      </c>
    </row>
    <row r="444" spans="1:6" ht="15.75" customHeight="1">
      <c r="A444" s="4" t="s">
        <v>1454</v>
      </c>
      <c r="B444" s="4">
        <v>1990</v>
      </c>
      <c r="C444" s="4" t="s">
        <v>1457</v>
      </c>
      <c r="D444" s="4" t="s">
        <v>1458</v>
      </c>
      <c r="E444" s="4" t="s">
        <v>443</v>
      </c>
      <c r="F444" s="1" t="s">
        <v>508</v>
      </c>
    </row>
    <row r="445" spans="1:6" ht="15.75" customHeight="1">
      <c r="A445" s="4" t="s">
        <v>1459</v>
      </c>
      <c r="B445" s="4">
        <v>1993</v>
      </c>
      <c r="D445" s="4" t="s">
        <v>1460</v>
      </c>
      <c r="E445" s="4" t="s">
        <v>443</v>
      </c>
      <c r="F445" s="1" t="s">
        <v>508</v>
      </c>
    </row>
    <row r="446" spans="1:6" ht="15.75" customHeight="1">
      <c r="A446" s="4" t="s">
        <v>1459</v>
      </c>
      <c r="B446" s="4">
        <v>1993</v>
      </c>
      <c r="C446" s="4" t="s">
        <v>1461</v>
      </c>
      <c r="D446" s="4" t="s">
        <v>1462</v>
      </c>
      <c r="E446" s="4" t="s">
        <v>443</v>
      </c>
      <c r="F446" s="1" t="s">
        <v>508</v>
      </c>
    </row>
    <row r="447" spans="1:6" ht="15.75" customHeight="1">
      <c r="A447" s="4" t="s">
        <v>1463</v>
      </c>
      <c r="B447" s="4">
        <v>2011</v>
      </c>
      <c r="C447" s="4" t="s">
        <v>1464</v>
      </c>
      <c r="D447" s="4" t="s">
        <v>1465</v>
      </c>
      <c r="E447" s="4" t="s">
        <v>443</v>
      </c>
      <c r="F447" s="1" t="s">
        <v>508</v>
      </c>
    </row>
    <row r="448" spans="1:6" ht="15.75" customHeight="1">
      <c r="A448" s="4" t="s">
        <v>1466</v>
      </c>
      <c r="B448" s="4">
        <v>2013</v>
      </c>
      <c r="C448" s="4" t="s">
        <v>1467</v>
      </c>
      <c r="D448" s="4" t="s">
        <v>1468</v>
      </c>
      <c r="E448" s="4" t="s">
        <v>443</v>
      </c>
      <c r="F448" s="1" t="s">
        <v>508</v>
      </c>
    </row>
    <row r="449" spans="1:6" ht="15.75" customHeight="1">
      <c r="A449" s="4" t="s">
        <v>1469</v>
      </c>
      <c r="B449" s="4">
        <v>2002</v>
      </c>
      <c r="C449" s="4" t="s">
        <v>1470</v>
      </c>
      <c r="D449" s="4" t="s">
        <v>1471</v>
      </c>
      <c r="E449" s="4" t="s">
        <v>443</v>
      </c>
      <c r="F449" s="1" t="s">
        <v>508</v>
      </c>
    </row>
    <row r="450" spans="1:6" ht="15.75" customHeight="1">
      <c r="A450" s="4" t="s">
        <v>1472</v>
      </c>
      <c r="B450" s="4">
        <v>2005</v>
      </c>
      <c r="C450" s="4" t="s">
        <v>1473</v>
      </c>
      <c r="D450" s="4" t="s">
        <v>1474</v>
      </c>
      <c r="E450" s="4" t="s">
        <v>443</v>
      </c>
      <c r="F450" s="1" t="s">
        <v>508</v>
      </c>
    </row>
    <row r="451" spans="1:6" ht="15.75" customHeight="1">
      <c r="A451" s="4" t="s">
        <v>1475</v>
      </c>
      <c r="B451" s="4">
        <v>2002</v>
      </c>
      <c r="C451" s="4" t="s">
        <v>1476</v>
      </c>
      <c r="D451" s="4" t="s">
        <v>1477</v>
      </c>
      <c r="E451" s="4" t="s">
        <v>443</v>
      </c>
      <c r="F451" s="1" t="s">
        <v>508</v>
      </c>
    </row>
    <row r="452" spans="1:6" ht="15.75" customHeight="1">
      <c r="A452" s="4" t="s">
        <v>1478</v>
      </c>
      <c r="B452" s="4">
        <v>2012</v>
      </c>
      <c r="C452" s="4" t="s">
        <v>1479</v>
      </c>
      <c r="D452" s="4" t="s">
        <v>1480</v>
      </c>
      <c r="E452" s="4" t="s">
        <v>443</v>
      </c>
      <c r="F452" s="1" t="s">
        <v>508</v>
      </c>
    </row>
    <row r="453" spans="1:6" ht="15.75" customHeight="1">
      <c r="A453" s="4" t="s">
        <v>1481</v>
      </c>
      <c r="B453" s="4">
        <v>2019</v>
      </c>
      <c r="C453" s="4" t="s">
        <v>1482</v>
      </c>
      <c r="D453" s="4" t="s">
        <v>1483</v>
      </c>
      <c r="E453" s="4" t="s">
        <v>443</v>
      </c>
      <c r="F453" s="1" t="s">
        <v>508</v>
      </c>
    </row>
    <row r="454" spans="1:6" ht="15.75" customHeight="1">
      <c r="A454" s="4" t="s">
        <v>1484</v>
      </c>
      <c r="B454" s="4">
        <v>1999</v>
      </c>
      <c r="C454" s="4" t="s">
        <v>1485</v>
      </c>
      <c r="D454" s="4" t="s">
        <v>1486</v>
      </c>
      <c r="E454" s="4" t="s">
        <v>443</v>
      </c>
      <c r="F454" s="1" t="s">
        <v>508</v>
      </c>
    </row>
    <row r="455" spans="1:6" ht="15.75" customHeight="1">
      <c r="A455" s="4" t="s">
        <v>1487</v>
      </c>
      <c r="B455" s="4">
        <v>2017</v>
      </c>
      <c r="C455" s="4" t="s">
        <v>1488</v>
      </c>
      <c r="D455" s="4" t="s">
        <v>1489</v>
      </c>
      <c r="E455" s="4" t="s">
        <v>443</v>
      </c>
      <c r="F455" s="1" t="s">
        <v>508</v>
      </c>
    </row>
    <row r="456" spans="1:6" ht="15.75" customHeight="1">
      <c r="A456" s="4" t="s">
        <v>1490</v>
      </c>
      <c r="B456" s="4">
        <v>1991</v>
      </c>
      <c r="C456" s="4" t="s">
        <v>1491</v>
      </c>
      <c r="D456" s="4" t="s">
        <v>1492</v>
      </c>
      <c r="E456" s="4" t="s">
        <v>443</v>
      </c>
      <c r="F456" s="1" t="s">
        <v>508</v>
      </c>
    </row>
    <row r="457" spans="1:6" ht="15.75" customHeight="1">
      <c r="A457" s="4" t="s">
        <v>1493</v>
      </c>
      <c r="B457" s="4">
        <v>2017</v>
      </c>
      <c r="C457" s="4" t="s">
        <v>1494</v>
      </c>
      <c r="D457" s="4" t="s">
        <v>1495</v>
      </c>
      <c r="E457" s="4" t="s">
        <v>443</v>
      </c>
      <c r="F457" s="1" t="s">
        <v>508</v>
      </c>
    </row>
    <row r="458" spans="1:6" ht="15.75" customHeight="1">
      <c r="A458" s="4" t="s">
        <v>1496</v>
      </c>
      <c r="B458" s="4">
        <v>2015</v>
      </c>
      <c r="C458" s="4" t="s">
        <v>1497</v>
      </c>
      <c r="D458" s="4" t="s">
        <v>1498</v>
      </c>
      <c r="E458" s="4" t="s">
        <v>443</v>
      </c>
      <c r="F458" s="1" t="s">
        <v>508</v>
      </c>
    </row>
    <row r="459" spans="1:6" ht="15.75" customHeight="1">
      <c r="A459" s="4" t="s">
        <v>1499</v>
      </c>
      <c r="B459" s="4">
        <v>2022</v>
      </c>
      <c r="C459" s="4" t="s">
        <v>1500</v>
      </c>
      <c r="D459" s="4" t="s">
        <v>1501</v>
      </c>
      <c r="E459" s="4" t="s">
        <v>443</v>
      </c>
      <c r="F459" s="1" t="s">
        <v>508</v>
      </c>
    </row>
    <row r="460" spans="1:6" ht="15.75" customHeight="1">
      <c r="A460" s="4" t="s">
        <v>1502</v>
      </c>
      <c r="B460" s="4">
        <v>1992</v>
      </c>
      <c r="C460" s="4" t="s">
        <v>1503</v>
      </c>
      <c r="D460" s="4" t="s">
        <v>1504</v>
      </c>
      <c r="E460" s="4" t="s">
        <v>443</v>
      </c>
      <c r="F460" s="1" t="s">
        <v>508</v>
      </c>
    </row>
    <row r="461" spans="1:6" ht="15.75" customHeight="1">
      <c r="A461" s="4" t="s">
        <v>1505</v>
      </c>
      <c r="B461" s="4">
        <v>2022</v>
      </c>
      <c r="C461" s="4" t="s">
        <v>1506</v>
      </c>
      <c r="D461" s="4" t="s">
        <v>1507</v>
      </c>
      <c r="E461" s="4" t="s">
        <v>443</v>
      </c>
      <c r="F461" s="1" t="s">
        <v>508</v>
      </c>
    </row>
    <row r="462" spans="1:6" ht="15.75" customHeight="1">
      <c r="A462" s="4" t="s">
        <v>1508</v>
      </c>
      <c r="B462" s="4">
        <v>1998</v>
      </c>
      <c r="C462" s="4" t="s">
        <v>1509</v>
      </c>
      <c r="D462" s="4" t="s">
        <v>1510</v>
      </c>
      <c r="E462" s="4" t="s">
        <v>443</v>
      </c>
      <c r="F462" s="1" t="s">
        <v>508</v>
      </c>
    </row>
    <row r="463" spans="1:6" ht="15.75" customHeight="1">
      <c r="A463" s="4" t="s">
        <v>1511</v>
      </c>
      <c r="B463" s="4">
        <v>2006</v>
      </c>
      <c r="C463" s="4" t="s">
        <v>1512</v>
      </c>
      <c r="D463" s="4" t="s">
        <v>1513</v>
      </c>
      <c r="E463" s="4" t="s">
        <v>443</v>
      </c>
      <c r="F463" s="1" t="s">
        <v>508</v>
      </c>
    </row>
    <row r="464" spans="1:6" ht="15.75" customHeight="1">
      <c r="A464" s="4" t="s">
        <v>1514</v>
      </c>
      <c r="B464" s="4">
        <v>2019</v>
      </c>
      <c r="C464" s="4" t="s">
        <v>1515</v>
      </c>
      <c r="D464" s="4" t="s">
        <v>1516</v>
      </c>
      <c r="E464" s="4" t="s">
        <v>443</v>
      </c>
      <c r="F464" s="1" t="s">
        <v>508</v>
      </c>
    </row>
    <row r="465" spans="1:6" ht="15.75" customHeight="1">
      <c r="A465" s="4" t="s">
        <v>1517</v>
      </c>
      <c r="B465" s="4">
        <v>2012</v>
      </c>
      <c r="C465" s="4" t="s">
        <v>1518</v>
      </c>
      <c r="D465" s="4" t="s">
        <v>1519</v>
      </c>
      <c r="E465" s="4" t="s">
        <v>443</v>
      </c>
      <c r="F465" s="1" t="s">
        <v>508</v>
      </c>
    </row>
    <row r="466" spans="1:6" ht="15.75" customHeight="1">
      <c r="A466" s="4" t="s">
        <v>1520</v>
      </c>
      <c r="B466" s="4">
        <v>2004</v>
      </c>
      <c r="C466" s="4" t="s">
        <v>1521</v>
      </c>
      <c r="D466" s="4" t="s">
        <v>1522</v>
      </c>
      <c r="E466" s="4" t="s">
        <v>443</v>
      </c>
      <c r="F466" s="1" t="s">
        <v>508</v>
      </c>
    </row>
    <row r="467" spans="1:6" ht="15.75" customHeight="1">
      <c r="A467" s="4" t="s">
        <v>513</v>
      </c>
      <c r="B467" s="4">
        <v>1995</v>
      </c>
      <c r="D467" s="4" t="s">
        <v>1523</v>
      </c>
      <c r="E467" s="4" t="s">
        <v>443</v>
      </c>
      <c r="F467" s="1" t="s">
        <v>508</v>
      </c>
    </row>
    <row r="468" spans="1:6" ht="15.75" customHeight="1">
      <c r="A468" s="4" t="s">
        <v>513</v>
      </c>
      <c r="B468" s="4">
        <v>1995</v>
      </c>
      <c r="D468" s="4" t="s">
        <v>1524</v>
      </c>
      <c r="E468" s="4" t="s">
        <v>443</v>
      </c>
      <c r="F468" s="1" t="s">
        <v>508</v>
      </c>
    </row>
    <row r="469" spans="1:6" ht="15.75" customHeight="1">
      <c r="A469" s="4" t="s">
        <v>513</v>
      </c>
      <c r="B469" s="4">
        <v>2000</v>
      </c>
      <c r="D469" s="4" t="s">
        <v>1525</v>
      </c>
      <c r="E469" s="4" t="s">
        <v>443</v>
      </c>
      <c r="F469" s="1" t="s">
        <v>508</v>
      </c>
    </row>
    <row r="470" spans="1:6" ht="15.75" customHeight="1">
      <c r="A470" s="4" t="s">
        <v>513</v>
      </c>
      <c r="B470" s="4">
        <v>1996</v>
      </c>
      <c r="C470" s="4" t="s">
        <v>1526</v>
      </c>
      <c r="D470" s="4" t="s">
        <v>1527</v>
      </c>
      <c r="E470" s="4" t="s">
        <v>443</v>
      </c>
      <c r="F470" s="1" t="s">
        <v>508</v>
      </c>
    </row>
    <row r="471" spans="1:6" ht="15.75" customHeight="1">
      <c r="A471" s="4" t="s">
        <v>513</v>
      </c>
      <c r="B471" s="4">
        <v>1991</v>
      </c>
      <c r="C471" s="4" t="s">
        <v>1528</v>
      </c>
      <c r="D471" s="4" t="s">
        <v>1529</v>
      </c>
      <c r="E471" s="4" t="s">
        <v>443</v>
      </c>
      <c r="F471" s="1" t="s">
        <v>508</v>
      </c>
    </row>
    <row r="472" spans="1:6" ht="15.75" customHeight="1">
      <c r="A472" s="4" t="s">
        <v>1530</v>
      </c>
      <c r="B472" s="4">
        <v>2001</v>
      </c>
      <c r="C472" s="4" t="s">
        <v>1531</v>
      </c>
      <c r="D472" s="4" t="s">
        <v>1532</v>
      </c>
      <c r="E472" s="4" t="s">
        <v>443</v>
      </c>
      <c r="F472" s="1" t="s">
        <v>508</v>
      </c>
    </row>
    <row r="473" spans="1:6" ht="15.75" customHeight="1">
      <c r="A473" s="4" t="s">
        <v>1533</v>
      </c>
      <c r="B473" s="4">
        <v>2007</v>
      </c>
      <c r="D473" s="4" t="s">
        <v>1534</v>
      </c>
      <c r="E473" s="4" t="s">
        <v>443</v>
      </c>
      <c r="F473" s="1" t="s">
        <v>508</v>
      </c>
    </row>
    <row r="474" spans="1:6" ht="15.75" customHeight="1">
      <c r="A474" s="4" t="s">
        <v>1533</v>
      </c>
      <c r="B474" s="4">
        <v>2017</v>
      </c>
      <c r="C474" s="4" t="s">
        <v>1535</v>
      </c>
      <c r="D474" s="4" t="s">
        <v>1536</v>
      </c>
      <c r="E474" s="4" t="s">
        <v>443</v>
      </c>
      <c r="F474" s="1" t="s">
        <v>508</v>
      </c>
    </row>
    <row r="475" spans="1:6" ht="15.75" customHeight="1">
      <c r="A475" s="4" t="s">
        <v>1533</v>
      </c>
      <c r="B475" s="4">
        <v>2012</v>
      </c>
      <c r="C475" s="4" t="s">
        <v>1537</v>
      </c>
      <c r="D475" s="4" t="s">
        <v>1538</v>
      </c>
      <c r="E475" s="4" t="s">
        <v>443</v>
      </c>
      <c r="F475" s="1" t="s">
        <v>508</v>
      </c>
    </row>
    <row r="476" spans="1:6" ht="15.75" customHeight="1">
      <c r="A476" s="4" t="s">
        <v>1533</v>
      </c>
      <c r="B476" s="4">
        <v>2019</v>
      </c>
      <c r="C476" s="4" t="s">
        <v>1539</v>
      </c>
      <c r="D476" s="4" t="s">
        <v>1540</v>
      </c>
      <c r="E476" s="4" t="s">
        <v>443</v>
      </c>
      <c r="F476" s="1" t="s">
        <v>508</v>
      </c>
    </row>
    <row r="477" spans="1:6" ht="15.75" customHeight="1">
      <c r="A477" s="4" t="s">
        <v>1533</v>
      </c>
      <c r="B477" s="4">
        <v>2017</v>
      </c>
      <c r="C477" s="4" t="s">
        <v>1541</v>
      </c>
      <c r="D477" s="4" t="s">
        <v>1542</v>
      </c>
      <c r="E477" s="4" t="s">
        <v>443</v>
      </c>
      <c r="F477" s="1" t="s">
        <v>508</v>
      </c>
    </row>
    <row r="478" spans="1:6" ht="15.75" customHeight="1">
      <c r="A478" s="4" t="s">
        <v>1543</v>
      </c>
      <c r="B478" s="4">
        <v>1993</v>
      </c>
      <c r="C478" s="4" t="s">
        <v>1544</v>
      </c>
      <c r="D478" s="4" t="s">
        <v>1545</v>
      </c>
      <c r="E478" s="4" t="s">
        <v>443</v>
      </c>
      <c r="F478" s="1" t="s">
        <v>508</v>
      </c>
    </row>
    <row r="479" spans="1:6" ht="15.75" customHeight="1">
      <c r="A479" s="4" t="s">
        <v>1543</v>
      </c>
      <c r="B479" s="4">
        <v>2010</v>
      </c>
      <c r="C479" s="4" t="s">
        <v>1546</v>
      </c>
      <c r="D479" s="4" t="s">
        <v>1547</v>
      </c>
      <c r="E479" s="4" t="s">
        <v>443</v>
      </c>
      <c r="F479" s="1" t="s">
        <v>508</v>
      </c>
    </row>
    <row r="480" spans="1:6" ht="15.75" customHeight="1">
      <c r="A480" s="4" t="s">
        <v>1543</v>
      </c>
      <c r="B480" s="4">
        <v>2007</v>
      </c>
      <c r="C480" s="4" t="s">
        <v>1548</v>
      </c>
      <c r="D480" s="4" t="s">
        <v>1549</v>
      </c>
      <c r="E480" s="4" t="s">
        <v>443</v>
      </c>
      <c r="F480" s="1" t="s">
        <v>508</v>
      </c>
    </row>
    <row r="481" spans="1:6" ht="15.75" customHeight="1">
      <c r="A481" s="4" t="s">
        <v>1543</v>
      </c>
      <c r="B481" s="4">
        <v>2008</v>
      </c>
      <c r="C481" s="4" t="s">
        <v>1550</v>
      </c>
      <c r="D481" s="4" t="s">
        <v>1551</v>
      </c>
      <c r="E481" s="4" t="s">
        <v>443</v>
      </c>
      <c r="F481" s="1" t="s">
        <v>508</v>
      </c>
    </row>
    <row r="482" spans="1:6" ht="15.75" customHeight="1">
      <c r="A482" s="4" t="s">
        <v>1543</v>
      </c>
      <c r="B482" s="4">
        <v>2001</v>
      </c>
      <c r="C482" s="4" t="s">
        <v>1552</v>
      </c>
      <c r="D482" s="4" t="s">
        <v>1553</v>
      </c>
      <c r="E482" s="4" t="s">
        <v>443</v>
      </c>
      <c r="F482" s="1" t="s">
        <v>508</v>
      </c>
    </row>
    <row r="483" spans="1:6" ht="15.75" customHeight="1">
      <c r="A483" s="4" t="s">
        <v>1543</v>
      </c>
      <c r="B483" s="4">
        <v>2014</v>
      </c>
      <c r="C483" s="4" t="s">
        <v>1554</v>
      </c>
      <c r="D483" s="4" t="s">
        <v>1555</v>
      </c>
      <c r="E483" s="4" t="s">
        <v>443</v>
      </c>
      <c r="F483" s="1" t="s">
        <v>508</v>
      </c>
    </row>
    <row r="484" spans="1:6" ht="15.75" customHeight="1">
      <c r="A484" s="4" t="s">
        <v>1556</v>
      </c>
      <c r="B484" s="4">
        <v>2005</v>
      </c>
      <c r="C484" s="4" t="s">
        <v>1557</v>
      </c>
      <c r="D484" s="4" t="s">
        <v>1558</v>
      </c>
      <c r="E484" s="4" t="s">
        <v>443</v>
      </c>
      <c r="F484" s="1" t="s">
        <v>508</v>
      </c>
    </row>
    <row r="485" spans="1:6" ht="15.75" customHeight="1">
      <c r="A485" s="4" t="s">
        <v>1559</v>
      </c>
      <c r="B485" s="4">
        <v>2013</v>
      </c>
      <c r="C485" s="4" t="s">
        <v>1560</v>
      </c>
      <c r="D485" s="4" t="s">
        <v>1561</v>
      </c>
      <c r="E485" s="4" t="s">
        <v>443</v>
      </c>
      <c r="F485" s="1" t="s">
        <v>508</v>
      </c>
    </row>
    <row r="486" spans="1:6" ht="15.75" customHeight="1">
      <c r="A486" s="4" t="s">
        <v>1562</v>
      </c>
      <c r="B486" s="4">
        <v>2008</v>
      </c>
      <c r="C486" s="4" t="s">
        <v>1563</v>
      </c>
      <c r="D486" s="4" t="s">
        <v>1564</v>
      </c>
      <c r="E486" s="4" t="s">
        <v>443</v>
      </c>
      <c r="F486" s="1" t="s">
        <v>508</v>
      </c>
    </row>
    <row r="487" spans="1:6" ht="15.75" customHeight="1">
      <c r="A487" s="4" t="s">
        <v>1565</v>
      </c>
      <c r="B487" s="4">
        <v>1991</v>
      </c>
      <c r="D487" s="4" t="s">
        <v>1566</v>
      </c>
      <c r="E487" s="4" t="s">
        <v>443</v>
      </c>
      <c r="F487" s="1" t="s">
        <v>508</v>
      </c>
    </row>
    <row r="488" spans="1:6" ht="15.75" customHeight="1">
      <c r="A488" s="4" t="s">
        <v>1567</v>
      </c>
      <c r="B488" s="4">
        <v>2023</v>
      </c>
      <c r="C488" s="4" t="s">
        <v>1568</v>
      </c>
      <c r="D488" s="4" t="s">
        <v>1569</v>
      </c>
      <c r="E488" s="4" t="s">
        <v>443</v>
      </c>
      <c r="F488" s="1" t="s">
        <v>508</v>
      </c>
    </row>
    <row r="489" spans="1:6" ht="15.75" customHeight="1">
      <c r="A489" s="4" t="s">
        <v>1570</v>
      </c>
      <c r="B489" s="4">
        <v>1996</v>
      </c>
      <c r="C489" s="4" t="s">
        <v>1571</v>
      </c>
      <c r="D489" s="4" t="s">
        <v>1572</v>
      </c>
      <c r="E489" s="4" t="s">
        <v>443</v>
      </c>
      <c r="F489" s="1" t="s">
        <v>508</v>
      </c>
    </row>
    <row r="490" spans="1:6" ht="15.75" customHeight="1">
      <c r="A490" s="4" t="s">
        <v>1570</v>
      </c>
      <c r="B490" s="4">
        <v>1997</v>
      </c>
      <c r="D490" s="4" t="s">
        <v>1573</v>
      </c>
      <c r="E490" s="4" t="s">
        <v>443</v>
      </c>
      <c r="F490" s="1" t="s">
        <v>508</v>
      </c>
    </row>
    <row r="491" spans="1:6" ht="15.75" customHeight="1">
      <c r="A491" s="4" t="s">
        <v>1570</v>
      </c>
      <c r="B491" s="4">
        <v>1992</v>
      </c>
      <c r="D491" s="4" t="s">
        <v>1574</v>
      </c>
      <c r="E491" s="4" t="s">
        <v>443</v>
      </c>
      <c r="F491" s="1" t="s">
        <v>508</v>
      </c>
    </row>
    <row r="492" spans="1:6" ht="15.75" customHeight="1">
      <c r="A492" s="4" t="s">
        <v>1570</v>
      </c>
      <c r="B492" s="4">
        <v>1996</v>
      </c>
      <c r="D492" s="4" t="s">
        <v>1575</v>
      </c>
      <c r="E492" s="4" t="s">
        <v>443</v>
      </c>
      <c r="F492" s="1" t="s">
        <v>508</v>
      </c>
    </row>
    <row r="493" spans="1:6" ht="15.75" customHeight="1">
      <c r="A493" s="4" t="s">
        <v>1570</v>
      </c>
      <c r="B493" s="4">
        <v>2006</v>
      </c>
      <c r="C493" s="4" t="s">
        <v>1576</v>
      </c>
      <c r="D493" s="4" t="s">
        <v>1577</v>
      </c>
      <c r="E493" s="4" t="s">
        <v>443</v>
      </c>
      <c r="F493" s="1" t="s">
        <v>508</v>
      </c>
    </row>
    <row r="494" spans="1:6" ht="15.75" customHeight="1">
      <c r="A494" s="4" t="s">
        <v>1578</v>
      </c>
      <c r="B494" s="4">
        <v>2006</v>
      </c>
      <c r="C494" s="4" t="s">
        <v>1579</v>
      </c>
      <c r="D494" s="4" t="s">
        <v>1580</v>
      </c>
      <c r="E494" s="4" t="s">
        <v>443</v>
      </c>
      <c r="F494" s="1" t="s">
        <v>508</v>
      </c>
    </row>
    <row r="495" spans="1:6" ht="15.75" customHeight="1">
      <c r="A495" s="4" t="s">
        <v>1581</v>
      </c>
      <c r="B495" s="4">
        <v>2008</v>
      </c>
      <c r="C495" s="4" t="s">
        <v>1582</v>
      </c>
      <c r="D495" s="4" t="s">
        <v>1583</v>
      </c>
      <c r="E495" s="4" t="s">
        <v>443</v>
      </c>
      <c r="F495" s="1" t="s">
        <v>508</v>
      </c>
    </row>
    <row r="496" spans="1:6" ht="15.75" customHeight="1">
      <c r="A496" s="4" t="s">
        <v>1584</v>
      </c>
      <c r="B496" s="4">
        <v>2022</v>
      </c>
      <c r="C496" s="4" t="s">
        <v>1585</v>
      </c>
      <c r="D496" s="4" t="s">
        <v>1586</v>
      </c>
      <c r="E496" s="4" t="s">
        <v>443</v>
      </c>
      <c r="F496" s="1" t="s">
        <v>508</v>
      </c>
    </row>
    <row r="497" spans="1:6" ht="15.75" customHeight="1">
      <c r="A497" s="4" t="s">
        <v>1587</v>
      </c>
      <c r="B497" s="4">
        <v>1991</v>
      </c>
      <c r="C497" s="4" t="s">
        <v>1588</v>
      </c>
      <c r="D497" s="4" t="s">
        <v>1589</v>
      </c>
      <c r="E497" s="4" t="s">
        <v>443</v>
      </c>
      <c r="F497" s="1" t="s">
        <v>508</v>
      </c>
    </row>
    <row r="498" spans="1:6" ht="15.75" customHeight="1">
      <c r="A498" s="4" t="s">
        <v>1590</v>
      </c>
      <c r="B498" s="4">
        <v>1998</v>
      </c>
      <c r="C498" s="4" t="s">
        <v>1591</v>
      </c>
      <c r="D498" s="4" t="s">
        <v>1592</v>
      </c>
      <c r="E498" s="4" t="s">
        <v>443</v>
      </c>
      <c r="F498" s="1" t="s">
        <v>508</v>
      </c>
    </row>
    <row r="499" spans="1:6" ht="15.75" customHeight="1">
      <c r="A499" s="4" t="s">
        <v>1593</v>
      </c>
      <c r="B499" s="4">
        <v>2021</v>
      </c>
      <c r="C499" s="4" t="s">
        <v>1594</v>
      </c>
      <c r="D499" s="4" t="s">
        <v>1595</v>
      </c>
      <c r="E499" s="4" t="s">
        <v>443</v>
      </c>
      <c r="F499" s="1" t="s">
        <v>508</v>
      </c>
    </row>
    <row r="500" spans="1:6" ht="15.75" customHeight="1">
      <c r="A500" s="4" t="s">
        <v>524</v>
      </c>
      <c r="B500" s="4">
        <v>2009</v>
      </c>
      <c r="C500" s="4" t="s">
        <v>1596</v>
      </c>
      <c r="D500" s="4" t="s">
        <v>1597</v>
      </c>
      <c r="E500" s="4" t="s">
        <v>443</v>
      </c>
      <c r="F500" s="1" t="s">
        <v>508</v>
      </c>
    </row>
    <row r="501" spans="1:6" ht="15.75" customHeight="1">
      <c r="A501" s="4" t="s">
        <v>524</v>
      </c>
      <c r="B501" s="4">
        <v>2001</v>
      </c>
      <c r="C501" s="4" t="s">
        <v>1598</v>
      </c>
      <c r="D501" s="4" t="s">
        <v>1599</v>
      </c>
      <c r="E501" s="4" t="s">
        <v>443</v>
      </c>
      <c r="F501" s="1" t="s">
        <v>508</v>
      </c>
    </row>
    <row r="502" spans="1:6" ht="15.75" customHeight="1">
      <c r="A502" s="4" t="s">
        <v>1600</v>
      </c>
      <c r="B502" s="4">
        <v>2016</v>
      </c>
      <c r="C502" s="4" t="s">
        <v>1601</v>
      </c>
      <c r="D502" s="4" t="s">
        <v>1602</v>
      </c>
      <c r="E502" s="4" t="s">
        <v>443</v>
      </c>
      <c r="F502" s="1" t="s">
        <v>508</v>
      </c>
    </row>
    <row r="503" spans="1:6" ht="15.75" customHeight="1">
      <c r="A503" s="4" t="s">
        <v>1603</v>
      </c>
      <c r="B503" s="4">
        <v>2010</v>
      </c>
      <c r="C503" s="4" t="s">
        <v>1604</v>
      </c>
      <c r="D503" s="4" t="s">
        <v>1605</v>
      </c>
      <c r="E503" s="4" t="s">
        <v>443</v>
      </c>
      <c r="F503" s="1" t="s">
        <v>508</v>
      </c>
    </row>
    <row r="504" spans="1:6" ht="15.75" customHeight="1">
      <c r="A504" s="4" t="s">
        <v>1606</v>
      </c>
      <c r="B504" s="4">
        <v>2008</v>
      </c>
      <c r="C504" s="4" t="s">
        <v>1607</v>
      </c>
      <c r="D504" s="4" t="s">
        <v>1608</v>
      </c>
      <c r="E504" s="4" t="s">
        <v>443</v>
      </c>
      <c r="F504" s="1" t="s">
        <v>508</v>
      </c>
    </row>
    <row r="505" spans="1:6" ht="15.75" customHeight="1">
      <c r="A505" s="4" t="s">
        <v>1609</v>
      </c>
      <c r="B505" s="4">
        <v>1991</v>
      </c>
      <c r="D505" s="4" t="s">
        <v>1610</v>
      </c>
      <c r="E505" s="4" t="s">
        <v>443</v>
      </c>
      <c r="F505" s="1" t="s">
        <v>508</v>
      </c>
    </row>
    <row r="506" spans="1:6" ht="15.75" customHeight="1">
      <c r="A506" s="4" t="s">
        <v>1611</v>
      </c>
      <c r="B506" s="4">
        <v>2006</v>
      </c>
      <c r="C506" s="4" t="s">
        <v>1612</v>
      </c>
      <c r="D506" s="4" t="s">
        <v>1613</v>
      </c>
      <c r="E506" s="4" t="s">
        <v>443</v>
      </c>
      <c r="F506" s="1" t="s">
        <v>508</v>
      </c>
    </row>
    <row r="507" spans="1:6" ht="15.75" customHeight="1">
      <c r="A507" s="4" t="s">
        <v>1614</v>
      </c>
      <c r="B507" s="4">
        <v>2012</v>
      </c>
      <c r="C507" s="4" t="s">
        <v>1615</v>
      </c>
      <c r="D507" s="4" t="s">
        <v>1616</v>
      </c>
      <c r="E507" s="4" t="s">
        <v>443</v>
      </c>
      <c r="F507" s="1" t="s">
        <v>508</v>
      </c>
    </row>
    <row r="508" spans="1:6" ht="15.75" customHeight="1">
      <c r="A508" s="4" t="s">
        <v>200</v>
      </c>
      <c r="B508" s="4">
        <v>2013</v>
      </c>
      <c r="C508" s="4" t="s">
        <v>1617</v>
      </c>
      <c r="D508" s="4" t="s">
        <v>1618</v>
      </c>
      <c r="E508" s="4" t="s">
        <v>443</v>
      </c>
      <c r="F508" s="1" t="s">
        <v>508</v>
      </c>
    </row>
    <row r="509" spans="1:6" ht="15.75" customHeight="1">
      <c r="A509" s="4" t="s">
        <v>1619</v>
      </c>
      <c r="B509" s="4">
        <v>2008</v>
      </c>
      <c r="C509" s="4" t="s">
        <v>1620</v>
      </c>
      <c r="D509" s="4" t="s">
        <v>1621</v>
      </c>
      <c r="E509" s="4" t="s">
        <v>443</v>
      </c>
      <c r="F509" s="1" t="s">
        <v>508</v>
      </c>
    </row>
    <row r="510" spans="1:6" ht="15.75" customHeight="1">
      <c r="A510" s="4" t="s">
        <v>1622</v>
      </c>
      <c r="B510" s="4">
        <v>2012</v>
      </c>
      <c r="C510" s="4" t="s">
        <v>1623</v>
      </c>
      <c r="D510" s="4" t="s">
        <v>1624</v>
      </c>
      <c r="E510" s="4" t="s">
        <v>443</v>
      </c>
      <c r="F510" s="1" t="s">
        <v>508</v>
      </c>
    </row>
    <row r="511" spans="1:6" ht="15.75" customHeight="1">
      <c r="A511" s="4" t="s">
        <v>1625</v>
      </c>
      <c r="B511" s="4">
        <v>2004</v>
      </c>
      <c r="D511" s="4" t="s">
        <v>1626</v>
      </c>
      <c r="E511" s="4" t="s">
        <v>443</v>
      </c>
      <c r="F511" s="1" t="s">
        <v>1047</v>
      </c>
    </row>
    <row r="512" spans="1:6" ht="15.75" customHeight="1">
      <c r="A512" s="4" t="s">
        <v>1627</v>
      </c>
      <c r="B512" s="4">
        <v>2002</v>
      </c>
      <c r="C512" s="4" t="s">
        <v>1628</v>
      </c>
      <c r="D512" s="4" t="s">
        <v>1629</v>
      </c>
      <c r="E512" s="4" t="s">
        <v>443</v>
      </c>
      <c r="F512" s="1" t="s">
        <v>1047</v>
      </c>
    </row>
    <row r="513" spans="1:6" ht="15.75" customHeight="1">
      <c r="A513" s="4" t="s">
        <v>1630</v>
      </c>
      <c r="B513" s="4">
        <v>2002</v>
      </c>
      <c r="C513" s="4" t="s">
        <v>1631</v>
      </c>
      <c r="D513" s="4" t="s">
        <v>1632</v>
      </c>
      <c r="E513" s="4" t="s">
        <v>443</v>
      </c>
      <c r="F513" s="1" t="s">
        <v>508</v>
      </c>
    </row>
    <row r="514" spans="1:6" ht="15.75" customHeight="1">
      <c r="A514" s="4" t="s">
        <v>1633</v>
      </c>
      <c r="B514" s="4">
        <v>2005</v>
      </c>
      <c r="C514" s="4" t="s">
        <v>1634</v>
      </c>
      <c r="D514" s="4" t="s">
        <v>1635</v>
      </c>
      <c r="E514" s="4" t="s">
        <v>443</v>
      </c>
      <c r="F514" s="1" t="s">
        <v>508</v>
      </c>
    </row>
    <row r="515" spans="1:6" ht="15.75" customHeight="1">
      <c r="A515" s="4" t="s">
        <v>1636</v>
      </c>
      <c r="B515" s="4">
        <v>2014</v>
      </c>
      <c r="C515" s="4" t="s">
        <v>1637</v>
      </c>
      <c r="D515" s="4" t="s">
        <v>1638</v>
      </c>
      <c r="E515" s="4" t="s">
        <v>443</v>
      </c>
      <c r="F515" s="1" t="s">
        <v>508</v>
      </c>
    </row>
    <row r="516" spans="1:6" ht="15.75" customHeight="1">
      <c r="A516" s="4" t="s">
        <v>1639</v>
      </c>
      <c r="B516" s="4">
        <v>1990</v>
      </c>
      <c r="C516" s="4" t="s">
        <v>1640</v>
      </c>
      <c r="D516" s="4" t="s">
        <v>1641</v>
      </c>
      <c r="E516" s="4" t="s">
        <v>443</v>
      </c>
      <c r="F516" s="1" t="s">
        <v>508</v>
      </c>
    </row>
    <row r="517" spans="1:6" ht="15.75" customHeight="1">
      <c r="A517" s="4" t="s">
        <v>1642</v>
      </c>
      <c r="B517" s="4">
        <v>2005</v>
      </c>
      <c r="C517" s="4" t="s">
        <v>1643</v>
      </c>
      <c r="D517" s="4" t="s">
        <v>1644</v>
      </c>
      <c r="E517" s="4" t="s">
        <v>443</v>
      </c>
      <c r="F517" s="1" t="s">
        <v>508</v>
      </c>
    </row>
    <row r="518" spans="1:6" ht="15.75" customHeight="1">
      <c r="A518" s="4" t="s">
        <v>1645</v>
      </c>
      <c r="B518" s="4">
        <v>2018</v>
      </c>
      <c r="C518" s="4" t="s">
        <v>1646</v>
      </c>
      <c r="D518" s="4" t="s">
        <v>1647</v>
      </c>
      <c r="E518" s="4" t="s">
        <v>443</v>
      </c>
      <c r="F518" s="1" t="s">
        <v>508</v>
      </c>
    </row>
    <row r="519" spans="1:6" ht="15.75" customHeight="1">
      <c r="A519" s="4" t="s">
        <v>1648</v>
      </c>
      <c r="B519" s="4">
        <v>1999</v>
      </c>
      <c r="D519" s="4" t="s">
        <v>1649</v>
      </c>
      <c r="E519" s="4" t="s">
        <v>443</v>
      </c>
      <c r="F519" s="1" t="s">
        <v>508</v>
      </c>
    </row>
    <row r="520" spans="1:6" ht="15.75" customHeight="1">
      <c r="A520" s="4" t="s">
        <v>1648</v>
      </c>
      <c r="B520" s="4">
        <v>1998</v>
      </c>
      <c r="D520" s="4" t="s">
        <v>1650</v>
      </c>
      <c r="E520" s="4" t="s">
        <v>443</v>
      </c>
      <c r="F520" s="1" t="s">
        <v>508</v>
      </c>
    </row>
    <row r="521" spans="1:6" ht="15.75" customHeight="1">
      <c r="A521" s="4" t="s">
        <v>1651</v>
      </c>
      <c r="B521" s="4">
        <v>1995</v>
      </c>
      <c r="C521" s="4" t="s">
        <v>1652</v>
      </c>
      <c r="D521" s="4" t="s">
        <v>1653</v>
      </c>
      <c r="E521" s="4" t="s">
        <v>443</v>
      </c>
      <c r="F521" s="1" t="s">
        <v>508</v>
      </c>
    </row>
    <row r="522" spans="1:6" ht="15.75" customHeight="1">
      <c r="A522" s="4" t="s">
        <v>1654</v>
      </c>
      <c r="B522" s="4">
        <v>2002</v>
      </c>
      <c r="C522" s="4" t="s">
        <v>1655</v>
      </c>
      <c r="D522" s="4" t="s">
        <v>1656</v>
      </c>
      <c r="E522" s="4" t="s">
        <v>443</v>
      </c>
      <c r="F522" s="1" t="s">
        <v>508</v>
      </c>
    </row>
    <row r="523" spans="1:6" ht="15.75" customHeight="1">
      <c r="A523" s="4" t="s">
        <v>1654</v>
      </c>
      <c r="B523" s="4">
        <v>1992</v>
      </c>
      <c r="C523" s="4" t="s">
        <v>1657</v>
      </c>
      <c r="D523" s="4" t="s">
        <v>1658</v>
      </c>
      <c r="E523" s="4" t="s">
        <v>443</v>
      </c>
      <c r="F523" s="1" t="s">
        <v>508</v>
      </c>
    </row>
    <row r="524" spans="1:6" ht="15.75" customHeight="1">
      <c r="A524" s="4" t="s">
        <v>1654</v>
      </c>
      <c r="B524" s="4">
        <v>1996</v>
      </c>
      <c r="C524" s="4" t="s">
        <v>1659</v>
      </c>
      <c r="D524" s="4" t="s">
        <v>1660</v>
      </c>
      <c r="E524" s="4" t="s">
        <v>443</v>
      </c>
      <c r="F524" s="1" t="s">
        <v>508</v>
      </c>
    </row>
    <row r="525" spans="1:6" ht="15.75" customHeight="1">
      <c r="A525" s="4" t="s">
        <v>1661</v>
      </c>
      <c r="B525" s="4">
        <v>2006</v>
      </c>
      <c r="C525" s="4" t="s">
        <v>1662</v>
      </c>
      <c r="D525" s="4" t="s">
        <v>1663</v>
      </c>
      <c r="E525" s="4" t="s">
        <v>443</v>
      </c>
      <c r="F525" s="1" t="s">
        <v>1047</v>
      </c>
    </row>
    <row r="526" spans="1:6" ht="15.75" customHeight="1">
      <c r="A526" s="4" t="s">
        <v>1664</v>
      </c>
      <c r="B526" s="4">
        <v>2000</v>
      </c>
      <c r="C526" s="4" t="s">
        <v>1665</v>
      </c>
      <c r="D526" s="4" t="s">
        <v>1666</v>
      </c>
      <c r="E526" s="4" t="s">
        <v>443</v>
      </c>
      <c r="F526" s="1" t="s">
        <v>508</v>
      </c>
    </row>
    <row r="527" spans="1:6" ht="15.75" customHeight="1">
      <c r="A527" s="4" t="s">
        <v>1664</v>
      </c>
      <c r="B527" s="4">
        <v>2016</v>
      </c>
      <c r="C527" s="4" t="s">
        <v>1667</v>
      </c>
      <c r="D527" s="4" t="s">
        <v>1668</v>
      </c>
      <c r="E527" s="4" t="s">
        <v>443</v>
      </c>
      <c r="F527" s="1" t="s">
        <v>508</v>
      </c>
    </row>
    <row r="528" spans="1:6" ht="15.75" customHeight="1">
      <c r="A528" s="4" t="s">
        <v>1664</v>
      </c>
      <c r="B528" s="4">
        <v>2002</v>
      </c>
      <c r="C528" s="4" t="s">
        <v>1669</v>
      </c>
      <c r="D528" s="4" t="s">
        <v>1670</v>
      </c>
      <c r="E528" s="4" t="s">
        <v>443</v>
      </c>
      <c r="F528" s="1" t="s">
        <v>508</v>
      </c>
    </row>
    <row r="529" spans="1:6" ht="15.75" customHeight="1">
      <c r="A529" s="4" t="s">
        <v>1664</v>
      </c>
      <c r="B529" s="4">
        <v>2006</v>
      </c>
      <c r="C529" s="4" t="s">
        <v>1671</v>
      </c>
      <c r="D529" s="4" t="s">
        <v>1672</v>
      </c>
      <c r="E529" s="4" t="s">
        <v>443</v>
      </c>
      <c r="F529" s="1" t="s">
        <v>508</v>
      </c>
    </row>
    <row r="530" spans="1:6" ht="15.75" customHeight="1">
      <c r="A530" s="4" t="s">
        <v>1664</v>
      </c>
      <c r="B530" s="4">
        <v>2003</v>
      </c>
      <c r="C530" s="4" t="s">
        <v>1673</v>
      </c>
      <c r="D530" s="4" t="s">
        <v>1674</v>
      </c>
      <c r="E530" s="4" t="s">
        <v>443</v>
      </c>
      <c r="F530" s="1" t="s">
        <v>508</v>
      </c>
    </row>
    <row r="531" spans="1:6" ht="15.75" customHeight="1">
      <c r="A531" s="4" t="s">
        <v>1664</v>
      </c>
      <c r="B531" s="4">
        <v>2008</v>
      </c>
      <c r="D531" s="4" t="s">
        <v>1675</v>
      </c>
      <c r="E531" s="4" t="s">
        <v>443</v>
      </c>
      <c r="F531" s="1" t="s">
        <v>508</v>
      </c>
    </row>
    <row r="532" spans="1:6" ht="15.75" customHeight="1">
      <c r="A532" s="4" t="s">
        <v>1664</v>
      </c>
      <c r="B532" s="4">
        <v>2003</v>
      </c>
      <c r="C532" s="4" t="s">
        <v>1676</v>
      </c>
      <c r="D532" s="4" t="s">
        <v>1677</v>
      </c>
      <c r="E532" s="4" t="s">
        <v>443</v>
      </c>
      <c r="F532" s="1" t="s">
        <v>508</v>
      </c>
    </row>
    <row r="533" spans="1:6" ht="15.75" customHeight="1">
      <c r="A533" s="4" t="s">
        <v>1678</v>
      </c>
      <c r="B533" s="4">
        <v>2013</v>
      </c>
      <c r="C533" s="4" t="s">
        <v>1679</v>
      </c>
      <c r="D533" s="4" t="s">
        <v>1680</v>
      </c>
      <c r="E533" s="4" t="s">
        <v>443</v>
      </c>
      <c r="F533" s="1" t="s">
        <v>508</v>
      </c>
    </row>
    <row r="534" spans="1:6" ht="15.75" customHeight="1">
      <c r="A534" s="4" t="s">
        <v>1681</v>
      </c>
      <c r="B534" s="4">
        <v>2013</v>
      </c>
      <c r="C534" s="4" t="s">
        <v>1682</v>
      </c>
      <c r="D534" s="4" t="s">
        <v>1683</v>
      </c>
      <c r="E534" s="4" t="s">
        <v>443</v>
      </c>
      <c r="F534" s="1" t="s">
        <v>508</v>
      </c>
    </row>
    <row r="535" spans="1:6" ht="15.75" customHeight="1">
      <c r="A535" s="4" t="s">
        <v>1684</v>
      </c>
      <c r="B535" s="4">
        <v>1995</v>
      </c>
      <c r="C535" s="4" t="s">
        <v>1685</v>
      </c>
      <c r="D535" s="4" t="s">
        <v>1686</v>
      </c>
      <c r="E535" s="4" t="s">
        <v>443</v>
      </c>
      <c r="F535" s="1" t="s">
        <v>508</v>
      </c>
    </row>
    <row r="536" spans="1:6" ht="15.75" customHeight="1">
      <c r="A536" s="4" t="s">
        <v>1687</v>
      </c>
      <c r="B536" s="4">
        <v>1998</v>
      </c>
      <c r="C536" s="4" t="s">
        <v>1688</v>
      </c>
      <c r="D536" s="4" t="s">
        <v>1689</v>
      </c>
      <c r="E536" s="4" t="s">
        <v>443</v>
      </c>
      <c r="F536" s="1" t="s">
        <v>508</v>
      </c>
    </row>
    <row r="537" spans="1:6" ht="15.75" customHeight="1">
      <c r="A537" s="4" t="s">
        <v>1690</v>
      </c>
      <c r="B537" s="4">
        <v>2002</v>
      </c>
      <c r="C537" s="4" t="s">
        <v>1691</v>
      </c>
      <c r="D537" s="4" t="s">
        <v>1692</v>
      </c>
      <c r="E537" s="4" t="s">
        <v>443</v>
      </c>
      <c r="F537" s="1" t="s">
        <v>508</v>
      </c>
    </row>
    <row r="538" spans="1:6" ht="15.75" customHeight="1">
      <c r="A538" s="4" t="s">
        <v>1693</v>
      </c>
      <c r="B538" s="4">
        <v>2005</v>
      </c>
      <c r="C538" s="4" t="s">
        <v>1694</v>
      </c>
      <c r="D538" s="4" t="s">
        <v>1695</v>
      </c>
      <c r="E538" s="4" t="s">
        <v>443</v>
      </c>
      <c r="F538" s="1" t="s">
        <v>508</v>
      </c>
    </row>
    <row r="539" spans="1:6" ht="15.75" customHeight="1">
      <c r="A539" s="4" t="s">
        <v>1693</v>
      </c>
      <c r="B539" s="4">
        <v>2010</v>
      </c>
      <c r="C539" s="4" t="s">
        <v>1696</v>
      </c>
      <c r="D539" s="4" t="s">
        <v>1697</v>
      </c>
      <c r="E539" s="4" t="s">
        <v>443</v>
      </c>
      <c r="F539" s="1" t="s">
        <v>508</v>
      </c>
    </row>
    <row r="540" spans="1:6" ht="15.75" customHeight="1">
      <c r="A540" s="4" t="s">
        <v>1693</v>
      </c>
      <c r="B540" s="4">
        <v>2009</v>
      </c>
      <c r="C540" s="4" t="s">
        <v>1698</v>
      </c>
      <c r="D540" s="4" t="s">
        <v>1699</v>
      </c>
      <c r="E540" s="4" t="s">
        <v>443</v>
      </c>
      <c r="F540" s="1" t="s">
        <v>508</v>
      </c>
    </row>
    <row r="541" spans="1:6" ht="15.75" customHeight="1">
      <c r="A541" s="4" t="s">
        <v>539</v>
      </c>
      <c r="B541" s="4">
        <v>1995</v>
      </c>
      <c r="D541" s="4" t="s">
        <v>1700</v>
      </c>
      <c r="E541" s="4" t="s">
        <v>443</v>
      </c>
      <c r="F541" s="1" t="s">
        <v>508</v>
      </c>
    </row>
    <row r="542" spans="1:6" ht="15.75" customHeight="1">
      <c r="A542" s="4" t="s">
        <v>539</v>
      </c>
      <c r="B542" s="4">
        <v>1993</v>
      </c>
      <c r="C542" s="4" t="s">
        <v>1701</v>
      </c>
      <c r="D542" s="4" t="s">
        <v>1702</v>
      </c>
      <c r="E542" s="4" t="s">
        <v>443</v>
      </c>
      <c r="F542" s="1" t="s">
        <v>508</v>
      </c>
    </row>
    <row r="543" spans="1:6" ht="15.75" customHeight="1">
      <c r="A543" s="4" t="s">
        <v>539</v>
      </c>
      <c r="B543" s="4">
        <v>1999</v>
      </c>
      <c r="C543" s="4" t="s">
        <v>1703</v>
      </c>
      <c r="D543" s="4" t="s">
        <v>1704</v>
      </c>
      <c r="E543" s="4" t="s">
        <v>443</v>
      </c>
      <c r="F543" s="1" t="s">
        <v>508</v>
      </c>
    </row>
    <row r="544" spans="1:6" ht="15.75" customHeight="1">
      <c r="A544" s="4" t="s">
        <v>539</v>
      </c>
      <c r="B544" s="4">
        <v>1994</v>
      </c>
      <c r="C544" s="4" t="s">
        <v>1705</v>
      </c>
      <c r="D544" s="4" t="s">
        <v>1706</v>
      </c>
      <c r="E544" s="4" t="s">
        <v>443</v>
      </c>
      <c r="F544" s="1" t="s">
        <v>508</v>
      </c>
    </row>
    <row r="545" spans="1:6" ht="15.75" customHeight="1">
      <c r="A545" s="4" t="s">
        <v>1707</v>
      </c>
      <c r="B545" s="4">
        <v>1999</v>
      </c>
      <c r="C545" s="4" t="s">
        <v>1708</v>
      </c>
      <c r="D545" s="4" t="s">
        <v>1709</v>
      </c>
      <c r="E545" s="4" t="s">
        <v>443</v>
      </c>
      <c r="F545" s="1" t="s">
        <v>508</v>
      </c>
    </row>
    <row r="546" spans="1:6" ht="15.75" customHeight="1">
      <c r="A546" s="4" t="s">
        <v>1710</v>
      </c>
      <c r="B546" s="4">
        <v>2017</v>
      </c>
      <c r="C546" s="4" t="s">
        <v>1711</v>
      </c>
      <c r="D546" s="4" t="s">
        <v>1712</v>
      </c>
      <c r="E546" s="4" t="s">
        <v>443</v>
      </c>
      <c r="F546" s="1" t="s">
        <v>508</v>
      </c>
    </row>
    <row r="547" spans="1:6" ht="15.75" customHeight="1">
      <c r="A547" s="4" t="s">
        <v>1713</v>
      </c>
      <c r="B547" s="4">
        <v>2020</v>
      </c>
      <c r="C547" s="4" t="s">
        <v>1714</v>
      </c>
      <c r="D547" s="4" t="s">
        <v>1715</v>
      </c>
      <c r="E547" s="4" t="s">
        <v>443</v>
      </c>
      <c r="F547" s="1" t="s">
        <v>508</v>
      </c>
    </row>
    <row r="548" spans="1:6" ht="15.75" customHeight="1">
      <c r="A548" s="4" t="s">
        <v>545</v>
      </c>
      <c r="B548" s="4">
        <v>2011</v>
      </c>
      <c r="D548" s="4" t="s">
        <v>1716</v>
      </c>
      <c r="E548" s="4" t="s">
        <v>443</v>
      </c>
      <c r="F548" s="1" t="s">
        <v>508</v>
      </c>
    </row>
    <row r="549" spans="1:6" ht="15.75" customHeight="1">
      <c r="A549" s="4" t="s">
        <v>545</v>
      </c>
      <c r="B549" s="4">
        <v>2010</v>
      </c>
      <c r="C549" s="4" t="s">
        <v>1717</v>
      </c>
      <c r="D549" s="4" t="s">
        <v>1718</v>
      </c>
      <c r="E549" s="4" t="s">
        <v>443</v>
      </c>
      <c r="F549" s="1" t="s">
        <v>508</v>
      </c>
    </row>
    <row r="550" spans="1:6" ht="15.75" customHeight="1">
      <c r="A550" s="4" t="s">
        <v>545</v>
      </c>
      <c r="B550" s="4">
        <v>2009</v>
      </c>
      <c r="D550" s="4" t="s">
        <v>1719</v>
      </c>
      <c r="E550" s="4" t="s">
        <v>443</v>
      </c>
      <c r="F550" s="1" t="s">
        <v>508</v>
      </c>
    </row>
    <row r="551" spans="1:6" ht="15.75" customHeight="1">
      <c r="A551" s="4" t="s">
        <v>545</v>
      </c>
      <c r="B551" s="4">
        <v>2011</v>
      </c>
      <c r="C551" s="4" t="s">
        <v>1720</v>
      </c>
      <c r="D551" s="4" t="s">
        <v>1721</v>
      </c>
      <c r="E551" s="4" t="s">
        <v>443</v>
      </c>
      <c r="F551" s="1" t="s">
        <v>508</v>
      </c>
    </row>
    <row r="552" spans="1:6" ht="15.75" customHeight="1">
      <c r="A552" s="4" t="s">
        <v>1722</v>
      </c>
      <c r="B552" s="4">
        <v>2011</v>
      </c>
      <c r="C552" s="4" t="s">
        <v>1723</v>
      </c>
      <c r="D552" s="4" t="s">
        <v>1724</v>
      </c>
      <c r="E552" s="4" t="s">
        <v>443</v>
      </c>
      <c r="F552" s="1" t="s">
        <v>508</v>
      </c>
    </row>
    <row r="553" spans="1:6" ht="15.75" customHeight="1">
      <c r="A553" s="4" t="s">
        <v>1725</v>
      </c>
      <c r="B553" s="4">
        <v>2018</v>
      </c>
      <c r="C553" s="4" t="s">
        <v>1726</v>
      </c>
      <c r="D553" s="4" t="s">
        <v>1727</v>
      </c>
      <c r="E553" s="4" t="s">
        <v>443</v>
      </c>
      <c r="F553" s="1" t="s">
        <v>508</v>
      </c>
    </row>
    <row r="554" spans="1:6" ht="15.75" customHeight="1">
      <c r="A554" s="4" t="s">
        <v>1728</v>
      </c>
      <c r="B554" s="4">
        <v>1990</v>
      </c>
      <c r="C554" s="4" t="s">
        <v>1729</v>
      </c>
      <c r="D554" s="4" t="s">
        <v>1730</v>
      </c>
      <c r="E554" s="4" t="s">
        <v>443</v>
      </c>
      <c r="F554" s="1" t="s">
        <v>508</v>
      </c>
    </row>
    <row r="555" spans="1:6" ht="15.75" customHeight="1">
      <c r="A555" s="4" t="s">
        <v>1731</v>
      </c>
      <c r="B555" s="4">
        <v>2022</v>
      </c>
      <c r="C555" s="4" t="s">
        <v>1732</v>
      </c>
      <c r="D555" s="4" t="s">
        <v>1733</v>
      </c>
      <c r="E555" s="4" t="s">
        <v>443</v>
      </c>
      <c r="F555" s="1" t="s">
        <v>508</v>
      </c>
    </row>
    <row r="556" spans="1:6" ht="15.75" customHeight="1">
      <c r="A556" s="4" t="s">
        <v>1734</v>
      </c>
      <c r="B556" s="4">
        <v>2023</v>
      </c>
      <c r="C556" s="4" t="s">
        <v>1735</v>
      </c>
      <c r="D556" s="4" t="s">
        <v>1736</v>
      </c>
      <c r="E556" s="4" t="s">
        <v>443</v>
      </c>
      <c r="F556" s="1" t="s">
        <v>508</v>
      </c>
    </row>
    <row r="557" spans="1:6" ht="15.75" customHeight="1">
      <c r="A557" s="4" t="s">
        <v>1737</v>
      </c>
      <c r="B557" s="4">
        <v>1993</v>
      </c>
      <c r="D557" s="4" t="s">
        <v>1738</v>
      </c>
      <c r="E557" s="4" t="s">
        <v>443</v>
      </c>
      <c r="F557" s="1" t="s">
        <v>508</v>
      </c>
    </row>
    <row r="558" spans="1:6" ht="15.75" customHeight="1">
      <c r="A558" s="4" t="s">
        <v>1739</v>
      </c>
      <c r="B558" s="4">
        <v>2016</v>
      </c>
      <c r="C558" s="4" t="s">
        <v>1740</v>
      </c>
      <c r="D558" s="4" t="s">
        <v>1741</v>
      </c>
      <c r="E558" s="4" t="s">
        <v>443</v>
      </c>
      <c r="F558" s="1" t="s">
        <v>508</v>
      </c>
    </row>
    <row r="559" spans="1:6" ht="15.75" customHeight="1">
      <c r="A559" s="4" t="s">
        <v>1742</v>
      </c>
      <c r="B559" s="4">
        <v>2011</v>
      </c>
      <c r="C559" s="4" t="s">
        <v>1743</v>
      </c>
      <c r="D559" s="4" t="s">
        <v>1744</v>
      </c>
      <c r="E559" s="4" t="s">
        <v>443</v>
      </c>
      <c r="F559" s="1" t="s">
        <v>508</v>
      </c>
    </row>
    <row r="560" spans="1:6" ht="15.75" customHeight="1">
      <c r="A560" s="4" t="s">
        <v>1745</v>
      </c>
      <c r="B560" s="4">
        <v>2024</v>
      </c>
      <c r="C560" s="4" t="s">
        <v>1746</v>
      </c>
      <c r="D560" s="4" t="s">
        <v>1747</v>
      </c>
      <c r="E560" s="4" t="s">
        <v>443</v>
      </c>
      <c r="F560" s="1" t="s">
        <v>508</v>
      </c>
    </row>
    <row r="561" spans="1:6" ht="15.75" customHeight="1">
      <c r="A561" s="4" t="s">
        <v>1748</v>
      </c>
      <c r="B561" s="4">
        <v>2015</v>
      </c>
      <c r="C561" s="4" t="s">
        <v>1749</v>
      </c>
      <c r="D561" s="4" t="s">
        <v>1750</v>
      </c>
      <c r="E561" s="4" t="s">
        <v>443</v>
      </c>
      <c r="F561" s="1" t="s">
        <v>508</v>
      </c>
    </row>
    <row r="562" spans="1:6" ht="15.75" customHeight="1">
      <c r="A562" s="4" t="s">
        <v>1751</v>
      </c>
      <c r="B562" s="4">
        <v>2008</v>
      </c>
      <c r="C562" s="4" t="s">
        <v>1752</v>
      </c>
      <c r="D562" s="4" t="s">
        <v>1753</v>
      </c>
      <c r="E562" s="4" t="s">
        <v>443</v>
      </c>
      <c r="F562" s="1" t="s">
        <v>508</v>
      </c>
    </row>
    <row r="563" spans="1:6" ht="15.75" customHeight="1">
      <c r="A563" s="4" t="s">
        <v>1028</v>
      </c>
      <c r="B563" s="4">
        <v>2023</v>
      </c>
      <c r="C563" s="4" t="s">
        <v>1754</v>
      </c>
      <c r="D563" s="4" t="s">
        <v>1755</v>
      </c>
      <c r="E563" s="4" t="s">
        <v>443</v>
      </c>
      <c r="F563" s="1" t="s">
        <v>508</v>
      </c>
    </row>
    <row r="564" spans="1:6" ht="15.75" customHeight="1">
      <c r="A564" s="4" t="s">
        <v>1028</v>
      </c>
      <c r="B564" s="4">
        <v>2019</v>
      </c>
      <c r="C564" s="4" t="s">
        <v>1756</v>
      </c>
      <c r="D564" s="4" t="s">
        <v>1757</v>
      </c>
      <c r="E564" s="4" t="s">
        <v>443</v>
      </c>
      <c r="F564" s="1" t="s">
        <v>508</v>
      </c>
    </row>
    <row r="565" spans="1:6" ht="15.75" customHeight="1">
      <c r="A565" s="4" t="s">
        <v>1758</v>
      </c>
      <c r="B565" s="4">
        <v>2013</v>
      </c>
      <c r="C565" s="4" t="s">
        <v>1759</v>
      </c>
      <c r="D565" s="4" t="s">
        <v>1760</v>
      </c>
      <c r="E565" s="4" t="s">
        <v>443</v>
      </c>
      <c r="F565" s="1" t="s">
        <v>508</v>
      </c>
    </row>
    <row r="566" spans="1:6" ht="15.75" customHeight="1">
      <c r="A566" s="4" t="s">
        <v>1761</v>
      </c>
      <c r="B566" s="4">
        <v>1999</v>
      </c>
      <c r="C566" s="4" t="s">
        <v>1762</v>
      </c>
      <c r="D566" s="4" t="s">
        <v>1763</v>
      </c>
      <c r="E566" s="4" t="s">
        <v>443</v>
      </c>
      <c r="F566" s="1" t="s">
        <v>508</v>
      </c>
    </row>
    <row r="567" spans="1:6" ht="15.75" customHeight="1">
      <c r="A567" s="4" t="s">
        <v>1764</v>
      </c>
      <c r="B567" s="4">
        <v>1999</v>
      </c>
      <c r="C567" s="4" t="s">
        <v>1765</v>
      </c>
      <c r="D567" s="4" t="s">
        <v>1766</v>
      </c>
      <c r="E567" s="4" t="s">
        <v>443</v>
      </c>
      <c r="F567" s="1" t="s">
        <v>508</v>
      </c>
    </row>
    <row r="568" spans="1:6" ht="15.75" customHeight="1">
      <c r="A568" s="4" t="s">
        <v>1764</v>
      </c>
      <c r="B568" s="4">
        <v>1997</v>
      </c>
      <c r="C568" s="4" t="s">
        <v>1767</v>
      </c>
      <c r="D568" s="4" t="s">
        <v>1768</v>
      </c>
      <c r="E568" s="4" t="s">
        <v>443</v>
      </c>
      <c r="F568" s="1" t="s">
        <v>508</v>
      </c>
    </row>
    <row r="569" spans="1:6" ht="15.75" customHeight="1">
      <c r="A569" s="4" t="s">
        <v>1769</v>
      </c>
      <c r="B569" s="4">
        <v>2019</v>
      </c>
      <c r="C569" s="4" t="s">
        <v>1770</v>
      </c>
      <c r="D569" s="4" t="s">
        <v>1771</v>
      </c>
      <c r="E569" s="4" t="s">
        <v>443</v>
      </c>
      <c r="F569" s="1" t="s">
        <v>508</v>
      </c>
    </row>
    <row r="570" spans="1:6" ht="15.75" customHeight="1">
      <c r="A570" s="4" t="s">
        <v>1772</v>
      </c>
      <c r="B570" s="4">
        <v>2017</v>
      </c>
      <c r="C570" s="4" t="s">
        <v>1773</v>
      </c>
      <c r="D570" s="4" t="s">
        <v>1774</v>
      </c>
      <c r="E570" s="4" t="s">
        <v>443</v>
      </c>
      <c r="F570" s="1" t="s">
        <v>508</v>
      </c>
    </row>
    <row r="571" spans="1:6" ht="15.75" customHeight="1">
      <c r="A571" s="4" t="s">
        <v>1772</v>
      </c>
      <c r="B571" s="4">
        <v>2016</v>
      </c>
      <c r="C571" s="4" t="s">
        <v>1775</v>
      </c>
      <c r="D571" s="4" t="s">
        <v>1776</v>
      </c>
      <c r="E571" s="4" t="s">
        <v>443</v>
      </c>
      <c r="F571" s="1" t="s">
        <v>508</v>
      </c>
    </row>
    <row r="572" spans="1:6" ht="15.75" customHeight="1">
      <c r="A572" s="4" t="s">
        <v>1772</v>
      </c>
      <c r="B572" s="4">
        <v>2020</v>
      </c>
      <c r="C572" s="4" t="s">
        <v>1777</v>
      </c>
      <c r="D572" s="4" t="s">
        <v>1778</v>
      </c>
      <c r="E572" s="4" t="s">
        <v>443</v>
      </c>
      <c r="F572" s="1" t="s">
        <v>508</v>
      </c>
    </row>
    <row r="573" spans="1:6" ht="15.75" customHeight="1">
      <c r="A573" s="4" t="s">
        <v>1779</v>
      </c>
      <c r="B573" s="4">
        <v>2018</v>
      </c>
      <c r="C573" s="4" t="s">
        <v>1780</v>
      </c>
      <c r="D573" s="4" t="s">
        <v>1781</v>
      </c>
      <c r="E573" s="4" t="s">
        <v>443</v>
      </c>
      <c r="F573" s="1" t="s">
        <v>508</v>
      </c>
    </row>
    <row r="574" spans="1:6" ht="15.75" customHeight="1">
      <c r="A574" s="4" t="s">
        <v>1782</v>
      </c>
      <c r="B574" s="4">
        <v>1999</v>
      </c>
      <c r="C574" s="4" t="s">
        <v>1783</v>
      </c>
      <c r="D574" s="4" t="s">
        <v>1784</v>
      </c>
      <c r="E574" s="4" t="s">
        <v>443</v>
      </c>
      <c r="F574" s="1" t="s">
        <v>508</v>
      </c>
    </row>
    <row r="575" spans="1:6" ht="15.75" customHeight="1">
      <c r="A575" s="4" t="s">
        <v>1785</v>
      </c>
      <c r="B575" s="4">
        <v>2022</v>
      </c>
      <c r="C575" s="4" t="s">
        <v>1786</v>
      </c>
      <c r="D575" s="4" t="s">
        <v>1787</v>
      </c>
      <c r="E575" s="4" t="s">
        <v>443</v>
      </c>
      <c r="F575" s="1" t="s">
        <v>508</v>
      </c>
    </row>
    <row r="576" spans="1:6" ht="15.75" customHeight="1">
      <c r="A576" s="4" t="s">
        <v>1788</v>
      </c>
      <c r="B576" s="4">
        <v>2005</v>
      </c>
      <c r="C576" s="4" t="s">
        <v>1789</v>
      </c>
      <c r="D576" s="4" t="s">
        <v>1790</v>
      </c>
      <c r="E576" s="4" t="s">
        <v>443</v>
      </c>
      <c r="F576" s="1" t="s">
        <v>508</v>
      </c>
    </row>
    <row r="577" spans="1:6" ht="15.75" customHeight="1">
      <c r="A577" s="4" t="s">
        <v>1788</v>
      </c>
      <c r="B577" s="4">
        <v>2005</v>
      </c>
      <c r="C577" s="4" t="s">
        <v>1791</v>
      </c>
      <c r="D577" s="4" t="s">
        <v>1792</v>
      </c>
      <c r="E577" s="4" t="s">
        <v>443</v>
      </c>
      <c r="F577" s="1" t="s">
        <v>508</v>
      </c>
    </row>
    <row r="578" spans="1:6" ht="15.75" customHeight="1">
      <c r="A578" s="4" t="s">
        <v>1788</v>
      </c>
      <c r="B578" s="4">
        <v>2002</v>
      </c>
      <c r="C578" s="4" t="s">
        <v>1793</v>
      </c>
      <c r="D578" s="4" t="s">
        <v>1794</v>
      </c>
      <c r="E578" s="4" t="s">
        <v>443</v>
      </c>
      <c r="F578" s="1" t="s">
        <v>508</v>
      </c>
    </row>
    <row r="579" spans="1:6" ht="15.75" customHeight="1">
      <c r="A579" s="4" t="s">
        <v>1788</v>
      </c>
      <c r="B579" s="4">
        <v>2004</v>
      </c>
      <c r="C579" s="4" t="s">
        <v>1795</v>
      </c>
      <c r="D579" s="4" t="s">
        <v>1796</v>
      </c>
      <c r="E579" s="4" t="s">
        <v>443</v>
      </c>
      <c r="F579" s="1" t="s">
        <v>508</v>
      </c>
    </row>
    <row r="580" spans="1:6" ht="15.75" customHeight="1">
      <c r="A580" s="4" t="s">
        <v>1797</v>
      </c>
      <c r="B580" s="4">
        <v>2012</v>
      </c>
      <c r="C580" s="4" t="s">
        <v>1798</v>
      </c>
      <c r="D580" s="4" t="s">
        <v>1799</v>
      </c>
      <c r="E580" s="4" t="s">
        <v>443</v>
      </c>
      <c r="F580" s="1" t="s">
        <v>508</v>
      </c>
    </row>
    <row r="581" spans="1:6" ht="15.75" customHeight="1">
      <c r="A581" s="4" t="s">
        <v>1800</v>
      </c>
      <c r="B581" s="4">
        <v>2006</v>
      </c>
      <c r="C581" s="4" t="s">
        <v>1801</v>
      </c>
      <c r="D581" s="4" t="s">
        <v>1802</v>
      </c>
      <c r="E581" s="4" t="s">
        <v>443</v>
      </c>
      <c r="F581" s="1" t="s">
        <v>508</v>
      </c>
    </row>
    <row r="582" spans="1:6" ht="15.75" customHeight="1">
      <c r="A582" s="4" t="s">
        <v>1803</v>
      </c>
      <c r="B582" s="4">
        <v>2022</v>
      </c>
      <c r="C582" s="4" t="s">
        <v>1804</v>
      </c>
      <c r="D582" s="4" t="s">
        <v>1805</v>
      </c>
      <c r="E582" s="4" t="s">
        <v>443</v>
      </c>
      <c r="F582" s="1" t="s">
        <v>508</v>
      </c>
    </row>
    <row r="583" spans="1:6" ht="15.75" customHeight="1">
      <c r="A583" s="4" t="s">
        <v>1806</v>
      </c>
      <c r="B583" s="4">
        <v>2005</v>
      </c>
      <c r="C583" s="4" t="s">
        <v>1807</v>
      </c>
      <c r="D583" s="4" t="s">
        <v>1808</v>
      </c>
      <c r="E583" s="4" t="s">
        <v>443</v>
      </c>
      <c r="F583" s="1" t="s">
        <v>508</v>
      </c>
    </row>
    <row r="584" spans="1:6" ht="15.75" customHeight="1">
      <c r="A584" s="4" t="s">
        <v>1809</v>
      </c>
      <c r="B584" s="4">
        <v>2002</v>
      </c>
      <c r="C584" s="4" t="s">
        <v>1810</v>
      </c>
      <c r="D584" s="4" t="s">
        <v>1811</v>
      </c>
      <c r="E584" s="4" t="s">
        <v>443</v>
      </c>
      <c r="F584" s="1" t="s">
        <v>508</v>
      </c>
    </row>
    <row r="585" spans="1:6" ht="15.75" customHeight="1">
      <c r="A585" s="4" t="s">
        <v>554</v>
      </c>
      <c r="B585" s="4">
        <v>2010</v>
      </c>
      <c r="C585" s="4" t="s">
        <v>1812</v>
      </c>
      <c r="D585" s="4" t="s">
        <v>1813</v>
      </c>
      <c r="E585" s="4" t="s">
        <v>443</v>
      </c>
      <c r="F585" s="1" t="s">
        <v>508</v>
      </c>
    </row>
    <row r="586" spans="1:6" ht="15.75" customHeight="1">
      <c r="A586" s="4" t="s">
        <v>554</v>
      </c>
      <c r="B586" s="4">
        <v>2008</v>
      </c>
      <c r="C586" s="4" t="s">
        <v>1814</v>
      </c>
      <c r="D586" s="4" t="s">
        <v>1815</v>
      </c>
      <c r="E586" s="4" t="s">
        <v>443</v>
      </c>
      <c r="F586" s="1" t="s">
        <v>508</v>
      </c>
    </row>
    <row r="587" spans="1:6" ht="15.75" customHeight="1">
      <c r="A587" s="4" t="s">
        <v>1816</v>
      </c>
      <c r="B587" s="4">
        <v>2014</v>
      </c>
      <c r="C587" s="4" t="s">
        <v>1817</v>
      </c>
      <c r="D587" s="4" t="s">
        <v>1818</v>
      </c>
      <c r="E587" s="4" t="s">
        <v>443</v>
      </c>
      <c r="F587" s="1" t="s">
        <v>508</v>
      </c>
    </row>
    <row r="588" spans="1:6" ht="15.75" customHeight="1">
      <c r="A588" s="4" t="s">
        <v>1819</v>
      </c>
      <c r="B588" s="4">
        <v>2015</v>
      </c>
      <c r="C588" s="4" t="s">
        <v>1820</v>
      </c>
      <c r="D588" s="4" t="s">
        <v>1821</v>
      </c>
      <c r="E588" s="4" t="s">
        <v>443</v>
      </c>
      <c r="F588" s="1" t="s">
        <v>508</v>
      </c>
    </row>
    <row r="589" spans="1:6" ht="15.75" customHeight="1">
      <c r="A589" s="4" t="s">
        <v>1822</v>
      </c>
      <c r="B589" s="4">
        <v>2008</v>
      </c>
      <c r="C589" s="4" t="s">
        <v>1823</v>
      </c>
      <c r="D589" s="4" t="s">
        <v>1824</v>
      </c>
      <c r="E589" s="4" t="s">
        <v>443</v>
      </c>
      <c r="F589" s="1" t="s">
        <v>508</v>
      </c>
    </row>
    <row r="590" spans="1:6" ht="15.75" customHeight="1">
      <c r="A590" s="4" t="s">
        <v>1822</v>
      </c>
      <c r="B590" s="4">
        <v>2009</v>
      </c>
      <c r="C590" s="4" t="s">
        <v>1825</v>
      </c>
      <c r="D590" s="4" t="s">
        <v>1826</v>
      </c>
      <c r="E590" s="4" t="s">
        <v>443</v>
      </c>
      <c r="F590" s="1" t="s">
        <v>508</v>
      </c>
    </row>
    <row r="591" spans="1:6" ht="15.75" customHeight="1">
      <c r="A591" s="4" t="s">
        <v>1827</v>
      </c>
      <c r="B591" s="4">
        <v>2003</v>
      </c>
      <c r="C591" s="4" t="s">
        <v>1828</v>
      </c>
      <c r="D591" s="4" t="s">
        <v>1829</v>
      </c>
      <c r="E591" s="4" t="s">
        <v>443</v>
      </c>
      <c r="F591" s="1" t="s">
        <v>508</v>
      </c>
    </row>
    <row r="592" spans="1:6" ht="15.75" customHeight="1">
      <c r="A592" s="4" t="s">
        <v>1827</v>
      </c>
      <c r="B592" s="4">
        <v>2002</v>
      </c>
      <c r="C592" s="4" t="s">
        <v>1830</v>
      </c>
      <c r="D592" s="4" t="s">
        <v>1831</v>
      </c>
      <c r="E592" s="4" t="s">
        <v>443</v>
      </c>
      <c r="F592" s="1" t="s">
        <v>508</v>
      </c>
    </row>
    <row r="593" spans="1:6" ht="15.75" customHeight="1">
      <c r="A593" s="4" t="s">
        <v>1832</v>
      </c>
      <c r="B593" s="4">
        <v>2005</v>
      </c>
      <c r="C593" s="4" t="s">
        <v>1833</v>
      </c>
      <c r="D593" s="4" t="s">
        <v>1834</v>
      </c>
      <c r="E593" s="4" t="s">
        <v>443</v>
      </c>
      <c r="F593" s="1" t="s">
        <v>508</v>
      </c>
    </row>
    <row r="594" spans="1:6" ht="15.75" customHeight="1">
      <c r="A594" s="4" t="s">
        <v>1832</v>
      </c>
      <c r="B594" s="4">
        <v>2006</v>
      </c>
      <c r="D594" s="4" t="s">
        <v>1835</v>
      </c>
      <c r="E594" s="4" t="s">
        <v>443</v>
      </c>
      <c r="F594" s="1" t="s">
        <v>1047</v>
      </c>
    </row>
    <row r="595" spans="1:6" ht="15.75" customHeight="1">
      <c r="A595" s="4" t="s">
        <v>1832</v>
      </c>
      <c r="B595" s="4">
        <v>2006</v>
      </c>
      <c r="C595" s="4" t="s">
        <v>1836</v>
      </c>
      <c r="D595" s="4" t="s">
        <v>1837</v>
      </c>
      <c r="E595" s="4" t="s">
        <v>443</v>
      </c>
      <c r="F595" s="1" t="s">
        <v>508</v>
      </c>
    </row>
    <row r="596" spans="1:6" ht="15.75" customHeight="1">
      <c r="A596" s="4" t="s">
        <v>1838</v>
      </c>
      <c r="B596" s="4">
        <v>2013</v>
      </c>
      <c r="C596" s="4" t="s">
        <v>1839</v>
      </c>
      <c r="D596" s="4" t="s">
        <v>1840</v>
      </c>
      <c r="E596" s="4" t="s">
        <v>443</v>
      </c>
      <c r="F596" s="1" t="s">
        <v>1047</v>
      </c>
    </row>
    <row r="597" spans="1:6" ht="15.75" customHeight="1">
      <c r="A597" s="4" t="s">
        <v>1841</v>
      </c>
      <c r="B597" s="4">
        <v>2006</v>
      </c>
      <c r="C597" s="4" t="s">
        <v>1842</v>
      </c>
      <c r="D597" s="4" t="s">
        <v>1843</v>
      </c>
      <c r="E597" s="4" t="s">
        <v>443</v>
      </c>
      <c r="F597" s="1" t="s">
        <v>508</v>
      </c>
    </row>
    <row r="598" spans="1:6" ht="15.75" customHeight="1">
      <c r="A598" s="4" t="s">
        <v>1844</v>
      </c>
      <c r="B598" s="4">
        <v>1993</v>
      </c>
      <c r="D598" s="4" t="s">
        <v>1845</v>
      </c>
      <c r="E598" s="4" t="s">
        <v>443</v>
      </c>
      <c r="F598" s="1" t="s">
        <v>1047</v>
      </c>
    </row>
    <row r="599" spans="1:6" ht="15.75" customHeight="1">
      <c r="A599" s="4" t="s">
        <v>1846</v>
      </c>
      <c r="B599" s="4">
        <v>1996</v>
      </c>
      <c r="C599" s="4" t="s">
        <v>1847</v>
      </c>
      <c r="D599" s="4" t="s">
        <v>1848</v>
      </c>
      <c r="E599" s="4" t="s">
        <v>443</v>
      </c>
      <c r="F599" s="1" t="s">
        <v>508</v>
      </c>
    </row>
    <row r="600" spans="1:6" ht="15.75" customHeight="1">
      <c r="A600" s="4" t="s">
        <v>1849</v>
      </c>
      <c r="B600" s="4">
        <v>2019</v>
      </c>
      <c r="C600" s="4" t="s">
        <v>1850</v>
      </c>
      <c r="D600" s="4" t="s">
        <v>1851</v>
      </c>
      <c r="E600" s="4" t="s">
        <v>443</v>
      </c>
      <c r="F600" s="1" t="s">
        <v>508</v>
      </c>
    </row>
    <row r="601" spans="1:6" ht="15.75" customHeight="1">
      <c r="A601" s="4" t="s">
        <v>1852</v>
      </c>
      <c r="B601" s="4">
        <v>2017</v>
      </c>
      <c r="C601" s="4" t="s">
        <v>1853</v>
      </c>
      <c r="D601" s="4" t="s">
        <v>1854</v>
      </c>
      <c r="E601" s="4" t="s">
        <v>443</v>
      </c>
      <c r="F601" s="1" t="s">
        <v>508</v>
      </c>
    </row>
    <row r="602" spans="1:6" ht="15.75" customHeight="1">
      <c r="A602" s="4" t="s">
        <v>1852</v>
      </c>
      <c r="B602" s="4">
        <v>2014</v>
      </c>
      <c r="C602" s="4" t="s">
        <v>1855</v>
      </c>
      <c r="D602" s="4" t="s">
        <v>1856</v>
      </c>
      <c r="E602" s="4" t="s">
        <v>443</v>
      </c>
      <c r="F602" s="1" t="s">
        <v>508</v>
      </c>
    </row>
    <row r="603" spans="1:6" ht="15.75" customHeight="1">
      <c r="A603" s="4" t="s">
        <v>1857</v>
      </c>
      <c r="B603" s="4">
        <v>2001</v>
      </c>
      <c r="C603" s="4" t="s">
        <v>1858</v>
      </c>
      <c r="D603" s="4" t="s">
        <v>1859</v>
      </c>
      <c r="E603" s="4" t="s">
        <v>443</v>
      </c>
      <c r="F603" s="1" t="s">
        <v>508</v>
      </c>
    </row>
    <row r="604" spans="1:6" ht="15.75" customHeight="1">
      <c r="A604" s="4" t="s">
        <v>1857</v>
      </c>
      <c r="B604" s="4">
        <v>1998</v>
      </c>
      <c r="C604" s="4" t="s">
        <v>1860</v>
      </c>
      <c r="D604" s="4" t="s">
        <v>1861</v>
      </c>
      <c r="E604" s="4" t="s">
        <v>443</v>
      </c>
      <c r="F604" s="1" t="s">
        <v>508</v>
      </c>
    </row>
    <row r="605" spans="1:6" ht="15.75" customHeight="1">
      <c r="A605" s="4" t="s">
        <v>1862</v>
      </c>
      <c r="B605" s="4">
        <v>1992</v>
      </c>
      <c r="C605" s="4" t="s">
        <v>1863</v>
      </c>
      <c r="D605" s="4" t="s">
        <v>1864</v>
      </c>
      <c r="E605" s="4" t="s">
        <v>443</v>
      </c>
      <c r="F605" s="1" t="s">
        <v>508</v>
      </c>
    </row>
    <row r="606" spans="1:6" ht="15.75" customHeight="1">
      <c r="A606" s="4" t="s">
        <v>1865</v>
      </c>
      <c r="B606" s="4">
        <v>2006</v>
      </c>
      <c r="C606" s="4" t="s">
        <v>1866</v>
      </c>
      <c r="D606" s="4" t="s">
        <v>1867</v>
      </c>
      <c r="E606" s="4" t="s">
        <v>443</v>
      </c>
      <c r="F606" s="1" t="s">
        <v>508</v>
      </c>
    </row>
    <row r="607" spans="1:6" ht="15.75" customHeight="1">
      <c r="A607" s="4" t="s">
        <v>1868</v>
      </c>
      <c r="B607" s="4">
        <v>2008</v>
      </c>
      <c r="C607" s="4" t="s">
        <v>1869</v>
      </c>
      <c r="D607" s="4" t="s">
        <v>1870</v>
      </c>
      <c r="E607" s="4" t="s">
        <v>443</v>
      </c>
      <c r="F607" s="1" t="s">
        <v>508</v>
      </c>
    </row>
    <row r="608" spans="1:6" ht="15.75" customHeight="1">
      <c r="A608" s="4" t="s">
        <v>1871</v>
      </c>
      <c r="B608" s="4">
        <v>2008</v>
      </c>
      <c r="C608" s="4" t="s">
        <v>1872</v>
      </c>
      <c r="D608" s="4" t="s">
        <v>1873</v>
      </c>
      <c r="E608" s="4" t="s">
        <v>443</v>
      </c>
      <c r="F608" s="1" t="s">
        <v>508</v>
      </c>
    </row>
    <row r="609" spans="1:6" ht="15.75" customHeight="1">
      <c r="A609" s="4" t="s">
        <v>1874</v>
      </c>
      <c r="B609" s="4">
        <v>1996</v>
      </c>
      <c r="D609" s="4" t="s">
        <v>1875</v>
      </c>
      <c r="E609" s="4" t="s">
        <v>443</v>
      </c>
      <c r="F609" s="1" t="s">
        <v>508</v>
      </c>
    </row>
    <row r="610" spans="1:6" ht="15.75" customHeight="1">
      <c r="A610" s="4" t="s">
        <v>1876</v>
      </c>
      <c r="B610" s="4">
        <v>2004</v>
      </c>
      <c r="C610" s="4" t="s">
        <v>1877</v>
      </c>
      <c r="D610" s="4" t="s">
        <v>1878</v>
      </c>
      <c r="E610" s="4" t="s">
        <v>443</v>
      </c>
      <c r="F610" s="1" t="s">
        <v>508</v>
      </c>
    </row>
    <row r="611" spans="1:6" ht="15.75" customHeight="1">
      <c r="A611" s="4" t="s">
        <v>1879</v>
      </c>
      <c r="B611" s="4">
        <v>1999</v>
      </c>
      <c r="C611" s="4" t="s">
        <v>1880</v>
      </c>
      <c r="D611" s="4" t="s">
        <v>1881</v>
      </c>
      <c r="E611" s="4" t="s">
        <v>443</v>
      </c>
      <c r="F611" s="1" t="s">
        <v>508</v>
      </c>
    </row>
    <row r="612" spans="1:6" ht="15.75" customHeight="1">
      <c r="A612" s="4" t="s">
        <v>1879</v>
      </c>
      <c r="B612" s="4">
        <v>2003</v>
      </c>
      <c r="C612" s="4" t="s">
        <v>1882</v>
      </c>
      <c r="D612" s="4" t="s">
        <v>1883</v>
      </c>
      <c r="E612" s="4" t="s">
        <v>443</v>
      </c>
      <c r="F612" s="1" t="s">
        <v>508</v>
      </c>
    </row>
    <row r="613" spans="1:6" ht="15.75" customHeight="1">
      <c r="A613" s="4" t="s">
        <v>1879</v>
      </c>
      <c r="B613" s="4">
        <v>1997</v>
      </c>
      <c r="C613" s="4" t="s">
        <v>1884</v>
      </c>
      <c r="D613" s="4" t="s">
        <v>1885</v>
      </c>
      <c r="E613" s="4" t="s">
        <v>443</v>
      </c>
      <c r="F613" s="1" t="s">
        <v>508</v>
      </c>
    </row>
    <row r="614" spans="1:6" ht="15.75" customHeight="1">
      <c r="A614" s="4" t="s">
        <v>1879</v>
      </c>
      <c r="B614" s="4">
        <v>1999</v>
      </c>
      <c r="C614" s="4" t="s">
        <v>1886</v>
      </c>
      <c r="D614" s="4" t="s">
        <v>1887</v>
      </c>
      <c r="E614" s="4" t="s">
        <v>443</v>
      </c>
      <c r="F614" s="1" t="s">
        <v>508</v>
      </c>
    </row>
    <row r="615" spans="1:6" ht="15.75" customHeight="1">
      <c r="A615" s="4" t="s">
        <v>1879</v>
      </c>
      <c r="B615" s="4">
        <v>2001</v>
      </c>
      <c r="C615" s="4" t="s">
        <v>1888</v>
      </c>
      <c r="D615" s="4" t="s">
        <v>1889</v>
      </c>
      <c r="E615" s="4" t="s">
        <v>443</v>
      </c>
      <c r="F615" s="1" t="s">
        <v>508</v>
      </c>
    </row>
    <row r="616" spans="1:6" ht="15.75" customHeight="1">
      <c r="A616" s="4" t="s">
        <v>1890</v>
      </c>
      <c r="B616" s="4">
        <v>2011</v>
      </c>
      <c r="C616" s="4" t="s">
        <v>1891</v>
      </c>
      <c r="D616" s="4" t="s">
        <v>1892</v>
      </c>
      <c r="E616" s="4" t="s">
        <v>443</v>
      </c>
      <c r="F616" s="1" t="s">
        <v>508</v>
      </c>
    </row>
    <row r="617" spans="1:6" ht="15.75" customHeight="1">
      <c r="A617" s="4" t="s">
        <v>1893</v>
      </c>
      <c r="B617" s="4">
        <v>1999</v>
      </c>
      <c r="C617" s="4" t="s">
        <v>1894</v>
      </c>
      <c r="D617" s="4" t="s">
        <v>1895</v>
      </c>
      <c r="E617" s="4" t="s">
        <v>443</v>
      </c>
      <c r="F617" s="1" t="s">
        <v>508</v>
      </c>
    </row>
    <row r="618" spans="1:6" ht="15.75" customHeight="1">
      <c r="A618" s="4" t="s">
        <v>1896</v>
      </c>
      <c r="B618" s="4">
        <v>1999</v>
      </c>
      <c r="C618" s="4" t="s">
        <v>1897</v>
      </c>
      <c r="D618" s="4" t="s">
        <v>1898</v>
      </c>
      <c r="E618" s="4" t="s">
        <v>443</v>
      </c>
      <c r="F618" s="1" t="s">
        <v>508</v>
      </c>
    </row>
    <row r="619" spans="1:6" ht="15.75" customHeight="1">
      <c r="A619" s="4" t="s">
        <v>1899</v>
      </c>
      <c r="B619" s="4">
        <v>2023</v>
      </c>
      <c r="C619" s="4" t="s">
        <v>1900</v>
      </c>
      <c r="D619" s="4" t="s">
        <v>1901</v>
      </c>
      <c r="E619" s="4" t="s">
        <v>443</v>
      </c>
      <c r="F619" s="1" t="s">
        <v>508</v>
      </c>
    </row>
    <row r="620" spans="1:6" ht="15.75" customHeight="1">
      <c r="A620" s="4" t="s">
        <v>1902</v>
      </c>
      <c r="B620" s="4">
        <v>2018</v>
      </c>
      <c r="C620" s="4" t="s">
        <v>1903</v>
      </c>
      <c r="D620" s="4" t="s">
        <v>1904</v>
      </c>
      <c r="E620" s="4" t="s">
        <v>443</v>
      </c>
      <c r="F620" s="1" t="s">
        <v>508</v>
      </c>
    </row>
    <row r="621" spans="1:6" ht="15.75" customHeight="1">
      <c r="A621" s="4" t="s">
        <v>1905</v>
      </c>
      <c r="B621" s="4">
        <v>2018</v>
      </c>
      <c r="C621" s="4" t="s">
        <v>1906</v>
      </c>
      <c r="D621" s="4" t="s">
        <v>1907</v>
      </c>
      <c r="E621" s="4" t="s">
        <v>443</v>
      </c>
      <c r="F621" s="1" t="s">
        <v>508</v>
      </c>
    </row>
    <row r="622" spans="1:6" ht="15.75" customHeight="1">
      <c r="A622" s="4" t="s">
        <v>1905</v>
      </c>
      <c r="B622" s="4">
        <v>2016</v>
      </c>
      <c r="C622" s="4" t="s">
        <v>1908</v>
      </c>
      <c r="D622" s="4" t="s">
        <v>1909</v>
      </c>
      <c r="E622" s="4" t="s">
        <v>443</v>
      </c>
      <c r="F622" s="1" t="s">
        <v>508</v>
      </c>
    </row>
    <row r="623" spans="1:6" ht="15.75" customHeight="1">
      <c r="A623" s="4" t="s">
        <v>1905</v>
      </c>
      <c r="B623" s="4">
        <v>2008</v>
      </c>
      <c r="C623" s="4" t="s">
        <v>1910</v>
      </c>
      <c r="D623" s="4" t="s">
        <v>1911</v>
      </c>
      <c r="E623" s="4" t="s">
        <v>443</v>
      </c>
      <c r="F623" s="1" t="s">
        <v>508</v>
      </c>
    </row>
    <row r="624" spans="1:6" ht="15.75" customHeight="1">
      <c r="A624" s="4" t="s">
        <v>1905</v>
      </c>
      <c r="B624" s="4">
        <v>2015</v>
      </c>
      <c r="C624" s="4" t="s">
        <v>1912</v>
      </c>
      <c r="D624" s="4" t="s">
        <v>1913</v>
      </c>
      <c r="E624" s="4" t="s">
        <v>443</v>
      </c>
      <c r="F624" s="1" t="s">
        <v>508</v>
      </c>
    </row>
    <row r="625" spans="1:6" ht="15.75" customHeight="1">
      <c r="A625" s="4" t="s">
        <v>1905</v>
      </c>
      <c r="B625" s="4">
        <v>1997</v>
      </c>
      <c r="C625" s="4" t="s">
        <v>1914</v>
      </c>
      <c r="D625" s="4" t="s">
        <v>1915</v>
      </c>
      <c r="E625" s="4" t="s">
        <v>443</v>
      </c>
      <c r="F625" s="1" t="s">
        <v>508</v>
      </c>
    </row>
    <row r="626" spans="1:6" ht="15.75" customHeight="1">
      <c r="A626" s="4" t="s">
        <v>1905</v>
      </c>
      <c r="B626" s="4">
        <v>2014</v>
      </c>
      <c r="C626" s="4" t="s">
        <v>1916</v>
      </c>
      <c r="D626" s="4" t="s">
        <v>1917</v>
      </c>
      <c r="E626" s="4" t="s">
        <v>443</v>
      </c>
      <c r="F626" s="1" t="s">
        <v>508</v>
      </c>
    </row>
    <row r="627" spans="1:6" ht="15.75" customHeight="1">
      <c r="A627" s="4" t="s">
        <v>1905</v>
      </c>
      <c r="B627" s="4">
        <v>2018</v>
      </c>
      <c r="C627" s="4" t="s">
        <v>1918</v>
      </c>
      <c r="D627" s="4" t="s">
        <v>1919</v>
      </c>
      <c r="E627" s="4" t="s">
        <v>443</v>
      </c>
      <c r="F627" s="1" t="s">
        <v>508</v>
      </c>
    </row>
    <row r="628" spans="1:6" ht="15.75" customHeight="1">
      <c r="A628" s="4" t="s">
        <v>1905</v>
      </c>
      <c r="B628" s="4">
        <v>2015</v>
      </c>
      <c r="C628" s="4" t="s">
        <v>1920</v>
      </c>
      <c r="D628" s="4" t="s">
        <v>1921</v>
      </c>
      <c r="E628" s="4" t="s">
        <v>443</v>
      </c>
      <c r="F628" s="1" t="s">
        <v>508</v>
      </c>
    </row>
    <row r="629" spans="1:6" ht="15.75" customHeight="1">
      <c r="A629" s="4" t="s">
        <v>112</v>
      </c>
      <c r="B629" s="4">
        <v>1993</v>
      </c>
      <c r="C629" s="4" t="s">
        <v>1922</v>
      </c>
      <c r="D629" s="4" t="s">
        <v>1923</v>
      </c>
      <c r="E629" s="4" t="s">
        <v>443</v>
      </c>
      <c r="F629" s="1" t="s">
        <v>508</v>
      </c>
    </row>
    <row r="630" spans="1:6" ht="15.75" customHeight="1">
      <c r="A630" s="4" t="s">
        <v>112</v>
      </c>
      <c r="B630" s="4">
        <v>1994</v>
      </c>
      <c r="C630" s="4" t="s">
        <v>1924</v>
      </c>
      <c r="D630" s="4" t="s">
        <v>1925</v>
      </c>
      <c r="E630" s="4" t="s">
        <v>443</v>
      </c>
      <c r="F630" s="1" t="s">
        <v>508</v>
      </c>
    </row>
    <row r="631" spans="1:6" ht="15.75" customHeight="1">
      <c r="A631" s="4" t="s">
        <v>1926</v>
      </c>
      <c r="B631" s="4">
        <v>1992</v>
      </c>
      <c r="D631" s="4" t="s">
        <v>1927</v>
      </c>
      <c r="E631" s="4" t="s">
        <v>443</v>
      </c>
      <c r="F631" s="1" t="s">
        <v>508</v>
      </c>
    </row>
    <row r="632" spans="1:6" ht="15.75" customHeight="1">
      <c r="A632" s="4" t="s">
        <v>1928</v>
      </c>
      <c r="B632" s="4">
        <v>2000</v>
      </c>
      <c r="C632" s="4" t="s">
        <v>1929</v>
      </c>
      <c r="D632" s="4" t="s">
        <v>1930</v>
      </c>
      <c r="E632" s="4" t="s">
        <v>443</v>
      </c>
      <c r="F632" s="1" t="s">
        <v>508</v>
      </c>
    </row>
    <row r="633" spans="1:6" ht="15.75" customHeight="1">
      <c r="A633" s="4" t="s">
        <v>1931</v>
      </c>
      <c r="B633" s="4">
        <v>2015</v>
      </c>
      <c r="C633" s="4" t="s">
        <v>1932</v>
      </c>
      <c r="D633" s="4" t="s">
        <v>1933</v>
      </c>
      <c r="E633" s="4" t="s">
        <v>443</v>
      </c>
      <c r="F633" s="1" t="s">
        <v>508</v>
      </c>
    </row>
    <row r="634" spans="1:6" ht="15.75" customHeight="1">
      <c r="A634" s="4" t="s">
        <v>1934</v>
      </c>
      <c r="B634" s="4">
        <v>2021</v>
      </c>
      <c r="C634" s="4" t="s">
        <v>1935</v>
      </c>
      <c r="D634" s="4" t="s">
        <v>1936</v>
      </c>
      <c r="E634" s="4" t="s">
        <v>443</v>
      </c>
      <c r="F634" s="1" t="s">
        <v>1047</v>
      </c>
    </row>
    <row r="635" spans="1:6" ht="15.75" customHeight="1">
      <c r="A635" s="4" t="s">
        <v>567</v>
      </c>
      <c r="B635" s="4">
        <v>2009</v>
      </c>
      <c r="D635" s="4" t="s">
        <v>1937</v>
      </c>
      <c r="E635" s="4" t="s">
        <v>443</v>
      </c>
      <c r="F635" s="1" t="s">
        <v>1047</v>
      </c>
    </row>
    <row r="636" spans="1:6" ht="15.75" customHeight="1">
      <c r="A636" s="4" t="s">
        <v>567</v>
      </c>
      <c r="B636" s="4">
        <v>2014</v>
      </c>
      <c r="D636" s="4" t="s">
        <v>1938</v>
      </c>
      <c r="E636" s="4" t="s">
        <v>443</v>
      </c>
      <c r="F636" s="1" t="s">
        <v>1047</v>
      </c>
    </row>
    <row r="637" spans="1:6" ht="15.75" customHeight="1">
      <c r="A637" s="4" t="s">
        <v>1939</v>
      </c>
      <c r="B637" s="4">
        <v>2021</v>
      </c>
      <c r="C637" s="4" t="s">
        <v>1940</v>
      </c>
      <c r="D637" s="4" t="s">
        <v>1941</v>
      </c>
      <c r="E637" s="4" t="s">
        <v>443</v>
      </c>
      <c r="F637" s="1" t="s">
        <v>508</v>
      </c>
    </row>
    <row r="638" spans="1:6" ht="15.75" customHeight="1">
      <c r="A638" s="4" t="s">
        <v>1942</v>
      </c>
      <c r="B638" s="4">
        <v>2017</v>
      </c>
      <c r="C638" s="4" t="s">
        <v>1943</v>
      </c>
      <c r="D638" s="4" t="s">
        <v>1944</v>
      </c>
      <c r="E638" s="4" t="s">
        <v>443</v>
      </c>
      <c r="F638" s="1" t="s">
        <v>508</v>
      </c>
    </row>
    <row r="639" spans="1:6" ht="15.75" customHeight="1">
      <c r="A639" s="4" t="s">
        <v>1945</v>
      </c>
      <c r="B639" s="4">
        <v>1999</v>
      </c>
      <c r="D639" s="4" t="s">
        <v>1946</v>
      </c>
      <c r="E639" s="4" t="s">
        <v>443</v>
      </c>
      <c r="F639" s="1" t="s">
        <v>508</v>
      </c>
    </row>
    <row r="640" spans="1:6" ht="15.75" customHeight="1">
      <c r="A640" s="4" t="s">
        <v>1947</v>
      </c>
      <c r="B640" s="4">
        <v>1994</v>
      </c>
      <c r="D640" s="4" t="s">
        <v>1948</v>
      </c>
      <c r="E640" s="4" t="s">
        <v>443</v>
      </c>
      <c r="F640" s="1" t="s">
        <v>508</v>
      </c>
    </row>
    <row r="641" spans="1:6" ht="15.75" customHeight="1">
      <c r="A641" s="4" t="s">
        <v>1949</v>
      </c>
      <c r="B641" s="4">
        <v>1992</v>
      </c>
      <c r="C641" s="4" t="s">
        <v>1950</v>
      </c>
      <c r="D641" s="4" t="s">
        <v>1951</v>
      </c>
      <c r="E641" s="4" t="s">
        <v>443</v>
      </c>
      <c r="F641" s="1" t="s">
        <v>508</v>
      </c>
    </row>
    <row r="642" spans="1:6" ht="15.75" customHeight="1">
      <c r="A642" s="4" t="s">
        <v>1952</v>
      </c>
      <c r="B642" s="4">
        <v>2018</v>
      </c>
      <c r="C642" s="4" t="s">
        <v>1953</v>
      </c>
      <c r="D642" s="4" t="s">
        <v>1954</v>
      </c>
      <c r="E642" s="4" t="s">
        <v>443</v>
      </c>
      <c r="F642" s="1" t="s">
        <v>508</v>
      </c>
    </row>
    <row r="643" spans="1:6" ht="15.75" customHeight="1">
      <c r="A643" s="4" t="s">
        <v>1955</v>
      </c>
      <c r="B643" s="4">
        <v>2017</v>
      </c>
      <c r="C643" s="4" t="s">
        <v>1956</v>
      </c>
      <c r="D643" s="4" t="s">
        <v>1957</v>
      </c>
      <c r="E643" s="4" t="s">
        <v>443</v>
      </c>
      <c r="F643" s="1" t="s">
        <v>508</v>
      </c>
    </row>
    <row r="644" spans="1:6" ht="15.75" customHeight="1">
      <c r="A644" s="4" t="s">
        <v>1958</v>
      </c>
      <c r="B644" s="4">
        <v>2001</v>
      </c>
      <c r="C644" s="4" t="s">
        <v>1959</v>
      </c>
      <c r="D644" s="4" t="s">
        <v>1960</v>
      </c>
      <c r="E644" s="4" t="s">
        <v>443</v>
      </c>
      <c r="F644" s="1" t="s">
        <v>508</v>
      </c>
    </row>
    <row r="645" spans="1:6" ht="15.75" customHeight="1">
      <c r="A645" s="4" t="s">
        <v>1961</v>
      </c>
      <c r="B645" s="4">
        <v>2014</v>
      </c>
      <c r="C645" s="4" t="s">
        <v>1962</v>
      </c>
      <c r="D645" s="4" t="s">
        <v>1963</v>
      </c>
      <c r="E645" s="4" t="s">
        <v>443</v>
      </c>
      <c r="F645" s="1" t="s">
        <v>508</v>
      </c>
    </row>
    <row r="646" spans="1:6" ht="15.75" customHeight="1">
      <c r="A646" s="4" t="s">
        <v>1964</v>
      </c>
      <c r="B646" s="4">
        <v>2019</v>
      </c>
      <c r="C646" s="4" t="s">
        <v>1965</v>
      </c>
      <c r="D646" s="4" t="s">
        <v>1966</v>
      </c>
      <c r="E646" s="4" t="s">
        <v>443</v>
      </c>
      <c r="F646" s="1" t="s">
        <v>508</v>
      </c>
    </row>
    <row r="647" spans="1:6" ht="15.75" customHeight="1">
      <c r="A647" s="4" t="s">
        <v>1967</v>
      </c>
      <c r="B647" s="4">
        <v>2018</v>
      </c>
      <c r="C647" s="4" t="s">
        <v>1968</v>
      </c>
      <c r="D647" s="4" t="s">
        <v>1969</v>
      </c>
      <c r="E647" s="4" t="s">
        <v>443</v>
      </c>
      <c r="F647" s="1" t="s">
        <v>508</v>
      </c>
    </row>
    <row r="648" spans="1:6" ht="15.75" customHeight="1">
      <c r="A648" s="4" t="s">
        <v>1967</v>
      </c>
      <c r="B648" s="4">
        <v>2016</v>
      </c>
      <c r="C648" s="4" t="s">
        <v>1970</v>
      </c>
      <c r="D648" s="4" t="s">
        <v>1971</v>
      </c>
      <c r="E648" s="4" t="s">
        <v>443</v>
      </c>
      <c r="F648" s="1" t="s">
        <v>508</v>
      </c>
    </row>
    <row r="649" spans="1:6" ht="15.75" customHeight="1">
      <c r="A649" s="4" t="s">
        <v>1972</v>
      </c>
      <c r="B649" s="4">
        <v>2004</v>
      </c>
      <c r="C649" s="4" t="s">
        <v>1973</v>
      </c>
      <c r="D649" s="4" t="s">
        <v>1974</v>
      </c>
      <c r="E649" s="4" t="s">
        <v>443</v>
      </c>
      <c r="F649" s="1" t="s">
        <v>508</v>
      </c>
    </row>
    <row r="650" spans="1:6" ht="15.75" customHeight="1">
      <c r="A650" s="4" t="s">
        <v>1975</v>
      </c>
      <c r="B650" s="4">
        <v>1989</v>
      </c>
      <c r="C650" s="4" t="s">
        <v>1976</v>
      </c>
      <c r="D650" s="4" t="s">
        <v>1977</v>
      </c>
      <c r="E650" s="4" t="s">
        <v>443</v>
      </c>
      <c r="F650" s="1" t="s">
        <v>508</v>
      </c>
    </row>
    <row r="651" spans="1:6" ht="15.75" customHeight="1">
      <c r="A651" s="4" t="s">
        <v>1978</v>
      </c>
      <c r="B651" s="4">
        <v>2019</v>
      </c>
      <c r="C651" s="4" t="s">
        <v>1979</v>
      </c>
      <c r="D651" s="4" t="s">
        <v>1980</v>
      </c>
      <c r="E651" s="4" t="s">
        <v>443</v>
      </c>
      <c r="F651" s="1" t="s">
        <v>508</v>
      </c>
    </row>
    <row r="652" spans="1:6" ht="15.75" customHeight="1">
      <c r="A652" s="4" t="s">
        <v>1981</v>
      </c>
      <c r="B652" s="4">
        <v>1996</v>
      </c>
      <c r="C652" s="4" t="s">
        <v>1982</v>
      </c>
      <c r="D652" s="4" t="s">
        <v>1983</v>
      </c>
      <c r="E652" s="4" t="s">
        <v>443</v>
      </c>
      <c r="F652" s="1" t="s">
        <v>508</v>
      </c>
    </row>
    <row r="653" spans="1:6" ht="15.75" customHeight="1">
      <c r="A653" s="4" t="s">
        <v>1984</v>
      </c>
      <c r="B653" s="4">
        <v>2001</v>
      </c>
      <c r="C653" s="4" t="s">
        <v>1985</v>
      </c>
      <c r="D653" s="4" t="s">
        <v>1986</v>
      </c>
      <c r="E653" s="4" t="s">
        <v>443</v>
      </c>
      <c r="F653" s="1" t="s">
        <v>508</v>
      </c>
    </row>
    <row r="654" spans="1:6" ht="15.75" customHeight="1">
      <c r="A654" s="4" t="s">
        <v>1987</v>
      </c>
      <c r="B654" s="4">
        <v>2012</v>
      </c>
      <c r="C654" s="4" t="s">
        <v>1988</v>
      </c>
      <c r="D654" s="4" t="s">
        <v>1989</v>
      </c>
      <c r="E654" s="4" t="s">
        <v>443</v>
      </c>
      <c r="F654" s="1" t="s">
        <v>508</v>
      </c>
    </row>
    <row r="655" spans="1:6" ht="15.75" customHeight="1">
      <c r="A655" s="4" t="s">
        <v>1990</v>
      </c>
      <c r="B655" s="4">
        <v>2014</v>
      </c>
      <c r="C655" s="4" t="s">
        <v>1991</v>
      </c>
      <c r="D655" s="4" t="s">
        <v>1992</v>
      </c>
      <c r="E655" s="4" t="s">
        <v>443</v>
      </c>
      <c r="F655" s="1" t="s">
        <v>1047</v>
      </c>
    </row>
    <row r="656" spans="1:6" ht="15.75" customHeight="1">
      <c r="A656" s="4" t="s">
        <v>1993</v>
      </c>
      <c r="B656" s="4">
        <v>1994</v>
      </c>
      <c r="C656" s="4" t="s">
        <v>1994</v>
      </c>
      <c r="D656" s="4" t="s">
        <v>1995</v>
      </c>
      <c r="E656" s="4" t="s">
        <v>443</v>
      </c>
      <c r="F656" s="1" t="s">
        <v>508</v>
      </c>
    </row>
    <row r="657" spans="1:6" ht="15.75" customHeight="1">
      <c r="A657" s="4" t="s">
        <v>1996</v>
      </c>
      <c r="B657" s="4">
        <v>1999</v>
      </c>
      <c r="D657" s="4" t="s">
        <v>1997</v>
      </c>
      <c r="E657" s="4" t="s">
        <v>443</v>
      </c>
      <c r="F657" s="1" t="s">
        <v>508</v>
      </c>
    </row>
    <row r="658" spans="1:6" ht="15.75" customHeight="1">
      <c r="A658" s="4" t="s">
        <v>1998</v>
      </c>
      <c r="B658" s="4">
        <v>2023</v>
      </c>
      <c r="C658" s="4" t="s">
        <v>1999</v>
      </c>
      <c r="D658" s="4" t="s">
        <v>2000</v>
      </c>
      <c r="E658" s="4" t="s">
        <v>443</v>
      </c>
      <c r="F658" s="1" t="s">
        <v>508</v>
      </c>
    </row>
    <row r="659" spans="1:6" ht="15.75" customHeight="1">
      <c r="A659" s="4" t="s">
        <v>2001</v>
      </c>
      <c r="B659" s="4">
        <v>1990</v>
      </c>
      <c r="C659" s="4" t="s">
        <v>2002</v>
      </c>
      <c r="D659" s="4" t="s">
        <v>2003</v>
      </c>
      <c r="E659" s="4" t="s">
        <v>443</v>
      </c>
      <c r="F659" s="1" t="s">
        <v>508</v>
      </c>
    </row>
    <row r="660" spans="1:6" ht="15.75" customHeight="1">
      <c r="A660" s="4" t="s">
        <v>2004</v>
      </c>
      <c r="B660" s="4">
        <v>2019</v>
      </c>
      <c r="C660" s="4" t="s">
        <v>2005</v>
      </c>
      <c r="D660" s="4" t="s">
        <v>2006</v>
      </c>
      <c r="E660" s="4" t="s">
        <v>443</v>
      </c>
      <c r="F660" s="1" t="s">
        <v>508</v>
      </c>
    </row>
    <row r="661" spans="1:6" ht="15.75" customHeight="1">
      <c r="A661" s="4" t="s">
        <v>2007</v>
      </c>
      <c r="B661" s="4">
        <v>2012</v>
      </c>
      <c r="C661" s="4" t="s">
        <v>2008</v>
      </c>
      <c r="D661" s="4" t="s">
        <v>2009</v>
      </c>
      <c r="E661" s="4" t="s">
        <v>443</v>
      </c>
      <c r="F661" s="1" t="s">
        <v>508</v>
      </c>
    </row>
    <row r="662" spans="1:6" ht="15.75" customHeight="1">
      <c r="A662" s="4" t="s">
        <v>2010</v>
      </c>
      <c r="B662" s="4">
        <v>2020</v>
      </c>
      <c r="C662" s="4" t="s">
        <v>2011</v>
      </c>
      <c r="D662" s="4" t="s">
        <v>2012</v>
      </c>
      <c r="E662" s="4" t="s">
        <v>443</v>
      </c>
      <c r="F662" s="1" t="s">
        <v>508</v>
      </c>
    </row>
    <row r="663" spans="1:6" ht="15.75" customHeight="1">
      <c r="A663" s="4" t="s">
        <v>2013</v>
      </c>
      <c r="B663" s="4">
        <v>1999</v>
      </c>
      <c r="C663" s="4" t="s">
        <v>2014</v>
      </c>
      <c r="D663" s="4" t="s">
        <v>2015</v>
      </c>
      <c r="E663" s="4" t="s">
        <v>443</v>
      </c>
      <c r="F663" s="1" t="s">
        <v>508</v>
      </c>
    </row>
    <row r="664" spans="1:6" ht="15.75" customHeight="1">
      <c r="A664" s="4" t="s">
        <v>2016</v>
      </c>
      <c r="B664" s="4">
        <v>2007</v>
      </c>
      <c r="C664" s="4" t="s">
        <v>2017</v>
      </c>
      <c r="D664" s="4" t="s">
        <v>2018</v>
      </c>
      <c r="E664" s="4" t="s">
        <v>443</v>
      </c>
      <c r="F664" s="1" t="s">
        <v>508</v>
      </c>
    </row>
    <row r="665" spans="1:6" ht="15.75" customHeight="1">
      <c r="A665" s="4" t="s">
        <v>2019</v>
      </c>
      <c r="B665" s="4">
        <v>2009</v>
      </c>
      <c r="C665" s="4" t="s">
        <v>2020</v>
      </c>
      <c r="D665" s="4" t="s">
        <v>2021</v>
      </c>
      <c r="E665" s="4" t="s">
        <v>443</v>
      </c>
      <c r="F665" s="1" t="s">
        <v>508</v>
      </c>
    </row>
    <row r="666" spans="1:6" ht="15.75" customHeight="1">
      <c r="A666" s="4" t="s">
        <v>2022</v>
      </c>
      <c r="B666" s="4">
        <v>2003</v>
      </c>
      <c r="C666" s="4" t="s">
        <v>2023</v>
      </c>
      <c r="D666" s="4" t="s">
        <v>2024</v>
      </c>
      <c r="E666" s="4" t="s">
        <v>443</v>
      </c>
      <c r="F666" s="1" t="s">
        <v>508</v>
      </c>
    </row>
    <row r="667" spans="1:6" ht="15.75" customHeight="1">
      <c r="A667" s="4" t="s">
        <v>2025</v>
      </c>
      <c r="B667" s="4">
        <v>2015</v>
      </c>
      <c r="C667" s="4" t="s">
        <v>2026</v>
      </c>
      <c r="D667" s="4" t="s">
        <v>2027</v>
      </c>
      <c r="E667" s="4" t="s">
        <v>443</v>
      </c>
      <c r="F667" s="1" t="s">
        <v>508</v>
      </c>
    </row>
    <row r="668" spans="1:6" ht="15.75" customHeight="1">
      <c r="A668" s="4" t="s">
        <v>2028</v>
      </c>
      <c r="B668" s="4">
        <v>1996</v>
      </c>
      <c r="D668" s="4" t="s">
        <v>2029</v>
      </c>
      <c r="E668" s="4" t="s">
        <v>443</v>
      </c>
      <c r="F668" s="1" t="s">
        <v>508</v>
      </c>
    </row>
    <row r="669" spans="1:6" ht="15.75" customHeight="1">
      <c r="A669" s="4" t="s">
        <v>2030</v>
      </c>
      <c r="B669" s="4">
        <v>2011</v>
      </c>
      <c r="C669" s="4" t="s">
        <v>2031</v>
      </c>
      <c r="D669" s="4" t="s">
        <v>2032</v>
      </c>
      <c r="E669" s="4" t="s">
        <v>443</v>
      </c>
      <c r="F669" s="1" t="s">
        <v>508</v>
      </c>
    </row>
    <row r="670" spans="1:6" ht="15.75" customHeight="1">
      <c r="A670" s="4" t="s">
        <v>2033</v>
      </c>
      <c r="B670" s="4">
        <v>1991</v>
      </c>
      <c r="C670" s="4" t="s">
        <v>2034</v>
      </c>
      <c r="D670" s="4" t="s">
        <v>2035</v>
      </c>
      <c r="E670" s="4" t="s">
        <v>443</v>
      </c>
      <c r="F670" s="1" t="s">
        <v>508</v>
      </c>
    </row>
    <row r="671" spans="1:6" ht="15.75" customHeight="1">
      <c r="A671" s="4" t="s">
        <v>2036</v>
      </c>
      <c r="B671" s="4">
        <v>2017</v>
      </c>
      <c r="C671" s="4" t="s">
        <v>2037</v>
      </c>
      <c r="D671" s="4" t="s">
        <v>2038</v>
      </c>
      <c r="E671" s="4" t="s">
        <v>443</v>
      </c>
      <c r="F671" s="1" t="s">
        <v>508</v>
      </c>
    </row>
    <row r="672" spans="1:6" ht="15.75" customHeight="1">
      <c r="A672" s="4" t="s">
        <v>2039</v>
      </c>
      <c r="B672" s="4">
        <v>2017</v>
      </c>
      <c r="C672" s="4" t="s">
        <v>2040</v>
      </c>
      <c r="D672" s="4" t="s">
        <v>2041</v>
      </c>
      <c r="E672" s="4" t="s">
        <v>443</v>
      </c>
      <c r="F672" s="1" t="s">
        <v>508</v>
      </c>
    </row>
    <row r="673" spans="1:6" ht="15.75" customHeight="1">
      <c r="A673" s="4" t="s">
        <v>2042</v>
      </c>
      <c r="B673" s="4">
        <v>2018</v>
      </c>
      <c r="C673" s="4" t="s">
        <v>2043</v>
      </c>
      <c r="D673" s="4" t="s">
        <v>2044</v>
      </c>
      <c r="E673" s="4" t="s">
        <v>443</v>
      </c>
      <c r="F673" s="1" t="s">
        <v>508</v>
      </c>
    </row>
    <row r="674" spans="1:6" ht="15.75" customHeight="1">
      <c r="A674" s="4" t="s">
        <v>2045</v>
      </c>
      <c r="B674" s="4">
        <v>2008</v>
      </c>
      <c r="C674" s="4" t="s">
        <v>2046</v>
      </c>
      <c r="D674" s="4" t="s">
        <v>2047</v>
      </c>
      <c r="E674" s="4" t="s">
        <v>443</v>
      </c>
      <c r="F674" s="1" t="s">
        <v>508</v>
      </c>
    </row>
    <row r="675" spans="1:6" ht="15.75" customHeight="1">
      <c r="A675" s="4" t="s">
        <v>2048</v>
      </c>
      <c r="B675" s="4">
        <v>2011</v>
      </c>
      <c r="C675" s="4" t="s">
        <v>2049</v>
      </c>
      <c r="D675" s="4" t="s">
        <v>2050</v>
      </c>
      <c r="E675" s="4" t="s">
        <v>443</v>
      </c>
      <c r="F675" s="1" t="s">
        <v>508</v>
      </c>
    </row>
    <row r="676" spans="1:6" ht="15.75" customHeight="1">
      <c r="A676" s="4" t="s">
        <v>2051</v>
      </c>
      <c r="B676" s="4">
        <v>1998</v>
      </c>
      <c r="C676" s="4" t="s">
        <v>2052</v>
      </c>
      <c r="D676" s="4" t="s">
        <v>2053</v>
      </c>
      <c r="E676" s="4" t="s">
        <v>443</v>
      </c>
      <c r="F676" s="1" t="s">
        <v>508</v>
      </c>
    </row>
    <row r="677" spans="1:6" ht="15.75" customHeight="1">
      <c r="A677" s="4" t="s">
        <v>2051</v>
      </c>
      <c r="B677" s="4">
        <v>2008</v>
      </c>
      <c r="C677" s="4" t="s">
        <v>2054</v>
      </c>
      <c r="D677" s="4" t="s">
        <v>2055</v>
      </c>
      <c r="E677" s="4" t="s">
        <v>443</v>
      </c>
      <c r="F677" s="1" t="s">
        <v>508</v>
      </c>
    </row>
    <row r="678" spans="1:6" ht="15.75" customHeight="1">
      <c r="A678" s="4" t="s">
        <v>2051</v>
      </c>
      <c r="B678" s="4">
        <v>1995</v>
      </c>
      <c r="D678" s="4" t="s">
        <v>2056</v>
      </c>
      <c r="E678" s="4" t="s">
        <v>443</v>
      </c>
      <c r="F678" s="1" t="s">
        <v>508</v>
      </c>
    </row>
    <row r="679" spans="1:6" ht="15.75" customHeight="1">
      <c r="A679" s="4" t="s">
        <v>2051</v>
      </c>
      <c r="B679" s="4">
        <v>1996</v>
      </c>
      <c r="C679" s="4" t="s">
        <v>2057</v>
      </c>
      <c r="D679" s="4" t="s">
        <v>2058</v>
      </c>
      <c r="E679" s="4" t="s">
        <v>443</v>
      </c>
      <c r="F679" s="1" t="s">
        <v>508</v>
      </c>
    </row>
    <row r="680" spans="1:6" ht="15.75" customHeight="1">
      <c r="A680" s="4" t="s">
        <v>2051</v>
      </c>
      <c r="B680" s="4">
        <v>1996</v>
      </c>
      <c r="C680" s="4" t="s">
        <v>2059</v>
      </c>
      <c r="D680" s="4" t="s">
        <v>2060</v>
      </c>
      <c r="E680" s="4" t="s">
        <v>443</v>
      </c>
      <c r="F680" s="1" t="s">
        <v>508</v>
      </c>
    </row>
    <row r="681" spans="1:6" ht="15.75" customHeight="1">
      <c r="A681" s="4" t="s">
        <v>2061</v>
      </c>
      <c r="B681" s="4">
        <v>1991</v>
      </c>
      <c r="C681" s="4" t="s">
        <v>2062</v>
      </c>
      <c r="D681" s="4" t="s">
        <v>2063</v>
      </c>
      <c r="E681" s="4" t="s">
        <v>443</v>
      </c>
      <c r="F681" s="1" t="s">
        <v>508</v>
      </c>
    </row>
    <row r="682" spans="1:6" ht="15.75" customHeight="1">
      <c r="A682" s="4" t="s">
        <v>2061</v>
      </c>
      <c r="B682" s="4">
        <v>1996</v>
      </c>
      <c r="C682" s="4" t="s">
        <v>2064</v>
      </c>
      <c r="D682" s="4" t="s">
        <v>2065</v>
      </c>
      <c r="E682" s="4" t="s">
        <v>443</v>
      </c>
      <c r="F682" s="1" t="s">
        <v>508</v>
      </c>
    </row>
    <row r="683" spans="1:6" ht="15.75" customHeight="1">
      <c r="A683" s="4" t="s">
        <v>2061</v>
      </c>
      <c r="B683" s="4">
        <v>1995</v>
      </c>
      <c r="C683" s="4" t="s">
        <v>2066</v>
      </c>
      <c r="D683" s="4" t="s">
        <v>2067</v>
      </c>
      <c r="E683" s="4" t="s">
        <v>443</v>
      </c>
      <c r="F683" s="1" t="s">
        <v>508</v>
      </c>
    </row>
    <row r="684" spans="1:6" ht="15.75" customHeight="1">
      <c r="A684" s="4" t="s">
        <v>2061</v>
      </c>
      <c r="B684" s="4">
        <v>1994</v>
      </c>
      <c r="C684" s="4" t="s">
        <v>2068</v>
      </c>
      <c r="D684" s="4" t="s">
        <v>2069</v>
      </c>
      <c r="E684" s="4" t="s">
        <v>443</v>
      </c>
      <c r="F684" s="1" t="s">
        <v>508</v>
      </c>
    </row>
    <row r="685" spans="1:6" ht="15.75" customHeight="1">
      <c r="A685" s="4" t="s">
        <v>2070</v>
      </c>
      <c r="B685" s="4">
        <v>1999</v>
      </c>
      <c r="D685" s="4" t="s">
        <v>2071</v>
      </c>
      <c r="E685" s="4" t="s">
        <v>443</v>
      </c>
      <c r="F685" s="1" t="s">
        <v>1047</v>
      </c>
    </row>
    <row r="686" spans="1:6" ht="15.75" customHeight="1">
      <c r="A686" s="4" t="s">
        <v>2072</v>
      </c>
      <c r="B686" s="4">
        <v>2011</v>
      </c>
      <c r="C686" s="4" t="s">
        <v>2073</v>
      </c>
      <c r="D686" s="4" t="s">
        <v>2074</v>
      </c>
      <c r="E686" s="4" t="s">
        <v>443</v>
      </c>
      <c r="F686" s="1" t="s">
        <v>508</v>
      </c>
    </row>
    <row r="687" spans="1:6" ht="15.75" customHeight="1">
      <c r="A687" s="4" t="s">
        <v>2075</v>
      </c>
      <c r="B687" s="4">
        <v>2019</v>
      </c>
      <c r="C687" s="4" t="s">
        <v>2076</v>
      </c>
      <c r="D687" s="4" t="s">
        <v>2077</v>
      </c>
      <c r="E687" s="4" t="s">
        <v>443</v>
      </c>
      <c r="F687" s="1" t="s">
        <v>1048</v>
      </c>
    </row>
    <row r="688" spans="1:6" ht="15.75" customHeight="1">
      <c r="A688" s="4" t="s">
        <v>2075</v>
      </c>
      <c r="B688" s="4">
        <v>2020</v>
      </c>
      <c r="C688" s="4" t="s">
        <v>2078</v>
      </c>
      <c r="D688" s="4" t="s">
        <v>2079</v>
      </c>
      <c r="E688" s="4" t="s">
        <v>443</v>
      </c>
      <c r="F688" s="1" t="s">
        <v>508</v>
      </c>
    </row>
    <row r="689" spans="1:6" ht="15.75" customHeight="1">
      <c r="A689" s="4" t="s">
        <v>2075</v>
      </c>
      <c r="B689" s="4">
        <v>2019</v>
      </c>
      <c r="C689" s="4" t="s">
        <v>2080</v>
      </c>
      <c r="D689" s="4" t="s">
        <v>2081</v>
      </c>
      <c r="E689" s="4" t="s">
        <v>443</v>
      </c>
      <c r="F689" s="1" t="s">
        <v>508</v>
      </c>
    </row>
    <row r="690" spans="1:6" ht="15.75" customHeight="1">
      <c r="A690" s="4" t="s">
        <v>2082</v>
      </c>
      <c r="B690" s="4">
        <v>2023</v>
      </c>
      <c r="C690" s="4" t="s">
        <v>2083</v>
      </c>
      <c r="D690" s="4" t="s">
        <v>2084</v>
      </c>
      <c r="E690" s="4" t="s">
        <v>443</v>
      </c>
      <c r="F690" s="1" t="s">
        <v>508</v>
      </c>
    </row>
    <row r="691" spans="1:6" ht="15.75" customHeight="1">
      <c r="A691" s="4" t="s">
        <v>2085</v>
      </c>
      <c r="B691" s="4">
        <v>2007</v>
      </c>
      <c r="C691" s="4" t="s">
        <v>2086</v>
      </c>
      <c r="D691" s="4" t="s">
        <v>2087</v>
      </c>
      <c r="E691" s="4" t="s">
        <v>443</v>
      </c>
      <c r="F691" s="1" t="s">
        <v>508</v>
      </c>
    </row>
    <row r="692" spans="1:6" ht="15.75" customHeight="1">
      <c r="A692" s="4" t="s">
        <v>2088</v>
      </c>
      <c r="B692" s="4">
        <v>1989</v>
      </c>
      <c r="C692" s="4" t="s">
        <v>2089</v>
      </c>
      <c r="D692" s="4" t="s">
        <v>2090</v>
      </c>
      <c r="E692" s="4" t="s">
        <v>443</v>
      </c>
      <c r="F692" s="1" t="s">
        <v>508</v>
      </c>
    </row>
    <row r="693" spans="1:6" ht="15.75" customHeight="1">
      <c r="A693" s="4" t="s">
        <v>2091</v>
      </c>
      <c r="B693" s="4">
        <v>1999</v>
      </c>
      <c r="C693" s="4" t="s">
        <v>2092</v>
      </c>
      <c r="D693" s="4" t="s">
        <v>2093</v>
      </c>
      <c r="E693" s="4" t="s">
        <v>443</v>
      </c>
      <c r="F693" s="1" t="s">
        <v>508</v>
      </c>
    </row>
    <row r="694" spans="1:6" ht="15.75" customHeight="1">
      <c r="A694" s="4" t="s">
        <v>2094</v>
      </c>
      <c r="B694" s="4">
        <v>1992</v>
      </c>
      <c r="D694" s="4" t="s">
        <v>2095</v>
      </c>
      <c r="E694" s="4" t="s">
        <v>443</v>
      </c>
      <c r="F694" s="1" t="s">
        <v>508</v>
      </c>
    </row>
    <row r="695" spans="1:6" ht="15.75" customHeight="1">
      <c r="A695" s="4" t="s">
        <v>2094</v>
      </c>
      <c r="B695" s="4">
        <v>1990</v>
      </c>
      <c r="C695" s="4" t="s">
        <v>2096</v>
      </c>
      <c r="D695" s="4" t="s">
        <v>2097</v>
      </c>
      <c r="E695" s="4" t="s">
        <v>443</v>
      </c>
      <c r="F695" s="1" t="s">
        <v>508</v>
      </c>
    </row>
    <row r="696" spans="1:6" ht="15.75" customHeight="1">
      <c r="A696" s="4" t="s">
        <v>2094</v>
      </c>
      <c r="B696" s="4">
        <v>1994</v>
      </c>
      <c r="D696" s="4" t="s">
        <v>2098</v>
      </c>
      <c r="E696" s="4" t="s">
        <v>443</v>
      </c>
      <c r="F696" s="1" t="s">
        <v>508</v>
      </c>
    </row>
    <row r="697" spans="1:6" ht="15.75" customHeight="1">
      <c r="A697" s="4" t="s">
        <v>2094</v>
      </c>
      <c r="B697" s="4">
        <v>1990</v>
      </c>
      <c r="C697" s="4" t="s">
        <v>2099</v>
      </c>
      <c r="D697" s="4" t="s">
        <v>2100</v>
      </c>
      <c r="E697" s="4" t="s">
        <v>443</v>
      </c>
      <c r="F697" s="1" t="s">
        <v>508</v>
      </c>
    </row>
    <row r="698" spans="1:6" ht="15.75" customHeight="1">
      <c r="A698" s="4" t="s">
        <v>2094</v>
      </c>
      <c r="B698" s="4">
        <v>1990</v>
      </c>
      <c r="C698" s="4" t="s">
        <v>2101</v>
      </c>
      <c r="D698" s="4" t="s">
        <v>2102</v>
      </c>
      <c r="E698" s="4" t="s">
        <v>443</v>
      </c>
      <c r="F698" s="1" t="s">
        <v>508</v>
      </c>
    </row>
    <row r="699" spans="1:6" ht="15.75" customHeight="1">
      <c r="A699" s="4" t="s">
        <v>2103</v>
      </c>
      <c r="B699" s="4">
        <v>2017</v>
      </c>
      <c r="C699" s="4" t="s">
        <v>2104</v>
      </c>
      <c r="D699" s="4" t="s">
        <v>2105</v>
      </c>
      <c r="E699" s="4" t="s">
        <v>443</v>
      </c>
      <c r="F699" s="1" t="s">
        <v>508</v>
      </c>
    </row>
    <row r="700" spans="1:6" ht="15.75" customHeight="1">
      <c r="A700" s="4" t="s">
        <v>2106</v>
      </c>
      <c r="B700" s="4">
        <v>2011</v>
      </c>
      <c r="C700" s="4" t="s">
        <v>2107</v>
      </c>
      <c r="D700" s="4" t="s">
        <v>2108</v>
      </c>
      <c r="E700" s="4" t="s">
        <v>443</v>
      </c>
      <c r="F700" s="1" t="s">
        <v>508</v>
      </c>
    </row>
    <row r="701" spans="1:6" ht="15.75" customHeight="1">
      <c r="A701" s="4" t="s">
        <v>587</v>
      </c>
      <c r="B701" s="4">
        <v>2006</v>
      </c>
      <c r="D701" s="4" t="s">
        <v>2109</v>
      </c>
      <c r="E701" s="4" t="s">
        <v>443</v>
      </c>
      <c r="F701" s="1" t="s">
        <v>1047</v>
      </c>
    </row>
    <row r="702" spans="1:6" ht="15.75" customHeight="1">
      <c r="A702" s="4" t="s">
        <v>2110</v>
      </c>
      <c r="B702" s="4">
        <v>2006</v>
      </c>
      <c r="D702" s="4" t="s">
        <v>2111</v>
      </c>
      <c r="E702" s="4" t="s">
        <v>443</v>
      </c>
      <c r="F702" s="1" t="s">
        <v>1047</v>
      </c>
    </row>
    <row r="703" spans="1:6" ht="15.75" customHeight="1">
      <c r="A703" s="4" t="s">
        <v>2112</v>
      </c>
      <c r="B703" s="4">
        <v>2017</v>
      </c>
      <c r="C703" s="4" t="s">
        <v>2113</v>
      </c>
      <c r="D703" s="4" t="s">
        <v>2114</v>
      </c>
      <c r="E703" s="4" t="s">
        <v>443</v>
      </c>
      <c r="F703" s="1" t="s">
        <v>508</v>
      </c>
    </row>
    <row r="704" spans="1:6" ht="15.75" customHeight="1">
      <c r="A704" s="4" t="s">
        <v>2115</v>
      </c>
      <c r="B704" s="4">
        <v>1996</v>
      </c>
      <c r="D704" s="4" t="s">
        <v>2116</v>
      </c>
      <c r="E704" s="4" t="s">
        <v>443</v>
      </c>
      <c r="F704" s="1" t="s">
        <v>508</v>
      </c>
    </row>
    <row r="705" spans="1:6" ht="15.75" customHeight="1">
      <c r="A705" s="4" t="s">
        <v>2117</v>
      </c>
      <c r="B705" s="4">
        <v>1994</v>
      </c>
      <c r="D705" s="4" t="s">
        <v>2118</v>
      </c>
      <c r="E705" s="4" t="s">
        <v>443</v>
      </c>
      <c r="F705" s="1" t="s">
        <v>508</v>
      </c>
    </row>
    <row r="706" spans="1:6" ht="15.75" customHeight="1">
      <c r="A706" s="4" t="s">
        <v>2119</v>
      </c>
      <c r="B706" s="4">
        <v>2010</v>
      </c>
      <c r="C706" s="4" t="s">
        <v>2120</v>
      </c>
      <c r="D706" s="4" t="s">
        <v>2121</v>
      </c>
      <c r="E706" s="4" t="s">
        <v>443</v>
      </c>
      <c r="F706" s="1" t="s">
        <v>508</v>
      </c>
    </row>
    <row r="707" spans="1:6" ht="15.75" customHeight="1">
      <c r="A707" s="4" t="s">
        <v>590</v>
      </c>
      <c r="B707" s="4">
        <v>2005</v>
      </c>
      <c r="C707" s="4" t="s">
        <v>2122</v>
      </c>
      <c r="D707" s="4" t="s">
        <v>2123</v>
      </c>
      <c r="E707" s="4" t="s">
        <v>443</v>
      </c>
      <c r="F707" s="1" t="s">
        <v>508</v>
      </c>
    </row>
    <row r="708" spans="1:6" ht="15.75" customHeight="1">
      <c r="A708" s="4" t="s">
        <v>2124</v>
      </c>
      <c r="B708" s="4">
        <v>2010</v>
      </c>
      <c r="D708" s="4" t="s">
        <v>2125</v>
      </c>
      <c r="E708" s="4" t="s">
        <v>443</v>
      </c>
      <c r="F708" s="1" t="s">
        <v>508</v>
      </c>
    </row>
    <row r="709" spans="1:6" ht="15.75" customHeight="1">
      <c r="A709" s="4" t="s">
        <v>2126</v>
      </c>
      <c r="B709" s="4">
        <v>2003</v>
      </c>
      <c r="D709" s="4" t="s">
        <v>2127</v>
      </c>
      <c r="E709" s="4" t="s">
        <v>443</v>
      </c>
      <c r="F709" s="1" t="s">
        <v>508</v>
      </c>
    </row>
    <row r="710" spans="1:6" ht="15.75" customHeight="1">
      <c r="A710" s="4" t="s">
        <v>2128</v>
      </c>
      <c r="B710" s="4">
        <v>2009</v>
      </c>
      <c r="D710" s="4" t="s">
        <v>2129</v>
      </c>
      <c r="E710" s="4" t="s">
        <v>443</v>
      </c>
      <c r="F710" s="1" t="s">
        <v>508</v>
      </c>
    </row>
    <row r="711" spans="1:6" ht="15.75" customHeight="1">
      <c r="A711" s="4" t="s">
        <v>2130</v>
      </c>
      <c r="B711" s="4">
        <v>2023</v>
      </c>
      <c r="C711" s="4" t="s">
        <v>2131</v>
      </c>
      <c r="D711" s="4" t="s">
        <v>2132</v>
      </c>
      <c r="E711" s="4" t="s">
        <v>443</v>
      </c>
      <c r="F711" s="1" t="s">
        <v>508</v>
      </c>
    </row>
    <row r="712" spans="1:6" ht="15.75" customHeight="1">
      <c r="A712" s="4" t="s">
        <v>2133</v>
      </c>
      <c r="B712" s="4">
        <v>2006</v>
      </c>
      <c r="C712" s="4" t="s">
        <v>2134</v>
      </c>
      <c r="D712" s="4" t="s">
        <v>2135</v>
      </c>
      <c r="E712" s="4" t="s">
        <v>443</v>
      </c>
      <c r="F712" s="1" t="s">
        <v>508</v>
      </c>
    </row>
    <row r="713" spans="1:6" ht="15.75" customHeight="1">
      <c r="A713" s="4" t="s">
        <v>2136</v>
      </c>
      <c r="B713" s="4">
        <v>1996</v>
      </c>
      <c r="C713" s="4" t="s">
        <v>2137</v>
      </c>
      <c r="D713" s="4" t="s">
        <v>2138</v>
      </c>
      <c r="E713" s="4" t="s">
        <v>443</v>
      </c>
      <c r="F713" s="1" t="s">
        <v>508</v>
      </c>
    </row>
    <row r="714" spans="1:6" ht="15.75" customHeight="1">
      <c r="A714" s="4" t="s">
        <v>596</v>
      </c>
      <c r="B714" s="4">
        <v>2002</v>
      </c>
      <c r="C714" s="4" t="s">
        <v>2139</v>
      </c>
      <c r="D714" s="4" t="s">
        <v>2140</v>
      </c>
      <c r="E714" s="4" t="s">
        <v>443</v>
      </c>
      <c r="F714" s="1" t="s">
        <v>508</v>
      </c>
    </row>
    <row r="715" spans="1:6" ht="15.75" customHeight="1">
      <c r="A715" s="4" t="s">
        <v>596</v>
      </c>
      <c r="B715" s="4">
        <v>2001</v>
      </c>
      <c r="D715" s="4" t="s">
        <v>2141</v>
      </c>
      <c r="E715" s="4" t="s">
        <v>443</v>
      </c>
      <c r="F715" s="1" t="s">
        <v>1047</v>
      </c>
    </row>
    <row r="716" spans="1:6" ht="15.75" customHeight="1">
      <c r="A716" s="4" t="s">
        <v>2142</v>
      </c>
      <c r="B716" s="4">
        <v>1992</v>
      </c>
      <c r="C716" s="4" t="s">
        <v>2143</v>
      </c>
      <c r="D716" s="4" t="s">
        <v>2144</v>
      </c>
      <c r="E716" s="4" t="s">
        <v>443</v>
      </c>
      <c r="F716" s="1" t="s">
        <v>508</v>
      </c>
    </row>
    <row r="717" spans="1:6" ht="15.75" customHeight="1">
      <c r="A717" s="4" t="s">
        <v>2145</v>
      </c>
      <c r="B717" s="4">
        <v>2004</v>
      </c>
      <c r="C717" s="4" t="s">
        <v>2146</v>
      </c>
      <c r="D717" s="4" t="s">
        <v>2147</v>
      </c>
      <c r="E717" s="4" t="s">
        <v>443</v>
      </c>
      <c r="F717" s="1" t="s">
        <v>508</v>
      </c>
    </row>
    <row r="718" spans="1:6" ht="15.75" customHeight="1">
      <c r="A718" s="4" t="s">
        <v>2145</v>
      </c>
      <c r="B718" s="4">
        <v>2000</v>
      </c>
      <c r="D718" s="4" t="s">
        <v>2148</v>
      </c>
      <c r="E718" s="4" t="s">
        <v>443</v>
      </c>
      <c r="F718" s="1" t="s">
        <v>508</v>
      </c>
    </row>
    <row r="719" spans="1:6" ht="15.75" customHeight="1">
      <c r="A719" s="4" t="s">
        <v>2149</v>
      </c>
      <c r="B719" s="4">
        <v>2012</v>
      </c>
      <c r="C719" s="4" t="s">
        <v>2150</v>
      </c>
      <c r="D719" s="4" t="s">
        <v>2151</v>
      </c>
      <c r="E719" s="4" t="s">
        <v>443</v>
      </c>
      <c r="F719" s="1" t="s">
        <v>508</v>
      </c>
    </row>
    <row r="720" spans="1:6" ht="15.75" customHeight="1">
      <c r="A720" s="4" t="s">
        <v>601</v>
      </c>
      <c r="B720" s="4">
        <v>2012</v>
      </c>
      <c r="C720" s="4" t="s">
        <v>2152</v>
      </c>
      <c r="D720" s="4" t="s">
        <v>2153</v>
      </c>
      <c r="E720" s="4" t="s">
        <v>443</v>
      </c>
      <c r="F720" s="1" t="s">
        <v>508</v>
      </c>
    </row>
    <row r="721" spans="1:6" ht="15.75" customHeight="1">
      <c r="A721" s="4" t="s">
        <v>2154</v>
      </c>
      <c r="B721" s="4">
        <v>2012</v>
      </c>
      <c r="C721" s="4" t="s">
        <v>2155</v>
      </c>
      <c r="D721" s="4" t="s">
        <v>2156</v>
      </c>
      <c r="E721" s="4" t="s">
        <v>443</v>
      </c>
      <c r="F721" s="1" t="s">
        <v>508</v>
      </c>
    </row>
    <row r="722" spans="1:6" ht="15.75" customHeight="1">
      <c r="A722" s="4" t="s">
        <v>2157</v>
      </c>
      <c r="B722" s="4">
        <v>2008</v>
      </c>
      <c r="C722" s="4" t="s">
        <v>2158</v>
      </c>
      <c r="D722" s="4" t="s">
        <v>2159</v>
      </c>
      <c r="E722" s="4" t="s">
        <v>443</v>
      </c>
      <c r="F722" s="1" t="s">
        <v>508</v>
      </c>
    </row>
    <row r="723" spans="1:6" ht="15.75" customHeight="1">
      <c r="A723" s="4" t="s">
        <v>2160</v>
      </c>
      <c r="B723" s="4">
        <v>2004</v>
      </c>
      <c r="C723" s="4" t="s">
        <v>2161</v>
      </c>
      <c r="D723" s="4" t="s">
        <v>2162</v>
      </c>
      <c r="E723" s="4" t="s">
        <v>443</v>
      </c>
      <c r="F723" s="1" t="s">
        <v>508</v>
      </c>
    </row>
    <row r="724" spans="1:6" ht="15.75" customHeight="1">
      <c r="A724" s="4" t="s">
        <v>2163</v>
      </c>
      <c r="B724" s="4">
        <v>2005</v>
      </c>
      <c r="C724" s="4" t="s">
        <v>2164</v>
      </c>
      <c r="D724" s="4" t="s">
        <v>2165</v>
      </c>
      <c r="E724" s="4" t="s">
        <v>443</v>
      </c>
      <c r="F724" s="1" t="s">
        <v>508</v>
      </c>
    </row>
    <row r="725" spans="1:6" ht="15.75" customHeight="1">
      <c r="A725" s="4" t="s">
        <v>2166</v>
      </c>
      <c r="B725" s="4">
        <v>2009</v>
      </c>
      <c r="C725" s="4" t="s">
        <v>2167</v>
      </c>
      <c r="D725" s="4" t="s">
        <v>2168</v>
      </c>
      <c r="E725" s="4" t="s">
        <v>443</v>
      </c>
      <c r="F725" s="1" t="s">
        <v>508</v>
      </c>
    </row>
    <row r="726" spans="1:6" ht="15.75" customHeight="1">
      <c r="A726" s="4" t="s">
        <v>2169</v>
      </c>
      <c r="B726" s="4">
        <v>1999</v>
      </c>
      <c r="C726" s="4" t="s">
        <v>2170</v>
      </c>
      <c r="D726" s="4" t="s">
        <v>2171</v>
      </c>
      <c r="E726" s="4" t="s">
        <v>443</v>
      </c>
      <c r="F726" s="1" t="s">
        <v>508</v>
      </c>
    </row>
    <row r="727" spans="1:6" ht="15.75" customHeight="1">
      <c r="A727" s="4" t="s">
        <v>2169</v>
      </c>
      <c r="B727" s="4">
        <v>2000</v>
      </c>
      <c r="C727" s="4" t="s">
        <v>2172</v>
      </c>
      <c r="D727" s="4" t="s">
        <v>2173</v>
      </c>
      <c r="E727" s="4" t="s">
        <v>443</v>
      </c>
      <c r="F727" s="1" t="s">
        <v>508</v>
      </c>
    </row>
    <row r="728" spans="1:6" ht="15.75" customHeight="1">
      <c r="A728" s="4" t="s">
        <v>2174</v>
      </c>
      <c r="B728" s="4">
        <v>2013</v>
      </c>
      <c r="C728" s="4" t="s">
        <v>2175</v>
      </c>
      <c r="D728" s="4" t="s">
        <v>2176</v>
      </c>
      <c r="E728" s="4" t="s">
        <v>443</v>
      </c>
      <c r="F728" s="1" t="s">
        <v>508</v>
      </c>
    </row>
    <row r="729" spans="1:6" ht="15.75" customHeight="1">
      <c r="A729" s="4" t="s">
        <v>2177</v>
      </c>
      <c r="B729" s="4">
        <v>1990</v>
      </c>
      <c r="C729" s="4" t="s">
        <v>2178</v>
      </c>
      <c r="D729" s="4" t="s">
        <v>2179</v>
      </c>
      <c r="E729" s="4" t="s">
        <v>443</v>
      </c>
      <c r="F729" s="1" t="s">
        <v>508</v>
      </c>
    </row>
    <row r="730" spans="1:6" ht="15.75" customHeight="1">
      <c r="A730" s="4" t="s">
        <v>2180</v>
      </c>
      <c r="B730" s="4">
        <v>2016</v>
      </c>
      <c r="C730" s="4" t="s">
        <v>2181</v>
      </c>
      <c r="D730" s="4" t="s">
        <v>2182</v>
      </c>
      <c r="E730" s="4" t="s">
        <v>443</v>
      </c>
      <c r="F730" s="1" t="s">
        <v>508</v>
      </c>
    </row>
    <row r="731" spans="1:6" ht="15.75" customHeight="1">
      <c r="A731" s="4" t="s">
        <v>2183</v>
      </c>
      <c r="B731" s="4">
        <v>2023</v>
      </c>
      <c r="C731" s="4" t="s">
        <v>2184</v>
      </c>
      <c r="D731" s="4" t="s">
        <v>2185</v>
      </c>
      <c r="E731" s="4" t="s">
        <v>443</v>
      </c>
      <c r="F731" s="1" t="s">
        <v>508</v>
      </c>
    </row>
    <row r="732" spans="1:6" ht="15.75" customHeight="1">
      <c r="A732" s="4" t="s">
        <v>2186</v>
      </c>
      <c r="B732" s="4">
        <v>2005</v>
      </c>
      <c r="C732" s="4" t="s">
        <v>2187</v>
      </c>
      <c r="D732" s="4" t="s">
        <v>2188</v>
      </c>
      <c r="E732" s="4" t="s">
        <v>443</v>
      </c>
      <c r="F732" s="1" t="s">
        <v>508</v>
      </c>
    </row>
    <row r="733" spans="1:6" ht="15.75" customHeight="1">
      <c r="A733" s="4" t="s">
        <v>2189</v>
      </c>
      <c r="B733" s="4">
        <v>1998</v>
      </c>
      <c r="C733" s="4" t="s">
        <v>2190</v>
      </c>
      <c r="D733" s="4" t="s">
        <v>2191</v>
      </c>
      <c r="E733" s="4" t="s">
        <v>443</v>
      </c>
      <c r="F733" s="1" t="s">
        <v>508</v>
      </c>
    </row>
    <row r="734" spans="1:6" ht="15.75" customHeight="1">
      <c r="A734" s="4" t="s">
        <v>2189</v>
      </c>
      <c r="B734" s="4">
        <v>2002</v>
      </c>
      <c r="C734" s="4" t="s">
        <v>2192</v>
      </c>
      <c r="D734" s="4" t="s">
        <v>2193</v>
      </c>
      <c r="E734" s="4" t="s">
        <v>443</v>
      </c>
      <c r="F734" s="1" t="s">
        <v>1047</v>
      </c>
    </row>
    <row r="735" spans="1:6" ht="15.75" customHeight="1">
      <c r="A735" s="4" t="s">
        <v>2194</v>
      </c>
      <c r="B735" s="4">
        <v>1993</v>
      </c>
      <c r="C735" s="4" t="s">
        <v>2195</v>
      </c>
      <c r="D735" s="4" t="s">
        <v>2196</v>
      </c>
      <c r="E735" s="4" t="s">
        <v>443</v>
      </c>
      <c r="F735" s="1" t="s">
        <v>508</v>
      </c>
    </row>
    <row r="736" spans="1:6" ht="15.75" customHeight="1">
      <c r="A736" s="4" t="s">
        <v>2194</v>
      </c>
      <c r="B736" s="4">
        <v>1994</v>
      </c>
      <c r="C736" s="4" t="s">
        <v>2197</v>
      </c>
      <c r="D736" s="4" t="s">
        <v>2198</v>
      </c>
      <c r="E736" s="4" t="s">
        <v>443</v>
      </c>
      <c r="F736" s="1" t="s">
        <v>508</v>
      </c>
    </row>
    <row r="737" spans="1:6" ht="15.75" customHeight="1">
      <c r="A737" s="4" t="s">
        <v>2199</v>
      </c>
      <c r="B737" s="4">
        <v>2006</v>
      </c>
      <c r="D737" s="4" t="s">
        <v>2200</v>
      </c>
      <c r="E737" s="4" t="s">
        <v>443</v>
      </c>
      <c r="F737" s="1" t="s">
        <v>508</v>
      </c>
    </row>
    <row r="738" spans="1:6" ht="15.75" customHeight="1">
      <c r="A738" s="4" t="s">
        <v>2201</v>
      </c>
      <c r="B738" s="4">
        <v>1999</v>
      </c>
      <c r="D738" s="4" t="s">
        <v>2202</v>
      </c>
      <c r="E738" s="4" t="s">
        <v>443</v>
      </c>
      <c r="F738" s="1" t="s">
        <v>508</v>
      </c>
    </row>
    <row r="739" spans="1:6" ht="15.75" customHeight="1">
      <c r="A739" s="4" t="s">
        <v>2203</v>
      </c>
      <c r="B739" s="4">
        <v>2022</v>
      </c>
      <c r="C739" s="4" t="s">
        <v>2204</v>
      </c>
      <c r="D739" s="4" t="s">
        <v>2205</v>
      </c>
      <c r="E739" s="4" t="s">
        <v>443</v>
      </c>
      <c r="F739" s="1" t="s">
        <v>508</v>
      </c>
    </row>
    <row r="740" spans="1:6" ht="15.75" customHeight="1">
      <c r="A740" s="4" t="s">
        <v>2206</v>
      </c>
      <c r="B740" s="4">
        <v>2013</v>
      </c>
      <c r="C740" s="4" t="s">
        <v>2207</v>
      </c>
      <c r="D740" s="4" t="s">
        <v>2208</v>
      </c>
      <c r="E740" s="4" t="s">
        <v>443</v>
      </c>
      <c r="F740" s="1" t="s">
        <v>508</v>
      </c>
    </row>
    <row r="741" spans="1:6" ht="15.75" customHeight="1">
      <c r="A741" s="4" t="s">
        <v>2206</v>
      </c>
      <c r="B741" s="4">
        <v>2007</v>
      </c>
      <c r="C741" s="4" t="s">
        <v>2209</v>
      </c>
      <c r="D741" s="4" t="s">
        <v>2210</v>
      </c>
      <c r="E741" s="4" t="s">
        <v>443</v>
      </c>
      <c r="F741" s="1" t="s">
        <v>1047</v>
      </c>
    </row>
    <row r="742" spans="1:6" ht="15.75" customHeight="1">
      <c r="A742" s="4" t="s">
        <v>2211</v>
      </c>
      <c r="B742" s="4">
        <v>2018</v>
      </c>
      <c r="C742" s="4" t="s">
        <v>2212</v>
      </c>
      <c r="D742" s="4" t="s">
        <v>2213</v>
      </c>
      <c r="E742" s="4" t="s">
        <v>443</v>
      </c>
      <c r="F742" s="1" t="s">
        <v>508</v>
      </c>
    </row>
    <row r="743" spans="1:6" ht="15.75" customHeight="1">
      <c r="A743" s="4" t="s">
        <v>2214</v>
      </c>
      <c r="B743" s="4">
        <v>2000</v>
      </c>
      <c r="C743" s="4" t="s">
        <v>2215</v>
      </c>
      <c r="D743" s="4" t="s">
        <v>2216</v>
      </c>
      <c r="E743" s="4" t="s">
        <v>443</v>
      </c>
      <c r="F743" s="1" t="s">
        <v>508</v>
      </c>
    </row>
    <row r="744" spans="1:6" ht="15.75" customHeight="1">
      <c r="A744" s="4" t="s">
        <v>2214</v>
      </c>
      <c r="B744" s="4">
        <v>1999</v>
      </c>
      <c r="C744" s="4" t="s">
        <v>2217</v>
      </c>
      <c r="D744" s="4" t="s">
        <v>2218</v>
      </c>
      <c r="E744" s="4" t="s">
        <v>443</v>
      </c>
      <c r="F744" s="1" t="s">
        <v>508</v>
      </c>
    </row>
    <row r="745" spans="1:6" ht="15.75" customHeight="1">
      <c r="A745" s="4" t="s">
        <v>2214</v>
      </c>
      <c r="B745" s="4">
        <v>2002</v>
      </c>
      <c r="C745" s="4" t="s">
        <v>2219</v>
      </c>
      <c r="D745" s="4" t="s">
        <v>2220</v>
      </c>
      <c r="E745" s="4" t="s">
        <v>443</v>
      </c>
      <c r="F745" s="1" t="s">
        <v>508</v>
      </c>
    </row>
    <row r="746" spans="1:6" ht="15.75" customHeight="1">
      <c r="A746" s="4" t="s">
        <v>2221</v>
      </c>
      <c r="B746" s="4">
        <v>2003</v>
      </c>
      <c r="C746" s="4" t="s">
        <v>2222</v>
      </c>
      <c r="D746" s="4" t="s">
        <v>2223</v>
      </c>
      <c r="E746" s="4" t="s">
        <v>443</v>
      </c>
      <c r="F746" s="1" t="s">
        <v>508</v>
      </c>
    </row>
    <row r="747" spans="1:6" ht="15.75" customHeight="1">
      <c r="A747" s="4" t="s">
        <v>2221</v>
      </c>
      <c r="B747" s="4">
        <v>2001</v>
      </c>
      <c r="C747" s="4" t="s">
        <v>2224</v>
      </c>
      <c r="D747" s="4" t="s">
        <v>2225</v>
      </c>
      <c r="E747" s="4" t="s">
        <v>443</v>
      </c>
      <c r="F747" s="1" t="s">
        <v>508</v>
      </c>
    </row>
    <row r="748" spans="1:6" ht="15.75" customHeight="1">
      <c r="A748" s="4" t="s">
        <v>2226</v>
      </c>
      <c r="B748" s="4">
        <v>1996</v>
      </c>
      <c r="D748" s="4" t="s">
        <v>2227</v>
      </c>
      <c r="E748" s="4" t="s">
        <v>443</v>
      </c>
      <c r="F748" s="1" t="s">
        <v>508</v>
      </c>
    </row>
    <row r="749" spans="1:6" ht="15.75" customHeight="1">
      <c r="A749" s="4" t="s">
        <v>2228</v>
      </c>
      <c r="B749" s="4">
        <v>1997</v>
      </c>
      <c r="D749" s="4" t="s">
        <v>2229</v>
      </c>
      <c r="E749" s="4" t="s">
        <v>443</v>
      </c>
      <c r="F749" s="1" t="s">
        <v>1047</v>
      </c>
    </row>
    <row r="750" spans="1:6" ht="15.75" customHeight="1">
      <c r="A750" s="4" t="s">
        <v>2230</v>
      </c>
      <c r="B750" s="4">
        <v>2012</v>
      </c>
      <c r="C750" s="4" t="s">
        <v>2231</v>
      </c>
      <c r="D750" s="4" t="s">
        <v>2232</v>
      </c>
      <c r="E750" s="4" t="s">
        <v>443</v>
      </c>
      <c r="F750" s="1" t="s">
        <v>508</v>
      </c>
    </row>
    <row r="751" spans="1:6" ht="15.75" customHeight="1">
      <c r="A751" s="4" t="s">
        <v>2230</v>
      </c>
      <c r="B751" s="4">
        <v>2014</v>
      </c>
      <c r="C751" s="4" t="s">
        <v>2233</v>
      </c>
      <c r="D751" s="4" t="s">
        <v>2234</v>
      </c>
      <c r="E751" s="4" t="s">
        <v>443</v>
      </c>
      <c r="F751" s="1" t="s">
        <v>508</v>
      </c>
    </row>
    <row r="752" spans="1:6" ht="15.75" customHeight="1">
      <c r="A752" s="4" t="s">
        <v>2235</v>
      </c>
      <c r="B752" s="4">
        <v>2012</v>
      </c>
      <c r="C752" s="4" t="s">
        <v>2236</v>
      </c>
      <c r="D752" s="4" t="s">
        <v>2237</v>
      </c>
      <c r="E752" s="4" t="s">
        <v>443</v>
      </c>
      <c r="F752" s="1" t="s">
        <v>508</v>
      </c>
    </row>
    <row r="753" spans="1:6" ht="15.75" customHeight="1">
      <c r="A753" s="4" t="s">
        <v>2238</v>
      </c>
      <c r="B753" s="4">
        <v>2022</v>
      </c>
      <c r="C753" s="4" t="s">
        <v>2239</v>
      </c>
      <c r="D753" s="4" t="s">
        <v>2240</v>
      </c>
      <c r="E753" s="4" t="s">
        <v>443</v>
      </c>
      <c r="F753" s="1" t="s">
        <v>508</v>
      </c>
    </row>
    <row r="754" spans="1:6" ht="15.75" customHeight="1">
      <c r="A754" s="4" t="s">
        <v>2241</v>
      </c>
      <c r="B754" s="4">
        <v>2003</v>
      </c>
      <c r="C754" s="4" t="s">
        <v>2242</v>
      </c>
      <c r="D754" s="4" t="s">
        <v>2243</v>
      </c>
      <c r="E754" s="4" t="s">
        <v>443</v>
      </c>
      <c r="F754" s="1" t="s">
        <v>508</v>
      </c>
    </row>
    <row r="755" spans="1:6" ht="15.75" customHeight="1">
      <c r="A755" s="4" t="s">
        <v>2244</v>
      </c>
      <c r="B755" s="4">
        <v>2009</v>
      </c>
      <c r="C755" s="4" t="s">
        <v>2245</v>
      </c>
      <c r="D755" s="4" t="s">
        <v>2246</v>
      </c>
      <c r="E755" s="4" t="s">
        <v>443</v>
      </c>
      <c r="F755" s="1" t="s">
        <v>508</v>
      </c>
    </row>
    <row r="756" spans="1:6" ht="15.75" customHeight="1">
      <c r="A756" s="4" t="s">
        <v>2244</v>
      </c>
      <c r="B756" s="4">
        <v>1991</v>
      </c>
      <c r="C756" s="4" t="s">
        <v>2247</v>
      </c>
      <c r="D756" s="4" t="s">
        <v>2248</v>
      </c>
      <c r="E756" s="4" t="s">
        <v>443</v>
      </c>
      <c r="F756" s="1" t="s">
        <v>508</v>
      </c>
    </row>
    <row r="757" spans="1:6" ht="15.75" customHeight="1">
      <c r="A757" s="4" t="s">
        <v>2249</v>
      </c>
      <c r="B757" s="4">
        <v>2013</v>
      </c>
      <c r="C757" s="4" t="s">
        <v>2250</v>
      </c>
      <c r="D757" s="4" t="s">
        <v>2251</v>
      </c>
      <c r="E757" s="4" t="s">
        <v>443</v>
      </c>
      <c r="F757" s="1" t="s">
        <v>508</v>
      </c>
    </row>
    <row r="758" spans="1:6" ht="15.75" customHeight="1">
      <c r="A758" s="4" t="s">
        <v>2252</v>
      </c>
      <c r="B758" s="4">
        <v>2021</v>
      </c>
      <c r="C758" s="4" t="s">
        <v>2253</v>
      </c>
      <c r="D758" s="4" t="s">
        <v>2254</v>
      </c>
      <c r="E758" s="4" t="s">
        <v>443</v>
      </c>
      <c r="F758" s="1" t="s">
        <v>508</v>
      </c>
    </row>
    <row r="759" spans="1:6" ht="15.75" customHeight="1">
      <c r="A759" s="4" t="s">
        <v>2255</v>
      </c>
      <c r="B759" s="4">
        <v>2005</v>
      </c>
      <c r="C759" s="4" t="s">
        <v>2256</v>
      </c>
      <c r="D759" s="4" t="s">
        <v>2257</v>
      </c>
      <c r="E759" s="4" t="s">
        <v>443</v>
      </c>
      <c r="F759" s="1" t="s">
        <v>508</v>
      </c>
    </row>
    <row r="760" spans="1:6" ht="15.75" customHeight="1">
      <c r="A760" s="4" t="s">
        <v>2258</v>
      </c>
      <c r="B760" s="4">
        <v>2015</v>
      </c>
      <c r="C760" s="4" t="s">
        <v>2259</v>
      </c>
      <c r="D760" s="4" t="s">
        <v>2260</v>
      </c>
      <c r="E760" s="4" t="s">
        <v>443</v>
      </c>
      <c r="F760" s="1" t="s">
        <v>508</v>
      </c>
    </row>
    <row r="761" spans="1:6" ht="15.75" customHeight="1">
      <c r="A761" s="4" t="s">
        <v>607</v>
      </c>
      <c r="B761" s="4">
        <v>2008</v>
      </c>
      <c r="C761" s="4" t="s">
        <v>2261</v>
      </c>
      <c r="D761" s="4" t="s">
        <v>2262</v>
      </c>
      <c r="E761" s="4" t="s">
        <v>443</v>
      </c>
      <c r="F761" s="1" t="s">
        <v>508</v>
      </c>
    </row>
    <row r="762" spans="1:6" ht="15.75" customHeight="1">
      <c r="A762" s="4" t="s">
        <v>607</v>
      </c>
      <c r="B762" s="4">
        <v>2010</v>
      </c>
      <c r="C762" s="4" t="s">
        <v>2263</v>
      </c>
      <c r="D762" s="4" t="s">
        <v>2264</v>
      </c>
      <c r="E762" s="4" t="s">
        <v>443</v>
      </c>
      <c r="F762" s="1" t="s">
        <v>508</v>
      </c>
    </row>
    <row r="763" spans="1:6" ht="15.75" customHeight="1">
      <c r="A763" s="4" t="s">
        <v>2265</v>
      </c>
      <c r="B763" s="4">
        <v>2013</v>
      </c>
      <c r="C763" s="4" t="s">
        <v>2266</v>
      </c>
      <c r="D763" s="4" t="s">
        <v>2267</v>
      </c>
      <c r="E763" s="4" t="s">
        <v>443</v>
      </c>
      <c r="F763" s="1" t="s">
        <v>508</v>
      </c>
    </row>
    <row r="764" spans="1:6" ht="15.75" customHeight="1">
      <c r="A764" s="4" t="s">
        <v>2265</v>
      </c>
      <c r="B764" s="4">
        <v>2008</v>
      </c>
      <c r="C764" s="4" t="s">
        <v>2268</v>
      </c>
      <c r="D764" s="4" t="s">
        <v>2269</v>
      </c>
      <c r="E764" s="4" t="s">
        <v>443</v>
      </c>
      <c r="F764" s="1" t="s">
        <v>508</v>
      </c>
    </row>
    <row r="765" spans="1:6" ht="15.75" customHeight="1">
      <c r="A765" s="4" t="s">
        <v>2270</v>
      </c>
      <c r="B765" s="4">
        <v>2022</v>
      </c>
      <c r="C765" s="4" t="s">
        <v>2271</v>
      </c>
      <c r="D765" s="4" t="s">
        <v>2272</v>
      </c>
      <c r="E765" s="4" t="s">
        <v>443</v>
      </c>
      <c r="F765" s="1" t="s">
        <v>508</v>
      </c>
    </row>
    <row r="766" spans="1:6" ht="15.75" customHeight="1">
      <c r="A766" s="4" t="s">
        <v>2273</v>
      </c>
      <c r="B766" s="4">
        <v>1996</v>
      </c>
      <c r="C766" s="4" t="s">
        <v>2274</v>
      </c>
      <c r="D766" s="4" t="s">
        <v>2275</v>
      </c>
      <c r="E766" s="4" t="s">
        <v>443</v>
      </c>
      <c r="F766" s="1" t="s">
        <v>508</v>
      </c>
    </row>
    <row r="767" spans="1:6" ht="15.75" customHeight="1">
      <c r="A767" s="4" t="s">
        <v>131</v>
      </c>
      <c r="B767" s="4">
        <v>2017</v>
      </c>
      <c r="C767" s="4" t="s">
        <v>2276</v>
      </c>
      <c r="D767" s="4" t="s">
        <v>2277</v>
      </c>
      <c r="E767" s="4" t="s">
        <v>443</v>
      </c>
      <c r="F767" s="1" t="s">
        <v>1047</v>
      </c>
    </row>
    <row r="768" spans="1:6" ht="15.75" customHeight="1">
      <c r="A768" s="4" t="s">
        <v>613</v>
      </c>
      <c r="B768" s="4">
        <v>2021</v>
      </c>
      <c r="C768" s="4" t="s">
        <v>2278</v>
      </c>
      <c r="D768" s="4" t="s">
        <v>2279</v>
      </c>
      <c r="E768" s="4" t="s">
        <v>443</v>
      </c>
      <c r="F768" s="1" t="s">
        <v>508</v>
      </c>
    </row>
    <row r="769" spans="1:6" ht="15.75" customHeight="1">
      <c r="A769" s="4" t="s">
        <v>613</v>
      </c>
      <c r="B769" s="4">
        <v>2022</v>
      </c>
      <c r="C769" s="4" t="s">
        <v>2280</v>
      </c>
      <c r="D769" s="4" t="s">
        <v>2281</v>
      </c>
      <c r="E769" s="4" t="s">
        <v>443</v>
      </c>
      <c r="F769" s="1" t="s">
        <v>508</v>
      </c>
    </row>
    <row r="770" spans="1:6" ht="15.75" customHeight="1">
      <c r="A770" s="4" t="s">
        <v>613</v>
      </c>
      <c r="B770" s="4">
        <v>2023</v>
      </c>
      <c r="C770" s="4" t="s">
        <v>2282</v>
      </c>
      <c r="D770" s="4" t="s">
        <v>2283</v>
      </c>
      <c r="E770" s="4" t="s">
        <v>443</v>
      </c>
      <c r="F770" s="1" t="s">
        <v>508</v>
      </c>
    </row>
    <row r="771" spans="1:6" ht="15.75" customHeight="1">
      <c r="A771" s="4" t="s">
        <v>2284</v>
      </c>
      <c r="B771" s="4">
        <v>2020</v>
      </c>
      <c r="C771" s="4" t="s">
        <v>2285</v>
      </c>
      <c r="D771" s="4" t="s">
        <v>2286</v>
      </c>
      <c r="E771" s="4" t="s">
        <v>443</v>
      </c>
      <c r="F771" s="1" t="s">
        <v>508</v>
      </c>
    </row>
    <row r="772" spans="1:6" ht="15.75" customHeight="1">
      <c r="A772" s="4" t="s">
        <v>2287</v>
      </c>
      <c r="B772" s="4">
        <v>2017</v>
      </c>
      <c r="C772" s="4" t="s">
        <v>2288</v>
      </c>
      <c r="D772" s="4" t="s">
        <v>2289</v>
      </c>
      <c r="E772" s="4" t="s">
        <v>443</v>
      </c>
      <c r="F772" s="1" t="s">
        <v>508</v>
      </c>
    </row>
    <row r="773" spans="1:6" ht="15.75" customHeight="1">
      <c r="A773" s="4" t="s">
        <v>616</v>
      </c>
      <c r="B773" s="4">
        <v>2019</v>
      </c>
      <c r="C773" s="4" t="s">
        <v>2290</v>
      </c>
      <c r="D773" s="4" t="s">
        <v>2291</v>
      </c>
      <c r="E773" s="4" t="s">
        <v>443</v>
      </c>
      <c r="F773" s="1" t="s">
        <v>508</v>
      </c>
    </row>
    <row r="774" spans="1:6" ht="15.75" customHeight="1">
      <c r="A774" s="4" t="s">
        <v>616</v>
      </c>
      <c r="B774" s="4">
        <v>2018</v>
      </c>
      <c r="C774" s="4" t="s">
        <v>2292</v>
      </c>
      <c r="D774" s="4" t="s">
        <v>2293</v>
      </c>
      <c r="E774" s="4" t="s">
        <v>443</v>
      </c>
      <c r="F774" s="1" t="s">
        <v>508</v>
      </c>
    </row>
    <row r="775" spans="1:6" ht="15.75" customHeight="1">
      <c r="A775" s="4" t="s">
        <v>2294</v>
      </c>
      <c r="B775" s="4">
        <v>2003</v>
      </c>
      <c r="C775" s="4" t="s">
        <v>2295</v>
      </c>
      <c r="D775" s="4" t="s">
        <v>2296</v>
      </c>
      <c r="E775" s="4" t="s">
        <v>443</v>
      </c>
      <c r="F775" s="1" t="s">
        <v>508</v>
      </c>
    </row>
    <row r="776" spans="1:6" ht="15.75" customHeight="1">
      <c r="A776" s="4" t="s">
        <v>2294</v>
      </c>
      <c r="B776" s="4">
        <v>2006</v>
      </c>
      <c r="C776" s="4" t="s">
        <v>2297</v>
      </c>
      <c r="D776" s="4" t="s">
        <v>2298</v>
      </c>
      <c r="E776" s="4" t="s">
        <v>443</v>
      </c>
      <c r="F776" s="1" t="s">
        <v>508</v>
      </c>
    </row>
    <row r="777" spans="1:6" ht="15.75" customHeight="1">
      <c r="A777" s="4" t="s">
        <v>2294</v>
      </c>
      <c r="B777" s="4">
        <v>2013</v>
      </c>
      <c r="C777" s="4" t="s">
        <v>2299</v>
      </c>
      <c r="D777" s="4" t="s">
        <v>2300</v>
      </c>
      <c r="E777" s="4" t="s">
        <v>443</v>
      </c>
      <c r="F777" s="1" t="s">
        <v>508</v>
      </c>
    </row>
    <row r="778" spans="1:6" ht="15.75" customHeight="1">
      <c r="A778" s="4" t="s">
        <v>2294</v>
      </c>
      <c r="B778" s="4">
        <v>2005</v>
      </c>
      <c r="C778" s="4" t="s">
        <v>2301</v>
      </c>
      <c r="D778" s="4" t="s">
        <v>2302</v>
      </c>
      <c r="E778" s="4" t="s">
        <v>443</v>
      </c>
      <c r="F778" s="1" t="s">
        <v>508</v>
      </c>
    </row>
    <row r="779" spans="1:6" ht="15.75" customHeight="1">
      <c r="A779" s="4" t="s">
        <v>2294</v>
      </c>
      <c r="B779" s="4">
        <v>2006</v>
      </c>
      <c r="C779" s="4" t="s">
        <v>2303</v>
      </c>
      <c r="D779" s="4" t="s">
        <v>2304</v>
      </c>
      <c r="E779" s="4" t="s">
        <v>443</v>
      </c>
      <c r="F779" s="1" t="s">
        <v>508</v>
      </c>
    </row>
    <row r="780" spans="1:6" ht="15.75" customHeight="1">
      <c r="A780" s="4" t="s">
        <v>2305</v>
      </c>
      <c r="B780" s="4">
        <v>1990</v>
      </c>
      <c r="C780" s="4" t="s">
        <v>2306</v>
      </c>
      <c r="D780" s="4" t="s">
        <v>2307</v>
      </c>
      <c r="E780" s="4" t="s">
        <v>443</v>
      </c>
      <c r="F780" s="1" t="s">
        <v>508</v>
      </c>
    </row>
    <row r="781" spans="1:6" ht="15.75" customHeight="1">
      <c r="A781" s="4" t="s">
        <v>2308</v>
      </c>
      <c r="B781" s="4">
        <v>2001</v>
      </c>
      <c r="C781" s="4" t="s">
        <v>2309</v>
      </c>
      <c r="D781" s="4" t="s">
        <v>2310</v>
      </c>
      <c r="E781" s="4" t="s">
        <v>443</v>
      </c>
      <c r="F781" s="1" t="s">
        <v>508</v>
      </c>
    </row>
    <row r="782" spans="1:6" ht="15.75" customHeight="1">
      <c r="A782" s="4" t="s">
        <v>2311</v>
      </c>
      <c r="B782" s="4">
        <v>1999</v>
      </c>
      <c r="D782" s="4" t="s">
        <v>2312</v>
      </c>
      <c r="E782" s="4" t="s">
        <v>443</v>
      </c>
      <c r="F782" s="1" t="s">
        <v>1047</v>
      </c>
    </row>
    <row r="783" spans="1:6" ht="15.75" customHeight="1">
      <c r="A783" s="4" t="s">
        <v>2313</v>
      </c>
      <c r="B783" s="4">
        <v>1994</v>
      </c>
      <c r="C783" s="4" t="s">
        <v>2314</v>
      </c>
      <c r="D783" s="4" t="s">
        <v>2315</v>
      </c>
      <c r="E783" s="4" t="s">
        <v>443</v>
      </c>
      <c r="F783" s="1" t="s">
        <v>508</v>
      </c>
    </row>
    <row r="784" spans="1:6" ht="15.75" customHeight="1">
      <c r="A784" s="4" t="s">
        <v>2316</v>
      </c>
      <c r="B784" s="4">
        <v>2001</v>
      </c>
      <c r="C784" s="4" t="s">
        <v>2317</v>
      </c>
      <c r="D784" s="4" t="s">
        <v>2318</v>
      </c>
      <c r="E784" s="4" t="s">
        <v>443</v>
      </c>
      <c r="F784" s="1" t="s">
        <v>508</v>
      </c>
    </row>
    <row r="785" spans="1:6" ht="15.75" customHeight="1">
      <c r="A785" s="4" t="s">
        <v>2319</v>
      </c>
      <c r="B785" s="4">
        <v>2002</v>
      </c>
      <c r="C785" s="4" t="s">
        <v>2320</v>
      </c>
      <c r="D785" s="4" t="s">
        <v>2321</v>
      </c>
      <c r="E785" s="4" t="s">
        <v>443</v>
      </c>
      <c r="F785" s="1" t="s">
        <v>508</v>
      </c>
    </row>
    <row r="786" spans="1:6" ht="15.75" customHeight="1">
      <c r="A786" s="4" t="s">
        <v>2322</v>
      </c>
      <c r="B786" s="4">
        <v>2013</v>
      </c>
      <c r="C786" s="4" t="s">
        <v>2323</v>
      </c>
      <c r="D786" s="4" t="s">
        <v>2324</v>
      </c>
      <c r="E786" s="4" t="s">
        <v>443</v>
      </c>
      <c r="F786" s="1" t="s">
        <v>508</v>
      </c>
    </row>
    <row r="787" spans="1:6" ht="15.75" customHeight="1">
      <c r="A787" s="4" t="s">
        <v>2322</v>
      </c>
      <c r="B787" s="4">
        <v>2012</v>
      </c>
      <c r="C787" s="4" t="s">
        <v>2325</v>
      </c>
      <c r="D787" s="4" t="s">
        <v>2326</v>
      </c>
      <c r="E787" s="4" t="s">
        <v>443</v>
      </c>
      <c r="F787" s="1" t="s">
        <v>508</v>
      </c>
    </row>
    <row r="788" spans="1:6" ht="15.75" customHeight="1">
      <c r="A788" s="4" t="s">
        <v>2327</v>
      </c>
      <c r="B788" s="4">
        <v>2021</v>
      </c>
      <c r="C788" s="4" t="s">
        <v>2328</v>
      </c>
      <c r="D788" s="4" t="s">
        <v>2329</v>
      </c>
      <c r="E788" s="4" t="s">
        <v>443</v>
      </c>
      <c r="F788" s="1" t="s">
        <v>508</v>
      </c>
    </row>
    <row r="789" spans="1:6" ht="15.75" customHeight="1">
      <c r="A789" s="4" t="s">
        <v>2330</v>
      </c>
      <c r="B789" s="4">
        <v>2010</v>
      </c>
      <c r="C789" s="4" t="s">
        <v>2331</v>
      </c>
      <c r="D789" s="4" t="s">
        <v>2332</v>
      </c>
      <c r="E789" s="4" t="s">
        <v>443</v>
      </c>
      <c r="F789" s="1" t="s">
        <v>508</v>
      </c>
    </row>
    <row r="790" spans="1:6" ht="15.75" customHeight="1">
      <c r="A790" s="4" t="s">
        <v>2333</v>
      </c>
      <c r="B790" s="4">
        <v>2000</v>
      </c>
      <c r="C790" s="4" t="s">
        <v>2334</v>
      </c>
      <c r="D790" s="4" t="s">
        <v>2335</v>
      </c>
      <c r="E790" s="4" t="s">
        <v>443</v>
      </c>
      <c r="F790" s="1" t="s">
        <v>508</v>
      </c>
    </row>
    <row r="791" spans="1:6" ht="15.75" customHeight="1">
      <c r="A791" s="4" t="s">
        <v>2336</v>
      </c>
      <c r="B791" s="4">
        <v>2012</v>
      </c>
      <c r="C791" s="4" t="s">
        <v>2337</v>
      </c>
      <c r="D791" s="4" t="s">
        <v>2338</v>
      </c>
      <c r="E791" s="4" t="s">
        <v>443</v>
      </c>
      <c r="F791" s="1" t="s">
        <v>508</v>
      </c>
    </row>
    <row r="792" spans="1:6" ht="15.75" customHeight="1">
      <c r="A792" s="4" t="s">
        <v>2339</v>
      </c>
      <c r="B792" s="4">
        <v>2008</v>
      </c>
      <c r="C792" s="4" t="s">
        <v>2340</v>
      </c>
      <c r="D792" s="4" t="s">
        <v>2341</v>
      </c>
      <c r="E792" s="4" t="s">
        <v>443</v>
      </c>
      <c r="F792" s="1" t="s">
        <v>508</v>
      </c>
    </row>
    <row r="793" spans="1:6" ht="15.75" customHeight="1">
      <c r="A793" s="4" t="s">
        <v>2339</v>
      </c>
      <c r="B793" s="4">
        <v>2010</v>
      </c>
      <c r="C793" s="4" t="s">
        <v>2342</v>
      </c>
      <c r="D793" s="4" t="s">
        <v>2343</v>
      </c>
      <c r="E793" s="4" t="s">
        <v>443</v>
      </c>
      <c r="F793" s="1" t="s">
        <v>508</v>
      </c>
    </row>
    <row r="794" spans="1:6" ht="15.75" customHeight="1">
      <c r="A794" s="4" t="s">
        <v>619</v>
      </c>
      <c r="B794" s="4">
        <v>2022</v>
      </c>
      <c r="C794" s="4" t="s">
        <v>2344</v>
      </c>
      <c r="D794" s="4" t="s">
        <v>2345</v>
      </c>
      <c r="E794" s="4" t="s">
        <v>443</v>
      </c>
      <c r="F794" s="1" t="s">
        <v>508</v>
      </c>
    </row>
    <row r="795" spans="1:6" ht="15.75" customHeight="1">
      <c r="A795" s="4" t="s">
        <v>2346</v>
      </c>
      <c r="B795" s="4">
        <v>2023</v>
      </c>
      <c r="C795" s="4" t="s">
        <v>2347</v>
      </c>
      <c r="D795" s="4" t="s">
        <v>2348</v>
      </c>
      <c r="E795" s="4" t="s">
        <v>443</v>
      </c>
      <c r="F795" s="1" t="s">
        <v>508</v>
      </c>
    </row>
    <row r="796" spans="1:6" ht="15.75" customHeight="1">
      <c r="A796" s="4" t="s">
        <v>2349</v>
      </c>
      <c r="B796" s="4">
        <v>2014</v>
      </c>
      <c r="D796" s="4" t="s">
        <v>2350</v>
      </c>
      <c r="E796" s="4" t="s">
        <v>443</v>
      </c>
      <c r="F796" s="1" t="s">
        <v>508</v>
      </c>
    </row>
    <row r="797" spans="1:6" ht="15.75" customHeight="1">
      <c r="A797" s="4" t="s">
        <v>2351</v>
      </c>
      <c r="B797" s="4">
        <v>1996</v>
      </c>
      <c r="C797" s="4" t="s">
        <v>2352</v>
      </c>
      <c r="D797" s="4" t="s">
        <v>2353</v>
      </c>
      <c r="E797" s="4" t="s">
        <v>443</v>
      </c>
      <c r="F797" s="1" t="s">
        <v>508</v>
      </c>
    </row>
    <row r="798" spans="1:6" ht="15.75" customHeight="1">
      <c r="A798" s="4" t="s">
        <v>2354</v>
      </c>
      <c r="B798" s="4">
        <v>2003</v>
      </c>
      <c r="C798" s="4" t="s">
        <v>2355</v>
      </c>
      <c r="D798" s="4" t="s">
        <v>2356</v>
      </c>
      <c r="E798" s="4" t="s">
        <v>443</v>
      </c>
      <c r="F798" s="1" t="s">
        <v>508</v>
      </c>
    </row>
    <row r="799" spans="1:6" ht="15.75" customHeight="1">
      <c r="A799" s="4" t="s">
        <v>2357</v>
      </c>
      <c r="B799" s="4">
        <v>2001</v>
      </c>
      <c r="C799" s="4" t="s">
        <v>2358</v>
      </c>
      <c r="D799" s="4" t="s">
        <v>2359</v>
      </c>
      <c r="E799" s="4" t="s">
        <v>443</v>
      </c>
      <c r="F799" s="1" t="s">
        <v>508</v>
      </c>
    </row>
    <row r="800" spans="1:6" ht="15.75" customHeight="1">
      <c r="A800" s="4" t="s">
        <v>2360</v>
      </c>
      <c r="B800" s="4">
        <v>2012</v>
      </c>
      <c r="C800" s="4" t="s">
        <v>2361</v>
      </c>
      <c r="D800" s="4" t="s">
        <v>2362</v>
      </c>
      <c r="E800" s="4" t="s">
        <v>443</v>
      </c>
      <c r="F800" s="1" t="s">
        <v>508</v>
      </c>
    </row>
    <row r="801" spans="1:6" ht="15.75" customHeight="1">
      <c r="A801" s="4" t="s">
        <v>2363</v>
      </c>
      <c r="B801" s="4">
        <v>1991</v>
      </c>
      <c r="D801" s="4" t="s">
        <v>2364</v>
      </c>
      <c r="E801" s="4" t="s">
        <v>443</v>
      </c>
      <c r="F801" s="1" t="s">
        <v>508</v>
      </c>
    </row>
    <row r="802" spans="1:6" ht="15.75" customHeight="1">
      <c r="A802" s="4" t="s">
        <v>221</v>
      </c>
      <c r="B802" s="4">
        <v>2014</v>
      </c>
      <c r="C802" s="4" t="s">
        <v>2365</v>
      </c>
      <c r="D802" s="4" t="s">
        <v>2366</v>
      </c>
      <c r="E802" s="4" t="s">
        <v>443</v>
      </c>
      <c r="F802" s="1" t="s">
        <v>508</v>
      </c>
    </row>
    <row r="803" spans="1:6" ht="15.75" customHeight="1">
      <c r="A803" s="4" t="s">
        <v>221</v>
      </c>
      <c r="B803" s="4">
        <v>2014</v>
      </c>
      <c r="C803" s="4" t="s">
        <v>2367</v>
      </c>
      <c r="D803" s="4" t="s">
        <v>2368</v>
      </c>
      <c r="E803" s="4" t="s">
        <v>443</v>
      </c>
      <c r="F803" s="1" t="s">
        <v>508</v>
      </c>
    </row>
    <row r="804" spans="1:6" ht="15.75" customHeight="1">
      <c r="A804" s="4" t="s">
        <v>221</v>
      </c>
      <c r="B804" s="4">
        <v>2019</v>
      </c>
      <c r="C804" s="4" t="s">
        <v>2369</v>
      </c>
      <c r="D804" s="4" t="s">
        <v>2370</v>
      </c>
      <c r="E804" s="4" t="s">
        <v>443</v>
      </c>
      <c r="F804" s="1" t="s">
        <v>508</v>
      </c>
    </row>
    <row r="805" spans="1:6" ht="15.75" customHeight="1">
      <c r="A805" s="4" t="s">
        <v>221</v>
      </c>
      <c r="B805" s="4">
        <v>2019</v>
      </c>
      <c r="C805" s="4" t="s">
        <v>2371</v>
      </c>
      <c r="D805" s="4" t="s">
        <v>2372</v>
      </c>
      <c r="E805" s="4" t="s">
        <v>443</v>
      </c>
      <c r="F805" s="1" t="s">
        <v>508</v>
      </c>
    </row>
    <row r="806" spans="1:6" ht="15.75" customHeight="1">
      <c r="A806" s="4" t="s">
        <v>2373</v>
      </c>
      <c r="B806" s="4">
        <v>2024</v>
      </c>
      <c r="C806" s="4" t="s">
        <v>2374</v>
      </c>
      <c r="D806" s="4" t="s">
        <v>2375</v>
      </c>
      <c r="E806" s="4" t="s">
        <v>443</v>
      </c>
      <c r="F806" s="1" t="s">
        <v>508</v>
      </c>
    </row>
    <row r="807" spans="1:6" ht="15.75" customHeight="1">
      <c r="A807" s="4" t="s">
        <v>2376</v>
      </c>
      <c r="B807" s="4">
        <v>2016</v>
      </c>
      <c r="C807" s="4" t="s">
        <v>2377</v>
      </c>
      <c r="D807" s="4" t="s">
        <v>2378</v>
      </c>
      <c r="E807" s="4" t="s">
        <v>443</v>
      </c>
      <c r="F807" s="1" t="s">
        <v>508</v>
      </c>
    </row>
    <row r="808" spans="1:6" ht="15.75" customHeight="1">
      <c r="A808" s="4" t="s">
        <v>2379</v>
      </c>
      <c r="B808" s="4">
        <v>2013</v>
      </c>
      <c r="C808" s="4" t="s">
        <v>2380</v>
      </c>
      <c r="D808" s="4" t="s">
        <v>2381</v>
      </c>
      <c r="E808" s="4" t="s">
        <v>443</v>
      </c>
      <c r="F808" s="1" t="s">
        <v>508</v>
      </c>
    </row>
    <row r="809" spans="1:6" ht="15.75" customHeight="1">
      <c r="A809" s="4" t="s">
        <v>2382</v>
      </c>
      <c r="B809" s="4">
        <v>2015</v>
      </c>
      <c r="C809" s="4" t="s">
        <v>2383</v>
      </c>
      <c r="D809" s="4" t="s">
        <v>2384</v>
      </c>
      <c r="E809" s="4" t="s">
        <v>443</v>
      </c>
      <c r="F809" s="1" t="s">
        <v>508</v>
      </c>
    </row>
    <row r="810" spans="1:6" ht="15.75" customHeight="1">
      <c r="A810" s="4" t="s">
        <v>2385</v>
      </c>
      <c r="B810" s="4">
        <v>2001</v>
      </c>
      <c r="C810" s="4" t="s">
        <v>2386</v>
      </c>
      <c r="D810" s="4" t="s">
        <v>2387</v>
      </c>
      <c r="E810" s="4" t="s">
        <v>443</v>
      </c>
      <c r="F810" s="1" t="s">
        <v>508</v>
      </c>
    </row>
    <row r="811" spans="1:6" ht="15.75" customHeight="1">
      <c r="A811" s="4" t="s">
        <v>2388</v>
      </c>
      <c r="B811" s="4">
        <v>1999</v>
      </c>
      <c r="D811" s="4" t="s">
        <v>2389</v>
      </c>
      <c r="E811" s="4" t="s">
        <v>443</v>
      </c>
      <c r="F811" s="1" t="s">
        <v>508</v>
      </c>
    </row>
    <row r="812" spans="1:6" ht="15.75" customHeight="1">
      <c r="A812" s="4" t="s">
        <v>2388</v>
      </c>
      <c r="B812" s="4">
        <v>1998</v>
      </c>
      <c r="C812" s="4" t="s">
        <v>2390</v>
      </c>
      <c r="D812" s="4" t="s">
        <v>2391</v>
      </c>
      <c r="E812" s="4" t="s">
        <v>443</v>
      </c>
      <c r="F812" s="1" t="s">
        <v>508</v>
      </c>
    </row>
    <row r="813" spans="1:6" ht="15.75" customHeight="1">
      <c r="A813" s="4" t="s">
        <v>2392</v>
      </c>
      <c r="B813" s="4">
        <v>1994</v>
      </c>
      <c r="D813" s="4" t="s">
        <v>2393</v>
      </c>
      <c r="E813" s="4" t="s">
        <v>443</v>
      </c>
      <c r="F813" s="1" t="s">
        <v>508</v>
      </c>
    </row>
    <row r="814" spans="1:6" ht="15.75" customHeight="1">
      <c r="A814" s="4" t="s">
        <v>2394</v>
      </c>
      <c r="B814" s="4">
        <v>2022</v>
      </c>
      <c r="C814" s="4" t="s">
        <v>2395</v>
      </c>
      <c r="D814" s="4" t="s">
        <v>2396</v>
      </c>
      <c r="E814" s="4" t="s">
        <v>443</v>
      </c>
      <c r="F814" s="1" t="s">
        <v>508</v>
      </c>
    </row>
    <row r="815" spans="1:6" ht="15.75" customHeight="1">
      <c r="A815" s="4" t="s">
        <v>2397</v>
      </c>
      <c r="B815" s="4">
        <v>2007</v>
      </c>
      <c r="C815" s="4" t="s">
        <v>2398</v>
      </c>
      <c r="D815" s="4" t="s">
        <v>2399</v>
      </c>
      <c r="E815" s="4" t="s">
        <v>443</v>
      </c>
      <c r="F815" s="1" t="s">
        <v>508</v>
      </c>
    </row>
    <row r="816" spans="1:6" ht="15.75" customHeight="1">
      <c r="A816" s="4" t="s">
        <v>2400</v>
      </c>
      <c r="B816" s="4">
        <v>2002</v>
      </c>
      <c r="C816" s="4" t="s">
        <v>2401</v>
      </c>
      <c r="D816" s="4" t="s">
        <v>2402</v>
      </c>
      <c r="E816" s="4" t="s">
        <v>443</v>
      </c>
      <c r="F816" s="1" t="s">
        <v>508</v>
      </c>
    </row>
    <row r="817" spans="1:6" ht="15.75" customHeight="1">
      <c r="A817" s="4" t="s">
        <v>2403</v>
      </c>
      <c r="B817" s="4">
        <v>2023</v>
      </c>
      <c r="C817" s="4" t="s">
        <v>2404</v>
      </c>
      <c r="D817" s="4" t="s">
        <v>2405</v>
      </c>
      <c r="E817" s="4" t="s">
        <v>443</v>
      </c>
      <c r="F817" s="1" t="s">
        <v>1047</v>
      </c>
    </row>
    <row r="818" spans="1:6" ht="15.75" customHeight="1">
      <c r="A818" s="4" t="s">
        <v>2406</v>
      </c>
      <c r="B818" s="4">
        <v>2012</v>
      </c>
      <c r="C818" s="4" t="s">
        <v>2407</v>
      </c>
      <c r="D818" s="4" t="s">
        <v>2408</v>
      </c>
      <c r="E818" s="4" t="s">
        <v>443</v>
      </c>
      <c r="F818" s="1" t="s">
        <v>508</v>
      </c>
    </row>
    <row r="819" spans="1:6" ht="15.75" customHeight="1">
      <c r="A819" s="4" t="s">
        <v>2409</v>
      </c>
      <c r="B819" s="4">
        <v>2014</v>
      </c>
      <c r="C819" s="4" t="s">
        <v>2410</v>
      </c>
      <c r="D819" s="4" t="s">
        <v>2411</v>
      </c>
      <c r="E819" s="4" t="s">
        <v>443</v>
      </c>
      <c r="F819" s="1" t="s">
        <v>508</v>
      </c>
    </row>
    <row r="820" spans="1:6" ht="15.75" customHeight="1">
      <c r="A820" s="4" t="s">
        <v>2412</v>
      </c>
      <c r="B820" s="4">
        <v>1993</v>
      </c>
      <c r="C820" s="4" t="s">
        <v>2413</v>
      </c>
      <c r="D820" s="4" t="s">
        <v>2414</v>
      </c>
      <c r="E820" s="4" t="s">
        <v>443</v>
      </c>
      <c r="F820" s="1" t="s">
        <v>508</v>
      </c>
    </row>
    <row r="821" spans="1:6" ht="15.75" customHeight="1">
      <c r="A821" s="4" t="s">
        <v>2412</v>
      </c>
      <c r="B821" s="4">
        <v>1991</v>
      </c>
      <c r="C821" s="4" t="s">
        <v>2415</v>
      </c>
      <c r="D821" s="4" t="s">
        <v>2416</v>
      </c>
      <c r="E821" s="4" t="s">
        <v>443</v>
      </c>
      <c r="F821" s="1" t="s">
        <v>508</v>
      </c>
    </row>
    <row r="822" spans="1:6" ht="15.75" customHeight="1">
      <c r="A822" s="4" t="s">
        <v>2412</v>
      </c>
      <c r="B822" s="4">
        <v>1989</v>
      </c>
      <c r="C822" s="4" t="s">
        <v>2417</v>
      </c>
      <c r="D822" s="4" t="s">
        <v>2418</v>
      </c>
      <c r="E822" s="4" t="s">
        <v>443</v>
      </c>
      <c r="F822" s="1" t="s">
        <v>508</v>
      </c>
    </row>
    <row r="823" spans="1:6" ht="15.75" customHeight="1">
      <c r="A823" s="4" t="s">
        <v>2419</v>
      </c>
      <c r="B823" s="4">
        <v>2000</v>
      </c>
      <c r="C823" s="4" t="s">
        <v>2420</v>
      </c>
      <c r="D823" s="4" t="s">
        <v>2421</v>
      </c>
      <c r="E823" s="4" t="s">
        <v>443</v>
      </c>
      <c r="F823" s="1" t="s">
        <v>508</v>
      </c>
    </row>
    <row r="824" spans="1:6" ht="15.75" customHeight="1">
      <c r="A824" s="4" t="s">
        <v>2422</v>
      </c>
      <c r="B824" s="4">
        <v>1995</v>
      </c>
      <c r="C824" s="4" t="s">
        <v>2423</v>
      </c>
      <c r="D824" s="4" t="s">
        <v>2424</v>
      </c>
      <c r="E824" s="4" t="s">
        <v>443</v>
      </c>
      <c r="F824" s="1" t="s">
        <v>508</v>
      </c>
    </row>
    <row r="825" spans="1:6" ht="15.75" customHeight="1">
      <c r="A825" s="4" t="s">
        <v>2425</v>
      </c>
      <c r="B825" s="4">
        <v>2021</v>
      </c>
      <c r="C825" s="4" t="s">
        <v>2426</v>
      </c>
      <c r="D825" s="4" t="s">
        <v>2427</v>
      </c>
      <c r="E825" s="4" t="s">
        <v>443</v>
      </c>
      <c r="F825" s="1" t="s">
        <v>508</v>
      </c>
    </row>
    <row r="826" spans="1:6" ht="15.75" customHeight="1">
      <c r="A826" s="4" t="s">
        <v>2428</v>
      </c>
      <c r="B826" s="4">
        <v>2012</v>
      </c>
      <c r="C826" s="4" t="s">
        <v>2429</v>
      </c>
      <c r="D826" s="4" t="s">
        <v>2430</v>
      </c>
      <c r="E826" s="4" t="s">
        <v>443</v>
      </c>
      <c r="F826" s="1" t="s">
        <v>508</v>
      </c>
    </row>
    <row r="827" spans="1:6" ht="15.75" customHeight="1">
      <c r="A827" s="4" t="s">
        <v>2431</v>
      </c>
      <c r="B827" s="4">
        <v>2015</v>
      </c>
      <c r="C827" s="4" t="s">
        <v>2432</v>
      </c>
      <c r="D827" s="4" t="s">
        <v>2433</v>
      </c>
      <c r="E827" s="4" t="s">
        <v>443</v>
      </c>
      <c r="F827" s="1" t="s">
        <v>508</v>
      </c>
    </row>
    <row r="828" spans="1:6" ht="15.75" customHeight="1">
      <c r="A828" s="4" t="s">
        <v>2434</v>
      </c>
      <c r="B828" s="4">
        <v>2014</v>
      </c>
      <c r="C828" s="4" t="s">
        <v>2435</v>
      </c>
      <c r="D828" s="4" t="s">
        <v>2436</v>
      </c>
      <c r="E828" s="4" t="s">
        <v>443</v>
      </c>
      <c r="F828" s="1" t="s">
        <v>508</v>
      </c>
    </row>
    <row r="829" spans="1:6" ht="15.75" customHeight="1">
      <c r="A829" s="4" t="s">
        <v>2437</v>
      </c>
      <c r="B829" s="4">
        <v>2007</v>
      </c>
      <c r="C829" s="4" t="s">
        <v>2438</v>
      </c>
      <c r="D829" s="4" t="s">
        <v>2439</v>
      </c>
      <c r="E829" s="4" t="s">
        <v>443</v>
      </c>
      <c r="F829" s="1" t="s">
        <v>508</v>
      </c>
    </row>
    <row r="830" spans="1:6" ht="15.75" customHeight="1">
      <c r="A830" s="4" t="s">
        <v>2437</v>
      </c>
      <c r="B830" s="4">
        <v>2007</v>
      </c>
      <c r="C830" s="4" t="s">
        <v>2440</v>
      </c>
      <c r="D830" s="4" t="s">
        <v>2441</v>
      </c>
      <c r="E830" s="4" t="s">
        <v>443</v>
      </c>
      <c r="F830" s="1" t="s">
        <v>508</v>
      </c>
    </row>
    <row r="831" spans="1:6" ht="15.75" customHeight="1">
      <c r="A831" s="4" t="s">
        <v>2437</v>
      </c>
      <c r="B831" s="4">
        <v>2009</v>
      </c>
      <c r="C831" s="4" t="s">
        <v>2442</v>
      </c>
      <c r="D831" s="4" t="s">
        <v>2443</v>
      </c>
      <c r="E831" s="4" t="s">
        <v>443</v>
      </c>
      <c r="F831" s="1" t="s">
        <v>508</v>
      </c>
    </row>
    <row r="832" spans="1:6" ht="15.75" customHeight="1">
      <c r="A832" s="4" t="s">
        <v>2437</v>
      </c>
      <c r="B832" s="4">
        <v>2009</v>
      </c>
      <c r="C832" s="4" t="s">
        <v>2444</v>
      </c>
      <c r="D832" s="4" t="s">
        <v>2445</v>
      </c>
      <c r="E832" s="4" t="s">
        <v>443</v>
      </c>
      <c r="F832" s="1" t="s">
        <v>508</v>
      </c>
    </row>
    <row r="833" spans="1:6" ht="15.75" customHeight="1">
      <c r="A833" s="4" t="s">
        <v>2446</v>
      </c>
      <c r="B833" s="4">
        <v>2012</v>
      </c>
      <c r="C833" s="4" t="s">
        <v>2447</v>
      </c>
      <c r="D833" s="4" t="s">
        <v>2448</v>
      </c>
      <c r="E833" s="4" t="s">
        <v>443</v>
      </c>
      <c r="F833" s="1" t="s">
        <v>508</v>
      </c>
    </row>
    <row r="834" spans="1:6" ht="15.75" customHeight="1">
      <c r="A834" s="4" t="s">
        <v>2449</v>
      </c>
      <c r="B834" s="4">
        <v>2014</v>
      </c>
      <c r="C834" s="4" t="s">
        <v>2450</v>
      </c>
      <c r="D834" s="4" t="s">
        <v>2451</v>
      </c>
      <c r="E834" s="4" t="s">
        <v>443</v>
      </c>
      <c r="F834" s="1" t="s">
        <v>508</v>
      </c>
    </row>
    <row r="835" spans="1:6" ht="15.75" customHeight="1">
      <c r="A835" s="4" t="s">
        <v>651</v>
      </c>
      <c r="B835" s="4">
        <v>2002</v>
      </c>
      <c r="C835" s="4" t="s">
        <v>2452</v>
      </c>
      <c r="D835" s="4" t="s">
        <v>2453</v>
      </c>
      <c r="E835" s="4" t="s">
        <v>443</v>
      </c>
      <c r="F835" s="1" t="s">
        <v>508</v>
      </c>
    </row>
    <row r="836" spans="1:6" ht="15.75" customHeight="1">
      <c r="A836" s="4" t="s">
        <v>651</v>
      </c>
      <c r="B836" s="4">
        <v>2000</v>
      </c>
      <c r="C836" s="4" t="s">
        <v>2454</v>
      </c>
      <c r="D836" s="4" t="s">
        <v>2455</v>
      </c>
      <c r="E836" s="4" t="s">
        <v>443</v>
      </c>
      <c r="F836" s="1" t="s">
        <v>508</v>
      </c>
    </row>
    <row r="837" spans="1:6" ht="15.75" customHeight="1">
      <c r="A837" s="4" t="s">
        <v>651</v>
      </c>
      <c r="B837" s="4">
        <v>2002</v>
      </c>
      <c r="C837" s="4" t="s">
        <v>2456</v>
      </c>
      <c r="D837" s="4" t="s">
        <v>2457</v>
      </c>
      <c r="E837" s="4" t="s">
        <v>443</v>
      </c>
      <c r="F837" s="1" t="s">
        <v>508</v>
      </c>
    </row>
    <row r="838" spans="1:6" ht="15.75" customHeight="1">
      <c r="A838" s="4" t="s">
        <v>651</v>
      </c>
      <c r="B838" s="4">
        <v>2006</v>
      </c>
      <c r="C838" s="4" t="s">
        <v>2458</v>
      </c>
      <c r="D838" s="4" t="s">
        <v>2459</v>
      </c>
      <c r="E838" s="4" t="s">
        <v>443</v>
      </c>
      <c r="F838" s="1" t="s">
        <v>508</v>
      </c>
    </row>
    <row r="839" spans="1:6" ht="15.75" customHeight="1">
      <c r="A839" s="4" t="s">
        <v>651</v>
      </c>
      <c r="B839" s="4">
        <v>2007</v>
      </c>
      <c r="C839" s="4" t="s">
        <v>2460</v>
      </c>
      <c r="D839" s="4" t="s">
        <v>2461</v>
      </c>
      <c r="E839" s="4" t="s">
        <v>443</v>
      </c>
      <c r="F839" s="1" t="s">
        <v>508</v>
      </c>
    </row>
    <row r="840" spans="1:6" ht="15.75" customHeight="1">
      <c r="A840" s="4" t="s">
        <v>2462</v>
      </c>
      <c r="B840" s="4">
        <v>2012</v>
      </c>
      <c r="C840" s="4" t="s">
        <v>2463</v>
      </c>
      <c r="D840" s="4" t="s">
        <v>2464</v>
      </c>
      <c r="E840" s="4" t="s">
        <v>443</v>
      </c>
      <c r="F840" s="1" t="s">
        <v>508</v>
      </c>
    </row>
    <row r="841" spans="1:6" ht="15.75" customHeight="1">
      <c r="A841" s="4" t="s">
        <v>2465</v>
      </c>
      <c r="B841" s="4">
        <v>2017</v>
      </c>
      <c r="C841" s="4" t="s">
        <v>2466</v>
      </c>
      <c r="D841" s="4" t="s">
        <v>2467</v>
      </c>
      <c r="E841" s="4" t="s">
        <v>443</v>
      </c>
      <c r="F841" s="1" t="s">
        <v>508</v>
      </c>
    </row>
    <row r="842" spans="1:6" ht="15.75" customHeight="1">
      <c r="A842" s="4" t="s">
        <v>2468</v>
      </c>
      <c r="B842" s="4">
        <v>2016</v>
      </c>
      <c r="C842" s="4" t="s">
        <v>2469</v>
      </c>
      <c r="D842" s="4" t="s">
        <v>2470</v>
      </c>
      <c r="E842" s="4" t="s">
        <v>443</v>
      </c>
      <c r="F842" s="1" t="s">
        <v>508</v>
      </c>
    </row>
    <row r="843" spans="1:6" ht="15.75" customHeight="1">
      <c r="A843" s="4" t="s">
        <v>2471</v>
      </c>
      <c r="B843" s="4">
        <v>2014</v>
      </c>
      <c r="C843" s="4" t="s">
        <v>2472</v>
      </c>
      <c r="D843" s="4" t="s">
        <v>2473</v>
      </c>
      <c r="E843" s="4" t="s">
        <v>443</v>
      </c>
      <c r="F843" s="1" t="s">
        <v>508</v>
      </c>
    </row>
    <row r="844" spans="1:6" ht="15.75" customHeight="1">
      <c r="A844" s="4" t="s">
        <v>2471</v>
      </c>
      <c r="B844" s="4">
        <v>2014</v>
      </c>
      <c r="C844" s="4" t="s">
        <v>2474</v>
      </c>
      <c r="D844" s="4" t="s">
        <v>2475</v>
      </c>
      <c r="E844" s="4" t="s">
        <v>443</v>
      </c>
      <c r="F844" s="1" t="s">
        <v>508</v>
      </c>
    </row>
    <row r="845" spans="1:6" ht="15.75" customHeight="1">
      <c r="A845" s="4" t="s">
        <v>2476</v>
      </c>
      <c r="B845" s="4">
        <v>1999</v>
      </c>
      <c r="C845" s="4" t="s">
        <v>2477</v>
      </c>
      <c r="D845" s="4" t="s">
        <v>2478</v>
      </c>
      <c r="E845" s="4" t="s">
        <v>443</v>
      </c>
      <c r="F845" s="1" t="s">
        <v>508</v>
      </c>
    </row>
    <row r="846" spans="1:6" ht="15.75" customHeight="1">
      <c r="A846" s="4" t="s">
        <v>2479</v>
      </c>
      <c r="B846" s="4">
        <v>2007</v>
      </c>
      <c r="D846" s="4" t="s">
        <v>2480</v>
      </c>
      <c r="E846" s="4" t="s">
        <v>443</v>
      </c>
      <c r="F846" s="1" t="s">
        <v>1047</v>
      </c>
    </row>
    <row r="847" spans="1:6" ht="15.75" customHeight="1">
      <c r="A847" s="4" t="s">
        <v>654</v>
      </c>
      <c r="B847" s="4">
        <v>2016</v>
      </c>
      <c r="C847" s="4" t="s">
        <v>2481</v>
      </c>
      <c r="D847" s="4" t="s">
        <v>2482</v>
      </c>
      <c r="E847" s="4" t="s">
        <v>443</v>
      </c>
      <c r="F847" s="1" t="s">
        <v>508</v>
      </c>
    </row>
    <row r="848" spans="1:6" ht="15.75" customHeight="1">
      <c r="A848" s="4" t="s">
        <v>654</v>
      </c>
      <c r="B848" s="4">
        <v>2010</v>
      </c>
      <c r="C848" s="4" t="s">
        <v>2483</v>
      </c>
      <c r="D848" s="4" t="s">
        <v>2484</v>
      </c>
      <c r="E848" s="4" t="s">
        <v>443</v>
      </c>
      <c r="F848" s="1" t="s">
        <v>508</v>
      </c>
    </row>
    <row r="849" spans="1:6" ht="15.75" customHeight="1">
      <c r="A849" s="4" t="s">
        <v>654</v>
      </c>
      <c r="B849" s="4">
        <v>2001</v>
      </c>
      <c r="C849" s="4" t="s">
        <v>2485</v>
      </c>
      <c r="D849" s="4" t="s">
        <v>2486</v>
      </c>
      <c r="E849" s="4" t="s">
        <v>443</v>
      </c>
      <c r="F849" s="1" t="s">
        <v>508</v>
      </c>
    </row>
    <row r="850" spans="1:6" ht="15.75" customHeight="1">
      <c r="A850" s="4" t="s">
        <v>2487</v>
      </c>
      <c r="B850" s="4">
        <v>2013</v>
      </c>
      <c r="C850" s="4" t="s">
        <v>2488</v>
      </c>
      <c r="D850" s="4" t="s">
        <v>2489</v>
      </c>
      <c r="E850" s="4" t="s">
        <v>443</v>
      </c>
      <c r="F850" s="1" t="s">
        <v>508</v>
      </c>
    </row>
    <row r="851" spans="1:6" ht="15.75" customHeight="1">
      <c r="A851" s="4" t="s">
        <v>2490</v>
      </c>
      <c r="B851" s="4">
        <v>2015</v>
      </c>
      <c r="C851" s="4" t="s">
        <v>2491</v>
      </c>
      <c r="D851" s="4" t="s">
        <v>2492</v>
      </c>
      <c r="E851" s="4" t="s">
        <v>443</v>
      </c>
      <c r="F851" s="1" t="s">
        <v>508</v>
      </c>
    </row>
    <row r="852" spans="1:6" ht="15.75" customHeight="1">
      <c r="A852" s="4" t="s">
        <v>2490</v>
      </c>
      <c r="B852" s="4">
        <v>2016</v>
      </c>
      <c r="C852" s="4" t="s">
        <v>2493</v>
      </c>
      <c r="D852" s="4" t="s">
        <v>2494</v>
      </c>
      <c r="E852" s="4" t="s">
        <v>443</v>
      </c>
      <c r="F852" s="1" t="s">
        <v>508</v>
      </c>
    </row>
    <row r="853" spans="1:6" ht="15.75" customHeight="1">
      <c r="A853" s="4" t="s">
        <v>2495</v>
      </c>
      <c r="B853" s="4">
        <v>2005</v>
      </c>
      <c r="C853" s="4" t="s">
        <v>2496</v>
      </c>
      <c r="D853" s="4" t="s">
        <v>2497</v>
      </c>
      <c r="E853" s="4" t="s">
        <v>443</v>
      </c>
      <c r="F853" s="1" t="s">
        <v>508</v>
      </c>
    </row>
    <row r="854" spans="1:6" ht="15.75" customHeight="1">
      <c r="A854" s="4" t="s">
        <v>2498</v>
      </c>
      <c r="B854" s="4">
        <v>2020</v>
      </c>
      <c r="C854" s="4" t="s">
        <v>2499</v>
      </c>
      <c r="D854" s="4" t="s">
        <v>2500</v>
      </c>
      <c r="E854" s="4" t="s">
        <v>443</v>
      </c>
      <c r="F854" s="1" t="s">
        <v>508</v>
      </c>
    </row>
    <row r="855" spans="1:6" ht="15.75" customHeight="1">
      <c r="A855" s="4" t="s">
        <v>2501</v>
      </c>
      <c r="B855" s="4">
        <v>1997</v>
      </c>
      <c r="C855" s="4" t="s">
        <v>2502</v>
      </c>
      <c r="D855" s="4" t="s">
        <v>2503</v>
      </c>
      <c r="E855" s="4" t="s">
        <v>443</v>
      </c>
      <c r="F855" s="1" t="s">
        <v>508</v>
      </c>
    </row>
    <row r="856" spans="1:6" ht="15.75" customHeight="1">
      <c r="A856" s="4" t="s">
        <v>2504</v>
      </c>
      <c r="B856" s="4">
        <v>2023</v>
      </c>
      <c r="C856" s="4" t="s">
        <v>2505</v>
      </c>
      <c r="D856" s="4" t="s">
        <v>2506</v>
      </c>
      <c r="E856" s="4" t="s">
        <v>443</v>
      </c>
      <c r="F856" s="1" t="s">
        <v>508</v>
      </c>
    </row>
    <row r="857" spans="1:6" ht="15.75" customHeight="1">
      <c r="A857" s="4" t="s">
        <v>2507</v>
      </c>
      <c r="B857" s="4">
        <v>2009</v>
      </c>
      <c r="C857" s="4" t="s">
        <v>2508</v>
      </c>
      <c r="D857" s="4" t="s">
        <v>2509</v>
      </c>
      <c r="E857" s="4" t="s">
        <v>443</v>
      </c>
      <c r="F857" s="1" t="s">
        <v>508</v>
      </c>
    </row>
    <row r="858" spans="1:6" ht="15.75" customHeight="1">
      <c r="A858" s="4" t="s">
        <v>2510</v>
      </c>
      <c r="B858" s="4">
        <v>2015</v>
      </c>
      <c r="C858" s="4" t="s">
        <v>2511</v>
      </c>
      <c r="D858" s="4" t="s">
        <v>2512</v>
      </c>
      <c r="E858" s="4" t="s">
        <v>443</v>
      </c>
      <c r="F858" s="1" t="s">
        <v>508</v>
      </c>
    </row>
    <row r="859" spans="1:6" ht="15.75" customHeight="1">
      <c r="A859" s="4" t="s">
        <v>2513</v>
      </c>
      <c r="B859" s="4">
        <v>2000</v>
      </c>
      <c r="C859" s="4" t="s">
        <v>2514</v>
      </c>
      <c r="D859" s="4" t="s">
        <v>2515</v>
      </c>
      <c r="E859" s="4" t="s">
        <v>443</v>
      </c>
      <c r="F859" s="1" t="s">
        <v>508</v>
      </c>
    </row>
    <row r="860" spans="1:6" ht="15.75" customHeight="1">
      <c r="A860" s="4" t="s">
        <v>2513</v>
      </c>
      <c r="B860" s="4">
        <v>1997</v>
      </c>
      <c r="C860" s="4" t="s">
        <v>2516</v>
      </c>
      <c r="D860" s="4" t="s">
        <v>2517</v>
      </c>
      <c r="E860" s="4" t="s">
        <v>443</v>
      </c>
      <c r="F860" s="1" t="s">
        <v>508</v>
      </c>
    </row>
    <row r="861" spans="1:6" ht="15.75" customHeight="1">
      <c r="A861" s="4" t="s">
        <v>2513</v>
      </c>
      <c r="B861" s="4">
        <v>2003</v>
      </c>
      <c r="C861" s="4" t="s">
        <v>2518</v>
      </c>
      <c r="D861" s="4" t="s">
        <v>2519</v>
      </c>
      <c r="E861" s="4" t="s">
        <v>443</v>
      </c>
      <c r="F861" s="1" t="s">
        <v>508</v>
      </c>
    </row>
    <row r="862" spans="1:6" ht="15.75" customHeight="1">
      <c r="A862" s="4" t="s">
        <v>2520</v>
      </c>
      <c r="B862" s="4">
        <v>2014</v>
      </c>
      <c r="C862" s="4" t="s">
        <v>2521</v>
      </c>
      <c r="D862" s="4" t="s">
        <v>2522</v>
      </c>
      <c r="E862" s="4" t="s">
        <v>443</v>
      </c>
      <c r="F862" s="1" t="s">
        <v>508</v>
      </c>
    </row>
    <row r="863" spans="1:6" ht="15.75" customHeight="1">
      <c r="A863" s="4" t="s">
        <v>2523</v>
      </c>
      <c r="B863" s="4">
        <v>2020</v>
      </c>
      <c r="C863" s="4" t="s">
        <v>2524</v>
      </c>
      <c r="D863" s="4" t="s">
        <v>2525</v>
      </c>
      <c r="E863" s="4" t="s">
        <v>443</v>
      </c>
      <c r="F863" s="1" t="s">
        <v>508</v>
      </c>
    </row>
    <row r="864" spans="1:6" ht="15.75" customHeight="1">
      <c r="A864" s="4" t="s">
        <v>2526</v>
      </c>
      <c r="B864" s="4">
        <v>2021</v>
      </c>
      <c r="C864" s="4" t="s">
        <v>2527</v>
      </c>
      <c r="D864" s="4" t="s">
        <v>2528</v>
      </c>
      <c r="E864" s="4" t="s">
        <v>443</v>
      </c>
      <c r="F864" s="1" t="s">
        <v>508</v>
      </c>
    </row>
    <row r="865" spans="1:6" ht="15.75" customHeight="1">
      <c r="A865" s="4" t="s">
        <v>2529</v>
      </c>
      <c r="B865" s="4">
        <v>2021</v>
      </c>
      <c r="C865" s="4" t="s">
        <v>2530</v>
      </c>
      <c r="D865" s="4" t="s">
        <v>2531</v>
      </c>
      <c r="E865" s="4" t="s">
        <v>443</v>
      </c>
      <c r="F865" s="1" t="s">
        <v>508</v>
      </c>
    </row>
    <row r="866" spans="1:6" ht="15.75" customHeight="1">
      <c r="A866" s="4" t="s">
        <v>2532</v>
      </c>
      <c r="B866" s="4">
        <v>2002</v>
      </c>
      <c r="C866" s="4" t="s">
        <v>2533</v>
      </c>
      <c r="D866" s="4" t="s">
        <v>2534</v>
      </c>
      <c r="E866" s="4" t="s">
        <v>443</v>
      </c>
      <c r="F866" s="1" t="s">
        <v>508</v>
      </c>
    </row>
    <row r="867" spans="1:6" ht="15.75" customHeight="1">
      <c r="A867" s="4" t="s">
        <v>2535</v>
      </c>
      <c r="B867" s="4">
        <v>2003</v>
      </c>
      <c r="C867" s="4" t="s">
        <v>2536</v>
      </c>
      <c r="D867" s="4" t="s">
        <v>2537</v>
      </c>
      <c r="E867" s="4" t="s">
        <v>443</v>
      </c>
      <c r="F867" s="1" t="s">
        <v>508</v>
      </c>
    </row>
    <row r="868" spans="1:6" ht="15.75" customHeight="1">
      <c r="A868" s="4" t="s">
        <v>669</v>
      </c>
      <c r="B868" s="4">
        <v>1994</v>
      </c>
      <c r="D868" s="4" t="s">
        <v>2538</v>
      </c>
      <c r="E868" s="4" t="s">
        <v>443</v>
      </c>
      <c r="F868" s="1" t="s">
        <v>508</v>
      </c>
    </row>
    <row r="869" spans="1:6" ht="15.75" customHeight="1">
      <c r="A869" s="4" t="s">
        <v>2539</v>
      </c>
      <c r="B869" s="4">
        <v>2022</v>
      </c>
      <c r="C869" s="4" t="s">
        <v>2540</v>
      </c>
      <c r="D869" s="4" t="s">
        <v>2541</v>
      </c>
      <c r="E869" s="4" t="s">
        <v>443</v>
      </c>
      <c r="F869" s="1" t="s">
        <v>508</v>
      </c>
    </row>
    <row r="870" spans="1:6" ht="15.75" customHeight="1">
      <c r="A870" s="4" t="s">
        <v>2542</v>
      </c>
      <c r="B870" s="4">
        <v>2021</v>
      </c>
      <c r="C870" s="4" t="s">
        <v>2543</v>
      </c>
      <c r="D870" s="4" t="s">
        <v>2544</v>
      </c>
      <c r="E870" s="4" t="s">
        <v>443</v>
      </c>
      <c r="F870" s="1" t="s">
        <v>508</v>
      </c>
    </row>
    <row r="871" spans="1:6" ht="15.75" customHeight="1">
      <c r="A871" s="4" t="s">
        <v>2545</v>
      </c>
      <c r="B871" s="4">
        <v>2002</v>
      </c>
      <c r="C871" s="4" t="s">
        <v>2546</v>
      </c>
      <c r="D871" s="4" t="s">
        <v>2547</v>
      </c>
      <c r="E871" s="4" t="s">
        <v>443</v>
      </c>
      <c r="F871" s="1" t="s">
        <v>508</v>
      </c>
    </row>
    <row r="872" spans="1:6" ht="15.75" customHeight="1">
      <c r="A872" s="4" t="s">
        <v>2545</v>
      </c>
      <c r="B872" s="4">
        <v>2006</v>
      </c>
      <c r="C872" s="4" t="s">
        <v>2548</v>
      </c>
      <c r="D872" s="4" t="s">
        <v>2549</v>
      </c>
      <c r="E872" s="4" t="s">
        <v>443</v>
      </c>
      <c r="F872" s="1" t="s">
        <v>508</v>
      </c>
    </row>
    <row r="873" spans="1:6" ht="15.75" customHeight="1">
      <c r="A873" s="4" t="s">
        <v>2550</v>
      </c>
      <c r="B873" s="4">
        <v>2018</v>
      </c>
      <c r="C873" s="4" t="s">
        <v>2551</v>
      </c>
      <c r="D873" s="4" t="s">
        <v>2552</v>
      </c>
      <c r="E873" s="4" t="s">
        <v>443</v>
      </c>
      <c r="F873" s="1" t="s">
        <v>508</v>
      </c>
    </row>
    <row r="874" spans="1:6" ht="15.75" customHeight="1">
      <c r="A874" s="4" t="s">
        <v>2553</v>
      </c>
      <c r="B874" s="4">
        <v>2006</v>
      </c>
      <c r="C874" s="4" t="s">
        <v>2554</v>
      </c>
      <c r="D874" s="4" t="s">
        <v>2555</v>
      </c>
      <c r="E874" s="4" t="s">
        <v>443</v>
      </c>
      <c r="F874" s="1" t="s">
        <v>508</v>
      </c>
    </row>
    <row r="875" spans="1:6" ht="15.75" customHeight="1">
      <c r="A875" s="4" t="s">
        <v>2556</v>
      </c>
      <c r="B875" s="4">
        <v>1988</v>
      </c>
      <c r="D875" s="4" t="s">
        <v>2557</v>
      </c>
      <c r="E875" s="4" t="s">
        <v>443</v>
      </c>
      <c r="F875" s="1" t="s">
        <v>508</v>
      </c>
    </row>
    <row r="876" spans="1:6" ht="15.75" customHeight="1">
      <c r="A876" s="4" t="s">
        <v>2558</v>
      </c>
      <c r="B876" s="4">
        <v>2015</v>
      </c>
      <c r="C876" s="4" t="s">
        <v>2559</v>
      </c>
      <c r="D876" s="4" t="s">
        <v>2560</v>
      </c>
      <c r="E876" s="4" t="s">
        <v>443</v>
      </c>
      <c r="F876" s="1" t="s">
        <v>508</v>
      </c>
    </row>
    <row r="877" spans="1:6" ht="15.75" customHeight="1">
      <c r="A877" s="4" t="s">
        <v>2561</v>
      </c>
      <c r="B877" s="4">
        <v>2007</v>
      </c>
      <c r="C877" s="4" t="s">
        <v>2562</v>
      </c>
      <c r="D877" s="4" t="s">
        <v>2563</v>
      </c>
      <c r="E877" s="4" t="s">
        <v>443</v>
      </c>
      <c r="F877" s="1" t="s">
        <v>508</v>
      </c>
    </row>
    <row r="878" spans="1:6" ht="15.75" customHeight="1">
      <c r="A878" s="4" t="s">
        <v>2561</v>
      </c>
      <c r="B878" s="4">
        <v>2010</v>
      </c>
      <c r="C878" s="4" t="s">
        <v>2564</v>
      </c>
      <c r="D878" s="4" t="s">
        <v>2565</v>
      </c>
      <c r="E878" s="4" t="s">
        <v>443</v>
      </c>
      <c r="F878" s="1" t="s">
        <v>508</v>
      </c>
    </row>
    <row r="879" spans="1:6" ht="15.75" customHeight="1">
      <c r="A879" s="4" t="s">
        <v>2566</v>
      </c>
      <c r="B879" s="4">
        <v>2000</v>
      </c>
      <c r="C879" s="4" t="s">
        <v>2567</v>
      </c>
      <c r="D879" s="4" t="s">
        <v>2568</v>
      </c>
      <c r="E879" s="4" t="s">
        <v>443</v>
      </c>
      <c r="F879" s="1" t="s">
        <v>508</v>
      </c>
    </row>
    <row r="880" spans="1:6" ht="15.75" customHeight="1">
      <c r="A880" s="4" t="s">
        <v>233</v>
      </c>
      <c r="B880" s="4">
        <v>2009</v>
      </c>
      <c r="C880" s="4" t="s">
        <v>2569</v>
      </c>
      <c r="D880" s="4" t="s">
        <v>2570</v>
      </c>
      <c r="E880" s="4" t="s">
        <v>443</v>
      </c>
      <c r="F880" s="1" t="s">
        <v>508</v>
      </c>
    </row>
    <row r="881" spans="1:6" ht="15.75" customHeight="1">
      <c r="A881" s="4" t="s">
        <v>2571</v>
      </c>
      <c r="B881" s="4">
        <v>2019</v>
      </c>
      <c r="C881" s="4" t="s">
        <v>2572</v>
      </c>
      <c r="D881" s="4" t="s">
        <v>2573</v>
      </c>
      <c r="E881" s="4" t="s">
        <v>443</v>
      </c>
      <c r="F881" s="1" t="s">
        <v>1047</v>
      </c>
    </row>
    <row r="882" spans="1:6" ht="15.75" customHeight="1">
      <c r="A882" s="4" t="s">
        <v>2574</v>
      </c>
      <c r="B882" s="4">
        <v>2019</v>
      </c>
      <c r="C882" s="4" t="s">
        <v>2575</v>
      </c>
      <c r="D882" s="4" t="s">
        <v>2576</v>
      </c>
      <c r="E882" s="4" t="s">
        <v>443</v>
      </c>
      <c r="F882" s="1" t="s">
        <v>508</v>
      </c>
    </row>
    <row r="883" spans="1:6" ht="15.75" customHeight="1">
      <c r="A883" s="4" t="s">
        <v>2577</v>
      </c>
      <c r="B883" s="4">
        <v>2017</v>
      </c>
      <c r="C883" s="4" t="s">
        <v>2578</v>
      </c>
      <c r="D883" s="4" t="s">
        <v>2579</v>
      </c>
      <c r="E883" s="4" t="s">
        <v>443</v>
      </c>
      <c r="F883" s="1" t="s">
        <v>508</v>
      </c>
    </row>
    <row r="884" spans="1:6" ht="15.75" customHeight="1">
      <c r="A884" s="4" t="s">
        <v>2580</v>
      </c>
      <c r="B884" s="4">
        <v>1999</v>
      </c>
      <c r="C884" s="4" t="s">
        <v>2581</v>
      </c>
      <c r="D884" s="4" t="s">
        <v>2582</v>
      </c>
      <c r="E884" s="4" t="s">
        <v>443</v>
      </c>
      <c r="F884" s="1" t="s">
        <v>508</v>
      </c>
    </row>
    <row r="885" spans="1:6" ht="15.75" customHeight="1">
      <c r="A885" s="4" t="s">
        <v>2583</v>
      </c>
      <c r="B885" s="4">
        <v>2020</v>
      </c>
      <c r="C885" s="4" t="s">
        <v>2584</v>
      </c>
      <c r="D885" s="4" t="s">
        <v>2585</v>
      </c>
      <c r="E885" s="4" t="s">
        <v>443</v>
      </c>
      <c r="F885" s="1" t="s">
        <v>508</v>
      </c>
    </row>
    <row r="886" spans="1:6" ht="15.75" customHeight="1">
      <c r="A886" s="4" t="s">
        <v>235</v>
      </c>
      <c r="B886" s="4">
        <v>1998</v>
      </c>
      <c r="C886" s="4" t="s">
        <v>2586</v>
      </c>
      <c r="D886" s="4" t="s">
        <v>2587</v>
      </c>
      <c r="E886" s="4" t="s">
        <v>443</v>
      </c>
      <c r="F886" s="1" t="s">
        <v>508</v>
      </c>
    </row>
    <row r="887" spans="1:6" ht="15.75" customHeight="1">
      <c r="A887" s="4" t="s">
        <v>2588</v>
      </c>
      <c r="B887" s="4">
        <v>2006</v>
      </c>
      <c r="C887" s="4" t="s">
        <v>2589</v>
      </c>
      <c r="D887" s="4" t="s">
        <v>2590</v>
      </c>
      <c r="E887" s="4" t="s">
        <v>443</v>
      </c>
      <c r="F887" s="1" t="s">
        <v>508</v>
      </c>
    </row>
    <row r="888" spans="1:6" ht="15.75" customHeight="1">
      <c r="A888" s="4" t="s">
        <v>2591</v>
      </c>
      <c r="B888" s="4">
        <v>2011</v>
      </c>
      <c r="C888" s="4" t="s">
        <v>2592</v>
      </c>
      <c r="D888" s="4" t="s">
        <v>2593</v>
      </c>
      <c r="E888" s="4" t="s">
        <v>443</v>
      </c>
      <c r="F888" s="1" t="s">
        <v>508</v>
      </c>
    </row>
    <row r="889" spans="1:6" ht="15.75" customHeight="1">
      <c r="A889" s="4" t="s">
        <v>2594</v>
      </c>
      <c r="B889" s="4">
        <v>2002</v>
      </c>
      <c r="C889" s="4" t="s">
        <v>2595</v>
      </c>
      <c r="D889" s="4" t="s">
        <v>2596</v>
      </c>
      <c r="E889" s="4" t="s">
        <v>443</v>
      </c>
      <c r="F889" s="1" t="s">
        <v>508</v>
      </c>
    </row>
    <row r="890" spans="1:6" ht="15.75" customHeight="1">
      <c r="A890" s="4" t="s">
        <v>2597</v>
      </c>
      <c r="B890" s="4">
        <v>2012</v>
      </c>
      <c r="C890" s="4" t="s">
        <v>2598</v>
      </c>
      <c r="D890" s="4" t="s">
        <v>2599</v>
      </c>
      <c r="E890" s="4" t="s">
        <v>443</v>
      </c>
      <c r="F890" s="1" t="s">
        <v>508</v>
      </c>
    </row>
    <row r="891" spans="1:6" ht="15.75" customHeight="1">
      <c r="A891" s="4" t="s">
        <v>2600</v>
      </c>
      <c r="B891" s="4">
        <v>2007</v>
      </c>
      <c r="C891" s="4" t="s">
        <v>2601</v>
      </c>
      <c r="D891" s="4" t="s">
        <v>2602</v>
      </c>
      <c r="E891" s="4" t="s">
        <v>443</v>
      </c>
      <c r="F891" s="1" t="s">
        <v>508</v>
      </c>
    </row>
    <row r="892" spans="1:6" ht="15.75" customHeight="1">
      <c r="A892" s="4" t="s">
        <v>2603</v>
      </c>
      <c r="B892" s="4">
        <v>1994</v>
      </c>
      <c r="C892" s="4" t="s">
        <v>2604</v>
      </c>
      <c r="D892" s="4" t="s">
        <v>2605</v>
      </c>
      <c r="E892" s="4" t="s">
        <v>443</v>
      </c>
      <c r="F892" s="1" t="s">
        <v>508</v>
      </c>
    </row>
    <row r="893" spans="1:6" ht="15.75" customHeight="1">
      <c r="A893" s="4" t="s">
        <v>2606</v>
      </c>
      <c r="B893" s="4">
        <v>2006</v>
      </c>
      <c r="C893" s="4" t="s">
        <v>2607</v>
      </c>
      <c r="D893" s="4" t="s">
        <v>2608</v>
      </c>
      <c r="E893" s="4" t="s">
        <v>443</v>
      </c>
      <c r="F893" s="1" t="s">
        <v>508</v>
      </c>
    </row>
    <row r="894" spans="1:6" ht="15.75" customHeight="1">
      <c r="A894" s="4" t="s">
        <v>2609</v>
      </c>
      <c r="B894" s="4">
        <v>1999</v>
      </c>
      <c r="C894" s="4" t="s">
        <v>2610</v>
      </c>
      <c r="D894" s="4" t="s">
        <v>2611</v>
      </c>
      <c r="E894" s="4" t="s">
        <v>443</v>
      </c>
      <c r="F894" s="1" t="s">
        <v>508</v>
      </c>
    </row>
    <row r="895" spans="1:6" ht="15.75" customHeight="1">
      <c r="A895" s="4" t="s">
        <v>2612</v>
      </c>
      <c r="B895" s="4">
        <v>2006</v>
      </c>
      <c r="D895" s="4" t="s">
        <v>2613</v>
      </c>
      <c r="E895" s="4" t="s">
        <v>443</v>
      </c>
      <c r="F895" s="1" t="s">
        <v>1047</v>
      </c>
    </row>
    <row r="896" spans="1:6" ht="15.75" customHeight="1">
      <c r="A896" s="4" t="s">
        <v>2614</v>
      </c>
      <c r="B896" s="4">
        <v>2012</v>
      </c>
      <c r="C896" s="4" t="s">
        <v>2615</v>
      </c>
      <c r="D896" s="4" t="s">
        <v>2616</v>
      </c>
      <c r="E896" s="4" t="s">
        <v>443</v>
      </c>
      <c r="F896" s="1" t="s">
        <v>508</v>
      </c>
    </row>
    <row r="897" spans="1:6" ht="15.75" customHeight="1">
      <c r="A897" s="4" t="s">
        <v>2617</v>
      </c>
      <c r="B897" s="4">
        <v>2004</v>
      </c>
      <c r="C897" s="4" t="s">
        <v>2618</v>
      </c>
      <c r="D897" s="4" t="s">
        <v>2619</v>
      </c>
      <c r="E897" s="4" t="s">
        <v>443</v>
      </c>
      <c r="F897" s="1" t="s">
        <v>508</v>
      </c>
    </row>
    <row r="898" spans="1:6" ht="15.75" customHeight="1">
      <c r="A898" s="4" t="s">
        <v>2620</v>
      </c>
      <c r="B898" s="4">
        <v>2014</v>
      </c>
      <c r="C898" s="4" t="s">
        <v>2621</v>
      </c>
      <c r="D898" s="4" t="s">
        <v>2622</v>
      </c>
      <c r="E898" s="4" t="s">
        <v>443</v>
      </c>
      <c r="F898" s="1" t="s">
        <v>508</v>
      </c>
    </row>
    <row r="899" spans="1:6" ht="15.75" customHeight="1">
      <c r="A899" s="4" t="s">
        <v>2623</v>
      </c>
      <c r="B899" s="4">
        <v>1994</v>
      </c>
      <c r="C899" s="4" t="s">
        <v>2624</v>
      </c>
      <c r="D899" s="4" t="s">
        <v>2625</v>
      </c>
      <c r="E899" s="4" t="s">
        <v>443</v>
      </c>
      <c r="F899" s="1" t="s">
        <v>508</v>
      </c>
    </row>
    <row r="900" spans="1:6" ht="15.75" customHeight="1">
      <c r="A900" s="4" t="s">
        <v>2626</v>
      </c>
      <c r="B900" s="4">
        <v>2022</v>
      </c>
      <c r="C900" s="4" t="s">
        <v>2627</v>
      </c>
      <c r="D900" s="4" t="s">
        <v>2628</v>
      </c>
      <c r="E900" s="4" t="s">
        <v>443</v>
      </c>
      <c r="F900" s="1" t="s">
        <v>508</v>
      </c>
    </row>
    <row r="901" spans="1:6" ht="15.75" customHeight="1">
      <c r="A901" s="4" t="s">
        <v>2629</v>
      </c>
      <c r="B901" s="4">
        <v>2021</v>
      </c>
      <c r="C901" s="4" t="s">
        <v>2630</v>
      </c>
      <c r="D901" s="4" t="s">
        <v>2631</v>
      </c>
      <c r="E901" s="4" t="s">
        <v>443</v>
      </c>
      <c r="F901" s="1" t="s">
        <v>508</v>
      </c>
    </row>
    <row r="902" spans="1:6" ht="15.75" customHeight="1">
      <c r="A902" s="4" t="s">
        <v>2632</v>
      </c>
      <c r="B902" s="4">
        <v>2014</v>
      </c>
      <c r="C902" s="4" t="s">
        <v>2633</v>
      </c>
      <c r="D902" s="4" t="s">
        <v>2634</v>
      </c>
      <c r="E902" s="4" t="s">
        <v>443</v>
      </c>
      <c r="F902" s="1" t="s">
        <v>508</v>
      </c>
    </row>
    <row r="903" spans="1:6" ht="15.75" customHeight="1">
      <c r="A903" s="4" t="s">
        <v>2632</v>
      </c>
      <c r="B903" s="4">
        <v>1992</v>
      </c>
      <c r="D903" s="4" t="s">
        <v>2635</v>
      </c>
      <c r="E903" s="4" t="s">
        <v>443</v>
      </c>
      <c r="F903" s="1" t="s">
        <v>1047</v>
      </c>
    </row>
    <row r="904" spans="1:6" ht="15.75" customHeight="1">
      <c r="A904" s="4" t="s">
        <v>2636</v>
      </c>
      <c r="B904" s="4">
        <v>1996</v>
      </c>
      <c r="C904" s="4" t="s">
        <v>2637</v>
      </c>
      <c r="D904" s="4" t="s">
        <v>2638</v>
      </c>
      <c r="E904" s="4" t="s">
        <v>443</v>
      </c>
      <c r="F904" s="1" t="s">
        <v>508</v>
      </c>
    </row>
    <row r="905" spans="1:6" ht="15.75" customHeight="1">
      <c r="A905" s="4" t="s">
        <v>2639</v>
      </c>
      <c r="B905" s="4">
        <v>1998</v>
      </c>
      <c r="C905" s="4" t="s">
        <v>2640</v>
      </c>
      <c r="D905" s="4" t="s">
        <v>2641</v>
      </c>
      <c r="E905" s="4" t="s">
        <v>443</v>
      </c>
      <c r="F905" s="1" t="s">
        <v>508</v>
      </c>
    </row>
    <row r="906" spans="1:6" ht="15.75" customHeight="1">
      <c r="A906" s="4" t="s">
        <v>2642</v>
      </c>
      <c r="B906" s="4">
        <v>2012</v>
      </c>
      <c r="C906" s="4" t="s">
        <v>2643</v>
      </c>
      <c r="D906" s="4" t="s">
        <v>2644</v>
      </c>
      <c r="E906" s="4" t="s">
        <v>443</v>
      </c>
      <c r="F906" s="1" t="s">
        <v>508</v>
      </c>
    </row>
    <row r="907" spans="1:6" ht="15.75" customHeight="1">
      <c r="A907" s="4" t="s">
        <v>2642</v>
      </c>
      <c r="B907" s="4">
        <v>2011</v>
      </c>
      <c r="C907" s="4" t="s">
        <v>2645</v>
      </c>
      <c r="D907" s="4" t="s">
        <v>2646</v>
      </c>
      <c r="E907" s="4" t="s">
        <v>443</v>
      </c>
      <c r="F907" s="1" t="s">
        <v>508</v>
      </c>
    </row>
    <row r="908" spans="1:6" ht="15.75" customHeight="1">
      <c r="A908" s="4" t="s">
        <v>2642</v>
      </c>
      <c r="B908" s="4">
        <v>2014</v>
      </c>
      <c r="C908" s="4" t="s">
        <v>2647</v>
      </c>
      <c r="D908" s="4" t="s">
        <v>2648</v>
      </c>
      <c r="E908" s="4" t="s">
        <v>443</v>
      </c>
      <c r="F908" s="1" t="s">
        <v>508</v>
      </c>
    </row>
    <row r="909" spans="1:6" ht="15.75" customHeight="1">
      <c r="A909" s="4" t="s">
        <v>2649</v>
      </c>
      <c r="B909" s="4">
        <v>2013</v>
      </c>
      <c r="C909" s="4" t="s">
        <v>2650</v>
      </c>
      <c r="D909" s="4" t="s">
        <v>2651</v>
      </c>
      <c r="E909" s="4" t="s">
        <v>443</v>
      </c>
      <c r="F909" s="1" t="s">
        <v>508</v>
      </c>
    </row>
    <row r="910" spans="1:6" ht="15.75" customHeight="1">
      <c r="A910" s="4" t="s">
        <v>2652</v>
      </c>
      <c r="B910" s="4">
        <v>2013</v>
      </c>
      <c r="C910" s="4" t="s">
        <v>2653</v>
      </c>
      <c r="D910" s="4" t="s">
        <v>2654</v>
      </c>
      <c r="E910" s="4" t="s">
        <v>443</v>
      </c>
      <c r="F910" s="1" t="s">
        <v>508</v>
      </c>
    </row>
    <row r="911" spans="1:6" ht="15.75" customHeight="1">
      <c r="A911" s="4" t="s">
        <v>2655</v>
      </c>
      <c r="B911" s="4">
        <v>2007</v>
      </c>
      <c r="D911" s="4" t="s">
        <v>2656</v>
      </c>
      <c r="E911" s="4" t="s">
        <v>443</v>
      </c>
      <c r="F911" s="1" t="s">
        <v>1047</v>
      </c>
    </row>
    <row r="912" spans="1:6" ht="15.75" customHeight="1">
      <c r="A912" s="4" t="s">
        <v>686</v>
      </c>
      <c r="B912" s="4">
        <v>2011</v>
      </c>
      <c r="D912" s="4" t="s">
        <v>2657</v>
      </c>
      <c r="E912" s="4" t="s">
        <v>443</v>
      </c>
      <c r="F912" s="1" t="s">
        <v>1047</v>
      </c>
    </row>
    <row r="913" spans="1:6" ht="15.75" customHeight="1">
      <c r="A913" s="4" t="s">
        <v>686</v>
      </c>
      <c r="B913" s="4">
        <v>2014</v>
      </c>
      <c r="C913" s="4" t="s">
        <v>2658</v>
      </c>
      <c r="D913" s="4" t="s">
        <v>2659</v>
      </c>
      <c r="E913" s="4" t="s">
        <v>443</v>
      </c>
      <c r="F913" s="1" t="s">
        <v>508</v>
      </c>
    </row>
    <row r="914" spans="1:6" ht="15.75" customHeight="1">
      <c r="A914" s="4" t="s">
        <v>686</v>
      </c>
      <c r="B914" s="4">
        <v>2012</v>
      </c>
      <c r="C914" s="4" t="s">
        <v>2660</v>
      </c>
      <c r="D914" s="4" t="s">
        <v>2661</v>
      </c>
      <c r="E914" s="4" t="s">
        <v>443</v>
      </c>
      <c r="F914" s="1" t="s">
        <v>508</v>
      </c>
    </row>
    <row r="915" spans="1:6" ht="15.75" customHeight="1">
      <c r="A915" s="4" t="s">
        <v>2662</v>
      </c>
      <c r="B915" s="4">
        <v>2000</v>
      </c>
      <c r="C915" s="4" t="s">
        <v>2663</v>
      </c>
      <c r="D915" s="4" t="s">
        <v>2664</v>
      </c>
      <c r="E915" s="4" t="s">
        <v>443</v>
      </c>
      <c r="F915" s="1" t="s">
        <v>508</v>
      </c>
    </row>
    <row r="916" spans="1:6" ht="15.75" customHeight="1">
      <c r="A916" s="4" t="s">
        <v>2665</v>
      </c>
      <c r="B916" s="4">
        <v>2020</v>
      </c>
      <c r="C916" s="4" t="s">
        <v>2666</v>
      </c>
      <c r="D916" s="4" t="s">
        <v>2667</v>
      </c>
      <c r="E916" s="4" t="s">
        <v>443</v>
      </c>
      <c r="F916" s="1" t="s">
        <v>508</v>
      </c>
    </row>
    <row r="917" spans="1:6" ht="15.75" customHeight="1">
      <c r="A917" s="4" t="s">
        <v>2668</v>
      </c>
      <c r="B917" s="4">
        <v>2020</v>
      </c>
      <c r="C917" s="4" t="s">
        <v>2669</v>
      </c>
      <c r="D917" s="4" t="s">
        <v>2670</v>
      </c>
      <c r="E917" s="4" t="s">
        <v>443</v>
      </c>
      <c r="F917" s="1" t="s">
        <v>508</v>
      </c>
    </row>
    <row r="918" spans="1:6" ht="15.75" customHeight="1">
      <c r="A918" s="4" t="s">
        <v>2671</v>
      </c>
      <c r="B918" s="4">
        <v>2001</v>
      </c>
      <c r="C918" s="4" t="s">
        <v>2672</v>
      </c>
      <c r="D918" s="4" t="s">
        <v>2673</v>
      </c>
      <c r="E918" s="4" t="s">
        <v>443</v>
      </c>
      <c r="F918" s="1" t="s">
        <v>508</v>
      </c>
    </row>
    <row r="919" spans="1:6" ht="15.75" customHeight="1">
      <c r="A919" s="4" t="s">
        <v>2671</v>
      </c>
      <c r="B919" s="4">
        <v>1997</v>
      </c>
      <c r="C919" s="4" t="s">
        <v>2674</v>
      </c>
      <c r="D919" s="4" t="s">
        <v>2675</v>
      </c>
      <c r="E919" s="4" t="s">
        <v>443</v>
      </c>
      <c r="F919" s="1" t="s">
        <v>508</v>
      </c>
    </row>
    <row r="920" spans="1:6" ht="15.75" customHeight="1">
      <c r="A920" s="4" t="s">
        <v>2671</v>
      </c>
      <c r="B920" s="4">
        <v>2000</v>
      </c>
      <c r="C920" s="4" t="s">
        <v>2676</v>
      </c>
      <c r="D920" s="4" t="s">
        <v>2677</v>
      </c>
      <c r="E920" s="4" t="s">
        <v>443</v>
      </c>
      <c r="F920" s="1" t="s">
        <v>508</v>
      </c>
    </row>
    <row r="921" spans="1:6" ht="15.75" customHeight="1">
      <c r="A921" s="4" t="s">
        <v>2678</v>
      </c>
      <c r="B921" s="4">
        <v>1997</v>
      </c>
      <c r="D921" s="4" t="s">
        <v>2679</v>
      </c>
      <c r="E921" s="4" t="s">
        <v>443</v>
      </c>
      <c r="F921" s="1" t="s">
        <v>1047</v>
      </c>
    </row>
    <row r="922" spans="1:6" ht="15.75" customHeight="1">
      <c r="A922" s="4" t="s">
        <v>2680</v>
      </c>
      <c r="B922" s="4">
        <v>2021</v>
      </c>
      <c r="C922" s="4" t="s">
        <v>2681</v>
      </c>
      <c r="D922" s="4" t="s">
        <v>2682</v>
      </c>
      <c r="E922" s="4" t="s">
        <v>443</v>
      </c>
      <c r="F922" s="1" t="s">
        <v>508</v>
      </c>
    </row>
    <row r="923" spans="1:6" ht="15.75" customHeight="1">
      <c r="A923" s="4" t="s">
        <v>2683</v>
      </c>
      <c r="B923" s="4">
        <v>2019</v>
      </c>
      <c r="D923" s="4" t="s">
        <v>2684</v>
      </c>
      <c r="E923" s="4" t="s">
        <v>443</v>
      </c>
      <c r="F923" s="1" t="s">
        <v>1047</v>
      </c>
    </row>
    <row r="924" spans="1:6" ht="15.75" customHeight="1">
      <c r="A924" s="4" t="s">
        <v>2685</v>
      </c>
      <c r="B924" s="4">
        <v>2001</v>
      </c>
      <c r="C924" s="4" t="s">
        <v>2686</v>
      </c>
      <c r="D924" s="4" t="s">
        <v>2687</v>
      </c>
      <c r="E924" s="4" t="s">
        <v>443</v>
      </c>
      <c r="F924" s="1" t="s">
        <v>508</v>
      </c>
    </row>
    <row r="925" spans="1:6" ht="15.75" customHeight="1">
      <c r="A925" s="4" t="s">
        <v>2688</v>
      </c>
      <c r="B925" s="4">
        <v>2016</v>
      </c>
      <c r="C925" s="4" t="s">
        <v>2689</v>
      </c>
      <c r="D925" s="4" t="s">
        <v>2690</v>
      </c>
      <c r="E925" s="4" t="s">
        <v>443</v>
      </c>
      <c r="F925" s="1" t="s">
        <v>508</v>
      </c>
    </row>
    <row r="926" spans="1:6" ht="15.75" customHeight="1">
      <c r="A926" s="4" t="s">
        <v>2691</v>
      </c>
      <c r="B926" s="4">
        <v>2019</v>
      </c>
      <c r="C926" s="4" t="s">
        <v>2692</v>
      </c>
      <c r="D926" s="4" t="s">
        <v>2693</v>
      </c>
      <c r="E926" s="4" t="s">
        <v>443</v>
      </c>
      <c r="F926" s="1" t="s">
        <v>508</v>
      </c>
    </row>
    <row r="927" spans="1:6" ht="15.75" customHeight="1">
      <c r="A927" s="4" t="s">
        <v>2694</v>
      </c>
      <c r="B927" s="4">
        <v>2000</v>
      </c>
      <c r="C927" s="4" t="s">
        <v>2695</v>
      </c>
      <c r="D927" s="4" t="s">
        <v>2696</v>
      </c>
      <c r="E927" s="4" t="s">
        <v>443</v>
      </c>
      <c r="F927" s="1" t="s">
        <v>508</v>
      </c>
    </row>
    <row r="928" spans="1:6" ht="15.75" customHeight="1">
      <c r="A928" s="4" t="s">
        <v>2697</v>
      </c>
      <c r="B928" s="4">
        <v>2000</v>
      </c>
      <c r="C928" s="4" t="s">
        <v>2698</v>
      </c>
      <c r="D928" s="4" t="s">
        <v>2699</v>
      </c>
      <c r="E928" s="4" t="s">
        <v>443</v>
      </c>
      <c r="F928" s="1" t="s">
        <v>508</v>
      </c>
    </row>
    <row r="929" spans="1:6" ht="15.75" customHeight="1">
      <c r="A929" s="4" t="s">
        <v>2700</v>
      </c>
      <c r="B929" s="4">
        <v>1990</v>
      </c>
      <c r="C929" s="4" t="s">
        <v>2701</v>
      </c>
      <c r="D929" s="4" t="s">
        <v>2702</v>
      </c>
      <c r="E929" s="4" t="s">
        <v>443</v>
      </c>
      <c r="F929" s="1" t="s">
        <v>508</v>
      </c>
    </row>
    <row r="930" spans="1:6" ht="15.75" customHeight="1">
      <c r="A930" s="4" t="s">
        <v>2700</v>
      </c>
      <c r="B930" s="4">
        <v>1991</v>
      </c>
      <c r="C930" s="4" t="s">
        <v>2703</v>
      </c>
      <c r="D930" s="4" t="s">
        <v>2704</v>
      </c>
      <c r="E930" s="4" t="s">
        <v>443</v>
      </c>
      <c r="F930" s="1" t="s">
        <v>508</v>
      </c>
    </row>
    <row r="931" spans="1:6" ht="15.75" customHeight="1">
      <c r="A931" s="4" t="s">
        <v>2700</v>
      </c>
      <c r="B931" s="4">
        <v>1990</v>
      </c>
      <c r="C931" s="4" t="s">
        <v>2705</v>
      </c>
      <c r="D931" s="4" t="s">
        <v>2706</v>
      </c>
      <c r="E931" s="4" t="s">
        <v>443</v>
      </c>
      <c r="F931" s="1" t="s">
        <v>508</v>
      </c>
    </row>
    <row r="932" spans="1:6" ht="15.75" customHeight="1">
      <c r="A932" s="4" t="s">
        <v>2707</v>
      </c>
      <c r="B932" s="4">
        <v>2020</v>
      </c>
      <c r="C932" s="4" t="s">
        <v>2708</v>
      </c>
      <c r="D932" s="4" t="s">
        <v>2709</v>
      </c>
      <c r="E932" s="4" t="s">
        <v>443</v>
      </c>
      <c r="F932" s="1" t="s">
        <v>508</v>
      </c>
    </row>
    <row r="933" spans="1:6" ht="15.75" customHeight="1">
      <c r="A933" s="4" t="s">
        <v>2710</v>
      </c>
      <c r="B933" s="4">
        <v>2000</v>
      </c>
      <c r="C933" s="4" t="s">
        <v>2711</v>
      </c>
      <c r="D933" s="4" t="s">
        <v>2712</v>
      </c>
      <c r="E933" s="4" t="s">
        <v>443</v>
      </c>
      <c r="F933" s="1" t="s">
        <v>508</v>
      </c>
    </row>
    <row r="934" spans="1:6" ht="15.75" customHeight="1">
      <c r="A934" s="4" t="s">
        <v>2713</v>
      </c>
      <c r="B934" s="4">
        <v>1998</v>
      </c>
      <c r="C934" s="4" t="s">
        <v>2714</v>
      </c>
      <c r="D934" s="4" t="s">
        <v>2715</v>
      </c>
      <c r="E934" s="4" t="s">
        <v>443</v>
      </c>
      <c r="F934" s="1" t="s">
        <v>508</v>
      </c>
    </row>
    <row r="935" spans="1:6" ht="15.75" customHeight="1">
      <c r="A935" s="4" t="s">
        <v>2716</v>
      </c>
      <c r="B935" s="4">
        <v>2000</v>
      </c>
      <c r="C935" s="4" t="s">
        <v>2717</v>
      </c>
      <c r="D935" s="4" t="s">
        <v>2718</v>
      </c>
      <c r="E935" s="4" t="s">
        <v>443</v>
      </c>
      <c r="F935" s="1" t="s">
        <v>508</v>
      </c>
    </row>
    <row r="936" spans="1:6" ht="15.75" customHeight="1">
      <c r="A936" s="4" t="s">
        <v>2719</v>
      </c>
      <c r="B936" s="4">
        <v>2000</v>
      </c>
      <c r="D936" s="4" t="s">
        <v>2720</v>
      </c>
      <c r="E936" s="4" t="s">
        <v>443</v>
      </c>
      <c r="F936" s="1" t="s">
        <v>1047</v>
      </c>
    </row>
    <row r="937" spans="1:6" ht="15.75" customHeight="1">
      <c r="A937" s="4" t="s">
        <v>2721</v>
      </c>
      <c r="B937" s="4">
        <v>1997</v>
      </c>
      <c r="C937" s="4" t="s">
        <v>2722</v>
      </c>
      <c r="D937" s="4" t="s">
        <v>2723</v>
      </c>
      <c r="E937" s="4" t="s">
        <v>443</v>
      </c>
      <c r="F937" s="1" t="s">
        <v>508</v>
      </c>
    </row>
    <row r="938" spans="1:6" ht="15.75" customHeight="1">
      <c r="A938" s="4" t="s">
        <v>2724</v>
      </c>
      <c r="B938" s="4">
        <v>2000</v>
      </c>
      <c r="C938" s="4" t="s">
        <v>2725</v>
      </c>
      <c r="D938" s="4" t="s">
        <v>2726</v>
      </c>
      <c r="E938" s="4" t="s">
        <v>443</v>
      </c>
      <c r="F938" s="1" t="s">
        <v>508</v>
      </c>
    </row>
    <row r="939" spans="1:6" ht="15.75" customHeight="1">
      <c r="A939" s="4" t="s">
        <v>2724</v>
      </c>
      <c r="B939" s="4">
        <v>1996</v>
      </c>
      <c r="C939" s="4" t="s">
        <v>2727</v>
      </c>
      <c r="D939" s="4" t="s">
        <v>2728</v>
      </c>
      <c r="E939" s="4" t="s">
        <v>443</v>
      </c>
      <c r="F939" s="1" t="s">
        <v>508</v>
      </c>
    </row>
    <row r="940" spans="1:6" ht="15.75" customHeight="1">
      <c r="A940" s="4" t="s">
        <v>2724</v>
      </c>
      <c r="B940" s="4">
        <v>1992</v>
      </c>
      <c r="C940" s="4" t="s">
        <v>2729</v>
      </c>
      <c r="D940" s="4" t="s">
        <v>2730</v>
      </c>
      <c r="E940" s="4" t="s">
        <v>443</v>
      </c>
      <c r="F940" s="1" t="s">
        <v>508</v>
      </c>
    </row>
    <row r="941" spans="1:6" ht="15.75" customHeight="1">
      <c r="A941" s="4" t="s">
        <v>2724</v>
      </c>
      <c r="B941" s="4">
        <v>1995</v>
      </c>
      <c r="C941" s="4" t="s">
        <v>2731</v>
      </c>
      <c r="D941" s="4" t="s">
        <v>2732</v>
      </c>
      <c r="E941" s="4" t="s">
        <v>443</v>
      </c>
      <c r="F941" s="1" t="s">
        <v>508</v>
      </c>
    </row>
    <row r="942" spans="1:6" ht="15.75" customHeight="1">
      <c r="A942" s="4" t="s">
        <v>2724</v>
      </c>
      <c r="B942" s="4">
        <v>1996</v>
      </c>
      <c r="C942" s="4" t="s">
        <v>2733</v>
      </c>
      <c r="D942" s="4" t="s">
        <v>2734</v>
      </c>
      <c r="E942" s="4" t="s">
        <v>443</v>
      </c>
      <c r="F942" s="1" t="s">
        <v>508</v>
      </c>
    </row>
    <row r="943" spans="1:6" ht="15.75" customHeight="1">
      <c r="A943" s="4" t="s">
        <v>2724</v>
      </c>
      <c r="B943" s="4">
        <v>1995</v>
      </c>
      <c r="D943" s="4" t="s">
        <v>2735</v>
      </c>
      <c r="E943" s="4" t="s">
        <v>443</v>
      </c>
      <c r="F943" s="1" t="s">
        <v>508</v>
      </c>
    </row>
    <row r="944" spans="1:6" ht="15.75" customHeight="1">
      <c r="A944" s="4" t="s">
        <v>2724</v>
      </c>
      <c r="B944" s="4">
        <v>1994</v>
      </c>
      <c r="D944" s="4" t="s">
        <v>2736</v>
      </c>
      <c r="E944" s="4" t="s">
        <v>443</v>
      </c>
      <c r="F944" s="1" t="s">
        <v>508</v>
      </c>
    </row>
    <row r="945" spans="1:6" ht="15.75" customHeight="1">
      <c r="A945" s="4" t="s">
        <v>2737</v>
      </c>
      <c r="B945" s="4">
        <v>2011</v>
      </c>
      <c r="C945" s="4" t="s">
        <v>2738</v>
      </c>
      <c r="D945" s="4" t="s">
        <v>2739</v>
      </c>
      <c r="E945" s="4" t="s">
        <v>443</v>
      </c>
      <c r="F945" s="1" t="s">
        <v>508</v>
      </c>
    </row>
    <row r="946" spans="1:6" ht="15.75" customHeight="1">
      <c r="A946" s="4" t="s">
        <v>2740</v>
      </c>
      <c r="B946" s="4">
        <v>2020</v>
      </c>
      <c r="C946" s="4" t="s">
        <v>2741</v>
      </c>
      <c r="D946" s="4" t="s">
        <v>2742</v>
      </c>
      <c r="E946" s="4" t="s">
        <v>443</v>
      </c>
      <c r="F946" s="1" t="s">
        <v>508</v>
      </c>
    </row>
    <row r="947" spans="1:6" ht="15.75" customHeight="1">
      <c r="A947" s="4" t="s">
        <v>2743</v>
      </c>
      <c r="B947" s="4">
        <v>2001</v>
      </c>
      <c r="C947" s="4" t="s">
        <v>2744</v>
      </c>
      <c r="D947" s="4" t="s">
        <v>2745</v>
      </c>
      <c r="E947" s="4" t="s">
        <v>443</v>
      </c>
      <c r="F947" s="1" t="s">
        <v>508</v>
      </c>
    </row>
    <row r="948" spans="1:6" ht="15.75" customHeight="1">
      <c r="A948" s="4" t="s">
        <v>2746</v>
      </c>
      <c r="B948" s="4">
        <v>2011</v>
      </c>
      <c r="C948" s="4" t="s">
        <v>2747</v>
      </c>
      <c r="D948" s="4" t="s">
        <v>2748</v>
      </c>
      <c r="E948" s="4" t="s">
        <v>443</v>
      </c>
      <c r="F948" s="1" t="s">
        <v>508</v>
      </c>
    </row>
    <row r="949" spans="1:6" ht="15.75" customHeight="1">
      <c r="A949" s="4" t="s">
        <v>2749</v>
      </c>
      <c r="B949" s="4">
        <v>1998</v>
      </c>
      <c r="C949" s="4" t="s">
        <v>2750</v>
      </c>
      <c r="D949" s="4" t="s">
        <v>2751</v>
      </c>
      <c r="E949" s="4" t="s">
        <v>443</v>
      </c>
      <c r="F949" s="1" t="s">
        <v>508</v>
      </c>
    </row>
    <row r="950" spans="1:6" ht="15.75" customHeight="1">
      <c r="A950" s="4" t="s">
        <v>2752</v>
      </c>
      <c r="B950" s="4">
        <v>2020</v>
      </c>
      <c r="C950" s="4" t="s">
        <v>2753</v>
      </c>
      <c r="D950" s="4" t="s">
        <v>2754</v>
      </c>
      <c r="E950" s="4" t="s">
        <v>443</v>
      </c>
      <c r="F950" s="1" t="s">
        <v>508</v>
      </c>
    </row>
    <row r="951" spans="1:6" ht="15.75" customHeight="1">
      <c r="A951" s="4" t="s">
        <v>2755</v>
      </c>
      <c r="B951" s="4">
        <v>2006</v>
      </c>
      <c r="D951" s="4" t="s">
        <v>2756</v>
      </c>
      <c r="E951" s="4" t="s">
        <v>443</v>
      </c>
      <c r="F951" s="1" t="s">
        <v>508</v>
      </c>
    </row>
    <row r="952" spans="1:6" ht="15.75" customHeight="1">
      <c r="A952" s="4" t="s">
        <v>2755</v>
      </c>
      <c r="B952" s="4">
        <v>1989</v>
      </c>
      <c r="D952" s="4" t="s">
        <v>2757</v>
      </c>
      <c r="E952" s="4" t="s">
        <v>443</v>
      </c>
      <c r="F952" s="1" t="s">
        <v>508</v>
      </c>
    </row>
    <row r="953" spans="1:6" ht="15.75" customHeight="1">
      <c r="A953" s="4" t="s">
        <v>2758</v>
      </c>
      <c r="B953" s="4">
        <v>2002</v>
      </c>
      <c r="C953" s="4" t="s">
        <v>2759</v>
      </c>
      <c r="D953" s="4" t="s">
        <v>2760</v>
      </c>
      <c r="E953" s="4" t="s">
        <v>443</v>
      </c>
      <c r="F953" s="1" t="s">
        <v>508</v>
      </c>
    </row>
    <row r="954" spans="1:6" ht="15.75" customHeight="1">
      <c r="A954" s="4" t="s">
        <v>2758</v>
      </c>
      <c r="B954" s="4">
        <v>2003</v>
      </c>
      <c r="C954" s="4" t="s">
        <v>2761</v>
      </c>
      <c r="D954" s="4" t="s">
        <v>2762</v>
      </c>
      <c r="E954" s="4" t="s">
        <v>443</v>
      </c>
      <c r="F954" s="1" t="s">
        <v>508</v>
      </c>
    </row>
    <row r="955" spans="1:6" ht="15.75" customHeight="1">
      <c r="A955" s="4" t="s">
        <v>2758</v>
      </c>
      <c r="B955" s="4">
        <v>2006</v>
      </c>
      <c r="D955" s="4" t="s">
        <v>2763</v>
      </c>
      <c r="E955" s="4" t="s">
        <v>443</v>
      </c>
      <c r="F955" s="1" t="s">
        <v>1047</v>
      </c>
    </row>
    <row r="956" spans="1:6" ht="15.75" customHeight="1">
      <c r="A956" s="4" t="s">
        <v>2758</v>
      </c>
      <c r="B956" s="4">
        <v>1991</v>
      </c>
      <c r="C956" s="4" t="s">
        <v>2764</v>
      </c>
      <c r="D956" s="4" t="s">
        <v>2765</v>
      </c>
      <c r="E956" s="4" t="s">
        <v>443</v>
      </c>
      <c r="F956" s="1" t="s">
        <v>508</v>
      </c>
    </row>
    <row r="957" spans="1:6" ht="15.75" customHeight="1">
      <c r="A957" s="4" t="s">
        <v>2758</v>
      </c>
      <c r="B957" s="4">
        <v>1998</v>
      </c>
      <c r="D957" s="4" t="s">
        <v>2766</v>
      </c>
      <c r="E957" s="4" t="s">
        <v>443</v>
      </c>
      <c r="F957" s="1" t="s">
        <v>1047</v>
      </c>
    </row>
    <row r="958" spans="1:6" ht="15.75" customHeight="1">
      <c r="A958" s="4" t="s">
        <v>2758</v>
      </c>
      <c r="B958" s="4">
        <v>2007</v>
      </c>
      <c r="D958" s="4" t="s">
        <v>2767</v>
      </c>
      <c r="E958" s="4" t="s">
        <v>443</v>
      </c>
      <c r="F958" s="1" t="s">
        <v>508</v>
      </c>
    </row>
    <row r="959" spans="1:6" ht="15.75" customHeight="1">
      <c r="A959" s="4" t="s">
        <v>2768</v>
      </c>
      <c r="B959" s="4">
        <v>2003</v>
      </c>
      <c r="C959" s="4" t="s">
        <v>2769</v>
      </c>
      <c r="D959" s="4" t="s">
        <v>2770</v>
      </c>
      <c r="E959" s="4" t="s">
        <v>443</v>
      </c>
      <c r="F959" s="1" t="s">
        <v>508</v>
      </c>
    </row>
    <row r="960" spans="1:6" ht="15.75" customHeight="1">
      <c r="A960" s="4" t="s">
        <v>2771</v>
      </c>
      <c r="B960" s="4">
        <v>2021</v>
      </c>
      <c r="C960" s="4" t="s">
        <v>2772</v>
      </c>
      <c r="D960" s="4" t="s">
        <v>2773</v>
      </c>
      <c r="E960" s="4" t="s">
        <v>443</v>
      </c>
      <c r="F960" s="1" t="s">
        <v>508</v>
      </c>
    </row>
    <row r="961" spans="1:7" ht="15.75" customHeight="1">
      <c r="A961" s="4" t="s">
        <v>2774</v>
      </c>
      <c r="B961" s="4">
        <v>2018</v>
      </c>
      <c r="C961" s="4" t="s">
        <v>2775</v>
      </c>
      <c r="D961" s="4" t="s">
        <v>2776</v>
      </c>
      <c r="E961" s="4" t="s">
        <v>443</v>
      </c>
      <c r="F961" s="1" t="s">
        <v>508</v>
      </c>
    </row>
    <row r="962" spans="1:7" ht="15.75" customHeight="1">
      <c r="A962" s="4" t="s">
        <v>2777</v>
      </c>
      <c r="B962" s="4">
        <v>1995</v>
      </c>
      <c r="D962" s="4" t="s">
        <v>2778</v>
      </c>
      <c r="E962" s="4" t="s">
        <v>443</v>
      </c>
      <c r="F962" s="1" t="s">
        <v>508</v>
      </c>
    </row>
    <row r="963" spans="1:7" ht="15.75" customHeight="1">
      <c r="A963" s="4" t="s">
        <v>2779</v>
      </c>
      <c r="B963" s="4">
        <v>2000</v>
      </c>
      <c r="C963" s="4" t="s">
        <v>2780</v>
      </c>
      <c r="D963" s="4" t="s">
        <v>2781</v>
      </c>
      <c r="E963" s="4" t="s">
        <v>443</v>
      </c>
      <c r="F963" s="1" t="s">
        <v>508</v>
      </c>
    </row>
    <row r="964" spans="1:7" ht="15.75" customHeight="1">
      <c r="A964" s="4" t="s">
        <v>2782</v>
      </c>
      <c r="B964" s="4">
        <v>2023</v>
      </c>
      <c r="C964" s="4" t="s">
        <v>2783</v>
      </c>
      <c r="D964" s="4" t="s">
        <v>2784</v>
      </c>
      <c r="E964" s="4" t="s">
        <v>443</v>
      </c>
      <c r="F964" s="1" t="s">
        <v>508</v>
      </c>
    </row>
    <row r="965" spans="1:7" ht="15.75" customHeight="1">
      <c r="A965" s="4" t="s">
        <v>2785</v>
      </c>
      <c r="B965" s="4">
        <v>2009</v>
      </c>
      <c r="C965" s="4" t="s">
        <v>2786</v>
      </c>
      <c r="D965" s="4" t="s">
        <v>2787</v>
      </c>
      <c r="E965" s="4" t="s">
        <v>443</v>
      </c>
      <c r="F965" s="1" t="s">
        <v>508</v>
      </c>
      <c r="G965" s="4" t="s">
        <v>2788</v>
      </c>
    </row>
    <row r="966" spans="1:7" ht="15.75" customHeight="1">
      <c r="A966" s="4" t="s">
        <v>2789</v>
      </c>
      <c r="B966" s="4">
        <v>2003</v>
      </c>
      <c r="C966" s="4" t="s">
        <v>2790</v>
      </c>
      <c r="D966" s="4" t="s">
        <v>2791</v>
      </c>
      <c r="E966" s="4" t="s">
        <v>443</v>
      </c>
      <c r="F966" s="1" t="s">
        <v>508</v>
      </c>
    </row>
    <row r="967" spans="1:7" ht="15.75" customHeight="1">
      <c r="A967" s="4" t="s">
        <v>2789</v>
      </c>
      <c r="B967" s="4">
        <v>2014</v>
      </c>
      <c r="C967" s="4" t="s">
        <v>2792</v>
      </c>
      <c r="D967" s="4" t="s">
        <v>2793</v>
      </c>
      <c r="E967" s="4" t="s">
        <v>443</v>
      </c>
      <c r="F967" s="1" t="s">
        <v>508</v>
      </c>
    </row>
    <row r="968" spans="1:7" ht="15.75" customHeight="1">
      <c r="A968" s="4" t="s">
        <v>2794</v>
      </c>
      <c r="B968" s="4">
        <v>2014</v>
      </c>
      <c r="C968" s="4" t="s">
        <v>2795</v>
      </c>
      <c r="D968" s="4" t="s">
        <v>2796</v>
      </c>
      <c r="E968" s="4" t="s">
        <v>443</v>
      </c>
      <c r="F968" s="1" t="s">
        <v>1047</v>
      </c>
    </row>
    <row r="969" spans="1:7" ht="15.75" customHeight="1">
      <c r="A969" s="4" t="s">
        <v>2797</v>
      </c>
      <c r="B969" s="4">
        <v>2001</v>
      </c>
      <c r="C969" s="4" t="s">
        <v>2798</v>
      </c>
      <c r="D969" s="4" t="s">
        <v>2799</v>
      </c>
      <c r="E969" s="4" t="s">
        <v>443</v>
      </c>
      <c r="F969" s="1" t="s">
        <v>508</v>
      </c>
    </row>
    <row r="970" spans="1:7" ht="15.75" customHeight="1">
      <c r="A970" s="4" t="s">
        <v>2800</v>
      </c>
      <c r="B970" s="4">
        <v>1989</v>
      </c>
      <c r="C970" s="4" t="s">
        <v>2801</v>
      </c>
      <c r="D970" s="4" t="s">
        <v>2802</v>
      </c>
      <c r="E970" s="4" t="s">
        <v>443</v>
      </c>
      <c r="F970" s="1" t="s">
        <v>508</v>
      </c>
    </row>
    <row r="971" spans="1:7" ht="15.75" customHeight="1">
      <c r="A971" s="4" t="s">
        <v>2800</v>
      </c>
      <c r="B971" s="4">
        <v>1994</v>
      </c>
      <c r="D971" s="4" t="s">
        <v>2803</v>
      </c>
      <c r="E971" s="4" t="s">
        <v>443</v>
      </c>
      <c r="F971" s="1" t="s">
        <v>508</v>
      </c>
    </row>
    <row r="972" spans="1:7" ht="15.75" customHeight="1">
      <c r="A972" s="4" t="s">
        <v>2800</v>
      </c>
      <c r="B972" s="4">
        <v>1994</v>
      </c>
      <c r="D972" s="4" t="s">
        <v>2804</v>
      </c>
      <c r="E972" s="4" t="s">
        <v>443</v>
      </c>
      <c r="F972" s="1" t="s">
        <v>508</v>
      </c>
    </row>
    <row r="973" spans="1:7" ht="15.75" customHeight="1">
      <c r="A973" s="4" t="s">
        <v>2800</v>
      </c>
      <c r="B973" s="4">
        <v>2001</v>
      </c>
      <c r="D973" s="4" t="s">
        <v>2805</v>
      </c>
      <c r="E973" s="4" t="s">
        <v>443</v>
      </c>
      <c r="F973" s="1" t="s">
        <v>508</v>
      </c>
    </row>
    <row r="974" spans="1:7" ht="15.75" customHeight="1">
      <c r="A974" s="4" t="s">
        <v>2800</v>
      </c>
      <c r="B974" s="4">
        <v>2002</v>
      </c>
      <c r="D974" s="4" t="s">
        <v>2806</v>
      </c>
      <c r="E974" s="4" t="s">
        <v>443</v>
      </c>
      <c r="F974" s="1" t="s">
        <v>508</v>
      </c>
    </row>
    <row r="975" spans="1:7" ht="15.75" customHeight="1">
      <c r="A975" s="4" t="s">
        <v>2800</v>
      </c>
      <c r="B975" s="4">
        <v>2001</v>
      </c>
      <c r="D975" s="4" t="s">
        <v>2807</v>
      </c>
      <c r="E975" s="4" t="s">
        <v>443</v>
      </c>
      <c r="F975" s="1" t="s">
        <v>508</v>
      </c>
    </row>
    <row r="976" spans="1:7" ht="15.75" customHeight="1">
      <c r="A976" s="4" t="s">
        <v>2800</v>
      </c>
      <c r="B976" s="4">
        <v>2004</v>
      </c>
      <c r="D976" s="4" t="s">
        <v>2808</v>
      </c>
      <c r="E976" s="4" t="s">
        <v>443</v>
      </c>
      <c r="F976" s="1" t="s">
        <v>508</v>
      </c>
    </row>
    <row r="977" spans="1:6" ht="15.75" customHeight="1">
      <c r="A977" s="4" t="s">
        <v>2800</v>
      </c>
      <c r="B977" s="4">
        <v>2003</v>
      </c>
      <c r="D977" s="4" t="s">
        <v>2809</v>
      </c>
      <c r="E977" s="4" t="s">
        <v>443</v>
      </c>
      <c r="F977" s="1" t="s">
        <v>508</v>
      </c>
    </row>
    <row r="978" spans="1:6" ht="15.75" customHeight="1">
      <c r="A978" s="4" t="s">
        <v>2800</v>
      </c>
      <c r="B978" s="4">
        <v>1988</v>
      </c>
      <c r="C978" s="4" t="s">
        <v>2810</v>
      </c>
      <c r="D978" s="4" t="s">
        <v>2811</v>
      </c>
      <c r="E978" s="4" t="s">
        <v>443</v>
      </c>
      <c r="F978" s="1" t="s">
        <v>508</v>
      </c>
    </row>
    <row r="979" spans="1:6" ht="15.75" customHeight="1">
      <c r="A979" s="4" t="s">
        <v>2800</v>
      </c>
      <c r="B979" s="4">
        <v>1989</v>
      </c>
      <c r="D979" s="4" t="s">
        <v>2812</v>
      </c>
      <c r="E979" s="4" t="s">
        <v>443</v>
      </c>
      <c r="F979" s="1" t="s">
        <v>508</v>
      </c>
    </row>
    <row r="980" spans="1:6" ht="15.75" customHeight="1">
      <c r="A980" s="4" t="s">
        <v>2800</v>
      </c>
      <c r="B980" s="4">
        <v>2001</v>
      </c>
      <c r="D980" s="4" t="s">
        <v>2813</v>
      </c>
      <c r="E980" s="4" t="s">
        <v>443</v>
      </c>
      <c r="F980" s="1" t="s">
        <v>508</v>
      </c>
    </row>
    <row r="981" spans="1:6" ht="15.75" customHeight="1">
      <c r="A981" s="4" t="s">
        <v>2800</v>
      </c>
      <c r="B981" s="4">
        <v>2002</v>
      </c>
      <c r="D981" s="4" t="s">
        <v>2814</v>
      </c>
      <c r="E981" s="4" t="s">
        <v>443</v>
      </c>
      <c r="F981" s="1" t="s">
        <v>508</v>
      </c>
    </row>
    <row r="982" spans="1:6" ht="15.75" customHeight="1">
      <c r="A982" s="4" t="s">
        <v>2815</v>
      </c>
      <c r="B982" s="4">
        <v>2006</v>
      </c>
      <c r="C982" s="4" t="s">
        <v>2816</v>
      </c>
      <c r="D982" s="4" t="s">
        <v>2817</v>
      </c>
      <c r="E982" s="4" t="s">
        <v>443</v>
      </c>
      <c r="F982" s="1" t="s">
        <v>508</v>
      </c>
    </row>
    <row r="983" spans="1:6" ht="15.75" customHeight="1">
      <c r="A983" s="4" t="s">
        <v>2818</v>
      </c>
      <c r="B983" s="4">
        <v>2000</v>
      </c>
      <c r="C983" s="4" t="s">
        <v>2819</v>
      </c>
      <c r="D983" s="4" t="s">
        <v>2820</v>
      </c>
      <c r="E983" s="4" t="s">
        <v>443</v>
      </c>
      <c r="F983" s="1" t="s">
        <v>508</v>
      </c>
    </row>
    <row r="984" spans="1:6" ht="15.75" customHeight="1">
      <c r="A984" s="4" t="s">
        <v>2821</v>
      </c>
      <c r="B984" s="4">
        <v>2006</v>
      </c>
      <c r="C984" s="4" t="s">
        <v>2822</v>
      </c>
      <c r="D984" s="4" t="s">
        <v>2823</v>
      </c>
      <c r="E984" s="4" t="s">
        <v>443</v>
      </c>
      <c r="F984" s="1" t="s">
        <v>508</v>
      </c>
    </row>
    <row r="985" spans="1:6" ht="15.75" customHeight="1">
      <c r="A985" s="4" t="s">
        <v>2821</v>
      </c>
      <c r="B985" s="4">
        <v>2014</v>
      </c>
      <c r="C985" s="4" t="s">
        <v>2824</v>
      </c>
      <c r="D985" s="4" t="s">
        <v>2825</v>
      </c>
      <c r="E985" s="4" t="s">
        <v>443</v>
      </c>
      <c r="F985" s="1" t="s">
        <v>508</v>
      </c>
    </row>
    <row r="986" spans="1:6" ht="15.75" customHeight="1">
      <c r="A986" s="4" t="s">
        <v>2826</v>
      </c>
      <c r="B986" s="4">
        <v>2010</v>
      </c>
      <c r="C986" s="4" t="s">
        <v>2827</v>
      </c>
      <c r="D986" s="4" t="s">
        <v>2828</v>
      </c>
      <c r="E986" s="4" t="s">
        <v>443</v>
      </c>
      <c r="F986" s="1" t="s">
        <v>508</v>
      </c>
    </row>
    <row r="987" spans="1:6" ht="15.75" customHeight="1">
      <c r="A987" s="4" t="s">
        <v>2829</v>
      </c>
      <c r="B987" s="4">
        <v>2005</v>
      </c>
      <c r="C987" s="4" t="s">
        <v>2830</v>
      </c>
      <c r="D987" s="4" t="s">
        <v>2831</v>
      </c>
      <c r="E987" s="4" t="s">
        <v>443</v>
      </c>
      <c r="F987" s="1" t="s">
        <v>508</v>
      </c>
    </row>
    <row r="988" spans="1:6" ht="15.75" customHeight="1">
      <c r="A988" s="4" t="s">
        <v>2832</v>
      </c>
      <c r="B988" s="4">
        <v>1990</v>
      </c>
      <c r="C988" s="4" t="s">
        <v>2833</v>
      </c>
      <c r="D988" s="4" t="s">
        <v>2834</v>
      </c>
      <c r="E988" s="4" t="s">
        <v>443</v>
      </c>
      <c r="F988" s="1" t="s">
        <v>508</v>
      </c>
    </row>
    <row r="989" spans="1:6" ht="15.75" customHeight="1">
      <c r="A989" s="4" t="s">
        <v>2835</v>
      </c>
      <c r="B989" s="4">
        <v>2006</v>
      </c>
      <c r="C989" s="4" t="s">
        <v>2836</v>
      </c>
      <c r="D989" s="4" t="s">
        <v>2837</v>
      </c>
      <c r="E989" s="4" t="s">
        <v>443</v>
      </c>
      <c r="F989" s="1" t="s">
        <v>508</v>
      </c>
    </row>
    <row r="990" spans="1:6" ht="15.75" customHeight="1">
      <c r="A990" s="4" t="s">
        <v>2838</v>
      </c>
      <c r="B990" s="4">
        <v>2023</v>
      </c>
      <c r="C990" s="4" t="s">
        <v>2839</v>
      </c>
      <c r="D990" s="4" t="s">
        <v>2840</v>
      </c>
      <c r="E990" s="4" t="s">
        <v>443</v>
      </c>
      <c r="F990" s="1" t="s">
        <v>508</v>
      </c>
    </row>
    <row r="991" spans="1:6" ht="15.75" customHeight="1">
      <c r="A991" s="4" t="s">
        <v>2841</v>
      </c>
      <c r="B991" s="4">
        <v>2021</v>
      </c>
      <c r="C991" s="4" t="s">
        <v>2842</v>
      </c>
      <c r="D991" s="4" t="s">
        <v>2843</v>
      </c>
      <c r="E991" s="4" t="s">
        <v>443</v>
      </c>
      <c r="F991" s="1" t="s">
        <v>1047</v>
      </c>
    </row>
    <row r="992" spans="1:6" ht="15.75" customHeight="1">
      <c r="A992" s="4" t="s">
        <v>2844</v>
      </c>
      <c r="B992" s="4">
        <v>2006</v>
      </c>
      <c r="C992" s="4" t="s">
        <v>2845</v>
      </c>
      <c r="D992" s="4" t="s">
        <v>2846</v>
      </c>
      <c r="E992" s="4" t="s">
        <v>443</v>
      </c>
      <c r="F992" s="1" t="s">
        <v>508</v>
      </c>
    </row>
    <row r="993" spans="1:6" ht="15.75" customHeight="1">
      <c r="A993" s="4" t="s">
        <v>2847</v>
      </c>
      <c r="B993" s="4">
        <v>1997</v>
      </c>
      <c r="C993" s="4" t="s">
        <v>2848</v>
      </c>
      <c r="D993" s="4" t="s">
        <v>2849</v>
      </c>
      <c r="E993" s="4" t="s">
        <v>443</v>
      </c>
      <c r="F993" s="1" t="s">
        <v>508</v>
      </c>
    </row>
    <row r="994" spans="1:6" ht="15.75" customHeight="1">
      <c r="A994" s="4" t="s">
        <v>2850</v>
      </c>
      <c r="B994" s="4">
        <v>2018</v>
      </c>
      <c r="C994" s="4" t="s">
        <v>2851</v>
      </c>
      <c r="D994" s="4" t="s">
        <v>2852</v>
      </c>
      <c r="E994" s="4" t="s">
        <v>443</v>
      </c>
      <c r="F994" s="1" t="s">
        <v>508</v>
      </c>
    </row>
    <row r="995" spans="1:6" ht="15.75" customHeight="1">
      <c r="A995" s="4" t="s">
        <v>2853</v>
      </c>
      <c r="B995" s="4">
        <v>1999</v>
      </c>
      <c r="D995" s="4" t="s">
        <v>2854</v>
      </c>
      <c r="E995" s="4" t="s">
        <v>443</v>
      </c>
      <c r="F995" s="1" t="s">
        <v>1047</v>
      </c>
    </row>
    <row r="996" spans="1:6" ht="15.75" customHeight="1">
      <c r="A996" s="4" t="s">
        <v>2855</v>
      </c>
      <c r="B996" s="4">
        <v>2010</v>
      </c>
      <c r="C996" s="4" t="s">
        <v>2856</v>
      </c>
      <c r="D996" s="4" t="s">
        <v>2857</v>
      </c>
      <c r="E996" s="4" t="s">
        <v>443</v>
      </c>
      <c r="F996" s="1" t="s">
        <v>508</v>
      </c>
    </row>
    <row r="997" spans="1:6" ht="15.75" customHeight="1">
      <c r="A997" s="4" t="s">
        <v>2858</v>
      </c>
      <c r="B997" s="4">
        <v>2008</v>
      </c>
      <c r="C997" s="4" t="s">
        <v>2859</v>
      </c>
      <c r="D997" s="4" t="s">
        <v>2860</v>
      </c>
      <c r="E997" s="4" t="s">
        <v>443</v>
      </c>
      <c r="F997" s="1" t="s">
        <v>508</v>
      </c>
    </row>
    <row r="998" spans="1:6" ht="15.75" customHeight="1">
      <c r="A998" s="4" t="s">
        <v>2861</v>
      </c>
      <c r="B998" s="4">
        <v>2003</v>
      </c>
      <c r="C998" s="4" t="s">
        <v>2862</v>
      </c>
      <c r="D998" s="4" t="s">
        <v>2863</v>
      </c>
      <c r="E998" s="4" t="s">
        <v>443</v>
      </c>
      <c r="F998" s="1" t="s">
        <v>508</v>
      </c>
    </row>
    <row r="999" spans="1:6" ht="15.75" customHeight="1">
      <c r="A999" s="4" t="s">
        <v>2864</v>
      </c>
      <c r="B999" s="4">
        <v>1989</v>
      </c>
      <c r="D999" s="4" t="s">
        <v>2865</v>
      </c>
      <c r="E999" s="4" t="s">
        <v>443</v>
      </c>
      <c r="F999" s="1" t="s">
        <v>1047</v>
      </c>
    </row>
    <row r="1000" spans="1:6" ht="15.75" customHeight="1">
      <c r="A1000" s="4" t="s">
        <v>2866</v>
      </c>
      <c r="B1000" s="4">
        <v>2023</v>
      </c>
      <c r="C1000" s="4" t="s">
        <v>2867</v>
      </c>
      <c r="D1000" s="4" t="s">
        <v>2868</v>
      </c>
      <c r="E1000" s="4" t="s">
        <v>443</v>
      </c>
      <c r="F1000" s="1" t="s">
        <v>508</v>
      </c>
    </row>
    <row r="1001" spans="1:6" ht="15.75" customHeight="1">
      <c r="A1001" s="4" t="s">
        <v>2869</v>
      </c>
      <c r="B1001" s="4">
        <v>1996</v>
      </c>
      <c r="C1001" s="4" t="s">
        <v>2870</v>
      </c>
      <c r="D1001" s="4" t="s">
        <v>2871</v>
      </c>
      <c r="E1001" s="4" t="s">
        <v>443</v>
      </c>
      <c r="F1001" s="1" t="s">
        <v>1047</v>
      </c>
    </row>
    <row r="1002" spans="1:6" ht="15.75" customHeight="1">
      <c r="A1002" s="4" t="s">
        <v>2872</v>
      </c>
      <c r="B1002" s="4">
        <v>1998</v>
      </c>
      <c r="C1002" s="4" t="s">
        <v>2873</v>
      </c>
      <c r="D1002" s="4" t="s">
        <v>2874</v>
      </c>
      <c r="E1002" s="4" t="s">
        <v>443</v>
      </c>
      <c r="F1002" s="1" t="s">
        <v>508</v>
      </c>
    </row>
    <row r="1003" spans="1:6" ht="15.75" customHeight="1">
      <c r="A1003" s="4" t="s">
        <v>2875</v>
      </c>
      <c r="B1003" s="4">
        <v>2012</v>
      </c>
      <c r="C1003" s="4" t="s">
        <v>2876</v>
      </c>
      <c r="D1003" s="4" t="s">
        <v>2877</v>
      </c>
      <c r="E1003" s="4" t="s">
        <v>443</v>
      </c>
      <c r="F1003" s="1" t="s">
        <v>508</v>
      </c>
    </row>
    <row r="1004" spans="1:6" ht="15.75" customHeight="1">
      <c r="A1004" s="4" t="s">
        <v>2875</v>
      </c>
      <c r="B1004" s="4">
        <v>2000</v>
      </c>
      <c r="C1004" s="4" t="s">
        <v>2878</v>
      </c>
      <c r="D1004" s="4" t="s">
        <v>2879</v>
      </c>
      <c r="E1004" s="4" t="s">
        <v>443</v>
      </c>
      <c r="F1004" s="1" t="s">
        <v>508</v>
      </c>
    </row>
    <row r="1005" spans="1:6" ht="15.75" customHeight="1">
      <c r="A1005" s="4" t="s">
        <v>2875</v>
      </c>
      <c r="B1005" s="4">
        <v>1998</v>
      </c>
      <c r="C1005" s="4" t="s">
        <v>2880</v>
      </c>
      <c r="D1005" s="4" t="s">
        <v>2881</v>
      </c>
      <c r="E1005" s="4" t="s">
        <v>443</v>
      </c>
      <c r="F1005" s="1" t="s">
        <v>508</v>
      </c>
    </row>
    <row r="1006" spans="1:6" ht="15.75" customHeight="1">
      <c r="A1006" s="4" t="s">
        <v>2875</v>
      </c>
      <c r="B1006" s="4">
        <v>2000</v>
      </c>
      <c r="C1006" s="4" t="s">
        <v>2882</v>
      </c>
      <c r="D1006" s="4" t="s">
        <v>2883</v>
      </c>
      <c r="E1006" s="4" t="s">
        <v>443</v>
      </c>
      <c r="F1006" s="1" t="s">
        <v>508</v>
      </c>
    </row>
    <row r="1007" spans="1:6" ht="15.75" customHeight="1">
      <c r="A1007" s="4" t="s">
        <v>2875</v>
      </c>
      <c r="B1007" s="4">
        <v>2002</v>
      </c>
      <c r="C1007" s="4" t="s">
        <v>2884</v>
      </c>
      <c r="D1007" s="4" t="s">
        <v>2885</v>
      </c>
      <c r="E1007" s="4" t="s">
        <v>443</v>
      </c>
      <c r="F1007" s="1" t="s">
        <v>508</v>
      </c>
    </row>
    <row r="1008" spans="1:6" ht="15.75" customHeight="1">
      <c r="A1008" s="4" t="s">
        <v>2875</v>
      </c>
      <c r="B1008" s="4">
        <v>2011</v>
      </c>
      <c r="D1008" s="4" t="s">
        <v>2886</v>
      </c>
      <c r="E1008" s="4" t="s">
        <v>443</v>
      </c>
      <c r="F1008" s="1" t="s">
        <v>1047</v>
      </c>
    </row>
    <row r="1009" spans="1:6" ht="15.75" customHeight="1">
      <c r="A1009" s="4" t="s">
        <v>2875</v>
      </c>
      <c r="B1009" s="4">
        <v>2002</v>
      </c>
      <c r="C1009" s="4" t="s">
        <v>2887</v>
      </c>
      <c r="D1009" s="4" t="s">
        <v>2888</v>
      </c>
      <c r="E1009" s="4" t="s">
        <v>443</v>
      </c>
      <c r="F1009" s="1" t="s">
        <v>508</v>
      </c>
    </row>
    <row r="1010" spans="1:6" ht="15.75" customHeight="1">
      <c r="A1010" s="4" t="s">
        <v>2875</v>
      </c>
      <c r="B1010" s="4">
        <v>1999</v>
      </c>
      <c r="C1010" s="4" t="s">
        <v>2889</v>
      </c>
      <c r="D1010" s="4" t="s">
        <v>2890</v>
      </c>
      <c r="E1010" s="4" t="s">
        <v>443</v>
      </c>
      <c r="F1010" s="1" t="s">
        <v>508</v>
      </c>
    </row>
    <row r="1011" spans="1:6" ht="15.75" customHeight="1">
      <c r="A1011" s="4" t="s">
        <v>2891</v>
      </c>
      <c r="B1011" s="4">
        <v>1998</v>
      </c>
      <c r="C1011" s="4" t="s">
        <v>2892</v>
      </c>
      <c r="D1011" s="4" t="s">
        <v>2893</v>
      </c>
      <c r="E1011" s="4" t="s">
        <v>443</v>
      </c>
      <c r="F1011" s="1" t="s">
        <v>508</v>
      </c>
    </row>
    <row r="1012" spans="1:6" ht="15.75" customHeight="1">
      <c r="A1012" s="4" t="s">
        <v>2894</v>
      </c>
      <c r="B1012" s="4">
        <v>2013</v>
      </c>
      <c r="C1012" s="4" t="s">
        <v>2895</v>
      </c>
      <c r="D1012" s="4" t="s">
        <v>2896</v>
      </c>
      <c r="E1012" s="4" t="s">
        <v>443</v>
      </c>
      <c r="F1012" s="1" t="s">
        <v>508</v>
      </c>
    </row>
    <row r="1013" spans="1:6" ht="15.75" customHeight="1">
      <c r="A1013" s="4" t="s">
        <v>2897</v>
      </c>
      <c r="B1013" s="4">
        <v>2000</v>
      </c>
      <c r="D1013" s="4" t="s">
        <v>2898</v>
      </c>
      <c r="E1013" s="4" t="s">
        <v>443</v>
      </c>
      <c r="F1013" s="1" t="s">
        <v>1047</v>
      </c>
    </row>
    <row r="1014" spans="1:6" ht="15.75" customHeight="1">
      <c r="A1014" s="4" t="s">
        <v>2899</v>
      </c>
      <c r="B1014" s="4">
        <v>2023</v>
      </c>
      <c r="C1014" s="4" t="s">
        <v>2900</v>
      </c>
      <c r="D1014" s="4" t="s">
        <v>2901</v>
      </c>
      <c r="E1014" s="4" t="s">
        <v>443</v>
      </c>
      <c r="F1014" s="1" t="s">
        <v>508</v>
      </c>
    </row>
    <row r="1015" spans="1:6" ht="15.75" customHeight="1">
      <c r="A1015" s="4" t="s">
        <v>2902</v>
      </c>
      <c r="B1015" s="4">
        <v>2012</v>
      </c>
      <c r="C1015" s="4" t="s">
        <v>2903</v>
      </c>
      <c r="D1015" s="4" t="s">
        <v>2904</v>
      </c>
      <c r="E1015" s="4" t="s">
        <v>443</v>
      </c>
      <c r="F1015" s="1" t="s">
        <v>508</v>
      </c>
    </row>
    <row r="1016" spans="1:6" ht="15.75" customHeight="1">
      <c r="A1016" s="4" t="s">
        <v>2902</v>
      </c>
      <c r="B1016" s="4">
        <v>2011</v>
      </c>
      <c r="C1016" s="4" t="s">
        <v>2905</v>
      </c>
      <c r="D1016" s="4" t="s">
        <v>2906</v>
      </c>
      <c r="E1016" s="4" t="s">
        <v>443</v>
      </c>
      <c r="F1016" s="1" t="s">
        <v>508</v>
      </c>
    </row>
    <row r="1017" spans="1:6" ht="15.75" customHeight="1">
      <c r="A1017" s="4" t="s">
        <v>2902</v>
      </c>
      <c r="B1017" s="4">
        <v>2011</v>
      </c>
      <c r="C1017" s="4" t="s">
        <v>2907</v>
      </c>
      <c r="D1017" s="4" t="s">
        <v>2908</v>
      </c>
      <c r="E1017" s="4" t="s">
        <v>443</v>
      </c>
      <c r="F1017" s="1" t="s">
        <v>508</v>
      </c>
    </row>
    <row r="1018" spans="1:6" ht="15.75" customHeight="1">
      <c r="A1018" s="4" t="s">
        <v>245</v>
      </c>
      <c r="B1018" s="4">
        <v>2022</v>
      </c>
      <c r="C1018" s="4" t="s">
        <v>2909</v>
      </c>
      <c r="D1018" s="4" t="s">
        <v>2910</v>
      </c>
      <c r="E1018" s="4" t="s">
        <v>443</v>
      </c>
      <c r="F1018" s="1" t="s">
        <v>508</v>
      </c>
    </row>
    <row r="1019" spans="1:6" ht="15.75" customHeight="1">
      <c r="A1019" s="4" t="s">
        <v>2911</v>
      </c>
      <c r="B1019" s="4">
        <v>2020</v>
      </c>
      <c r="C1019" s="4" t="s">
        <v>2912</v>
      </c>
      <c r="D1019" s="4" t="s">
        <v>2913</v>
      </c>
      <c r="E1019" s="4" t="s">
        <v>443</v>
      </c>
      <c r="F1019" s="1" t="s">
        <v>508</v>
      </c>
    </row>
    <row r="1020" spans="1:6" ht="15.75" customHeight="1">
      <c r="A1020" s="4" t="s">
        <v>2914</v>
      </c>
      <c r="B1020" s="4">
        <v>2023</v>
      </c>
      <c r="C1020" s="4" t="s">
        <v>2915</v>
      </c>
      <c r="D1020" s="4" t="s">
        <v>2916</v>
      </c>
      <c r="E1020" s="4" t="s">
        <v>443</v>
      </c>
      <c r="F1020" s="1" t="s">
        <v>508</v>
      </c>
    </row>
    <row r="1021" spans="1:6" ht="15.75" customHeight="1">
      <c r="A1021" s="4" t="s">
        <v>2917</v>
      </c>
      <c r="B1021" s="4">
        <v>2007</v>
      </c>
      <c r="C1021" s="4" t="s">
        <v>2918</v>
      </c>
      <c r="D1021" s="4" t="s">
        <v>2919</v>
      </c>
      <c r="E1021" s="4" t="s">
        <v>443</v>
      </c>
      <c r="F1021" s="1" t="s">
        <v>508</v>
      </c>
    </row>
    <row r="1022" spans="1:6" ht="15.75" customHeight="1">
      <c r="A1022" s="4" t="s">
        <v>2920</v>
      </c>
      <c r="B1022" s="4">
        <v>2023</v>
      </c>
      <c r="C1022" s="4" t="s">
        <v>2921</v>
      </c>
      <c r="D1022" s="4" t="s">
        <v>2922</v>
      </c>
      <c r="E1022" s="4" t="s">
        <v>443</v>
      </c>
      <c r="F1022" s="1" t="s">
        <v>508</v>
      </c>
    </row>
    <row r="1023" spans="1:6" ht="15.75" customHeight="1">
      <c r="A1023" s="4" t="s">
        <v>2923</v>
      </c>
      <c r="B1023" s="4">
        <v>2006</v>
      </c>
      <c r="C1023" s="4" t="s">
        <v>2924</v>
      </c>
      <c r="D1023" s="4" t="s">
        <v>2925</v>
      </c>
      <c r="E1023" s="4" t="s">
        <v>443</v>
      </c>
      <c r="F1023" s="1" t="s">
        <v>508</v>
      </c>
    </row>
    <row r="1024" spans="1:6" ht="15.75" customHeight="1">
      <c r="A1024" s="4" t="s">
        <v>2926</v>
      </c>
      <c r="B1024" s="4">
        <v>2012</v>
      </c>
      <c r="C1024" s="4" t="s">
        <v>2927</v>
      </c>
      <c r="D1024" s="4" t="s">
        <v>2928</v>
      </c>
      <c r="E1024" s="4" t="s">
        <v>443</v>
      </c>
      <c r="F1024" s="1" t="s">
        <v>508</v>
      </c>
    </row>
    <row r="1025" spans="1:6" ht="15.75" customHeight="1">
      <c r="A1025" s="4" t="s">
        <v>2929</v>
      </c>
      <c r="B1025" s="4">
        <v>2020</v>
      </c>
      <c r="C1025" s="4" t="s">
        <v>2930</v>
      </c>
      <c r="D1025" s="4" t="s">
        <v>2931</v>
      </c>
      <c r="E1025" s="4" t="s">
        <v>443</v>
      </c>
      <c r="F1025" s="1" t="s">
        <v>1047</v>
      </c>
    </row>
    <row r="1026" spans="1:6" ht="15.75" customHeight="1">
      <c r="A1026" s="4" t="s">
        <v>2932</v>
      </c>
      <c r="B1026" s="4">
        <v>2005</v>
      </c>
      <c r="C1026" s="4" t="s">
        <v>2933</v>
      </c>
      <c r="D1026" s="4" t="s">
        <v>2934</v>
      </c>
      <c r="E1026" s="4" t="s">
        <v>443</v>
      </c>
      <c r="F1026" s="1" t="s">
        <v>508</v>
      </c>
    </row>
    <row r="1027" spans="1:6" ht="15.75" customHeight="1">
      <c r="A1027" s="4" t="s">
        <v>2935</v>
      </c>
      <c r="B1027" s="4">
        <v>1992</v>
      </c>
      <c r="D1027" s="4" t="s">
        <v>2936</v>
      </c>
      <c r="E1027" s="4" t="s">
        <v>443</v>
      </c>
      <c r="F1027" s="1" t="s">
        <v>508</v>
      </c>
    </row>
    <row r="1028" spans="1:6" ht="15.75" customHeight="1">
      <c r="A1028" s="4" t="s">
        <v>2937</v>
      </c>
      <c r="B1028" s="4">
        <v>1990</v>
      </c>
      <c r="C1028" s="4" t="s">
        <v>2938</v>
      </c>
      <c r="D1028" s="4" t="s">
        <v>2939</v>
      </c>
      <c r="E1028" s="4" t="s">
        <v>443</v>
      </c>
      <c r="F1028" s="1" t="s">
        <v>508</v>
      </c>
    </row>
    <row r="1029" spans="1:6" ht="15.75" customHeight="1">
      <c r="A1029" s="4" t="s">
        <v>2940</v>
      </c>
      <c r="B1029" s="4">
        <v>1998</v>
      </c>
      <c r="D1029" s="4" t="s">
        <v>2941</v>
      </c>
      <c r="E1029" s="4" t="s">
        <v>443</v>
      </c>
      <c r="F1029" s="1" t="s">
        <v>1047</v>
      </c>
    </row>
    <row r="1030" spans="1:6" ht="15.75" customHeight="1">
      <c r="A1030" s="4" t="s">
        <v>2940</v>
      </c>
      <c r="B1030" s="4">
        <v>1997</v>
      </c>
      <c r="C1030" s="4" t="s">
        <v>2942</v>
      </c>
      <c r="D1030" s="4" t="s">
        <v>2943</v>
      </c>
      <c r="E1030" s="4" t="s">
        <v>443</v>
      </c>
      <c r="F1030" s="1" t="s">
        <v>508</v>
      </c>
    </row>
    <row r="1031" spans="1:6" ht="15.75" customHeight="1">
      <c r="A1031" s="4" t="s">
        <v>2944</v>
      </c>
      <c r="B1031" s="4">
        <v>2014</v>
      </c>
      <c r="C1031" s="4" t="s">
        <v>2945</v>
      </c>
      <c r="D1031" s="4" t="s">
        <v>2946</v>
      </c>
      <c r="E1031" s="4" t="s">
        <v>443</v>
      </c>
      <c r="F1031" s="1" t="s">
        <v>508</v>
      </c>
    </row>
    <row r="1032" spans="1:6" ht="15.75" customHeight="1">
      <c r="A1032" s="4" t="s">
        <v>2944</v>
      </c>
      <c r="B1032" s="4">
        <v>2011</v>
      </c>
      <c r="C1032" s="4" t="s">
        <v>2947</v>
      </c>
      <c r="D1032" s="4" t="s">
        <v>2948</v>
      </c>
      <c r="E1032" s="4" t="s">
        <v>443</v>
      </c>
      <c r="F1032" s="1" t="s">
        <v>508</v>
      </c>
    </row>
    <row r="1033" spans="1:6" ht="15.75" customHeight="1">
      <c r="A1033" s="4" t="s">
        <v>2949</v>
      </c>
      <c r="B1033" s="4">
        <v>2023</v>
      </c>
      <c r="C1033" s="4" t="s">
        <v>2950</v>
      </c>
      <c r="D1033" s="4" t="s">
        <v>2951</v>
      </c>
      <c r="E1033" s="4" t="s">
        <v>443</v>
      </c>
      <c r="F1033" s="1" t="s">
        <v>508</v>
      </c>
    </row>
    <row r="1034" spans="1:6" ht="15.75" customHeight="1">
      <c r="A1034" s="4" t="s">
        <v>2952</v>
      </c>
      <c r="B1034" s="4">
        <v>2001</v>
      </c>
      <c r="C1034" s="4" t="s">
        <v>2953</v>
      </c>
      <c r="D1034" s="4" t="s">
        <v>2954</v>
      </c>
      <c r="E1034" s="4" t="s">
        <v>443</v>
      </c>
      <c r="F1034" s="1" t="s">
        <v>508</v>
      </c>
    </row>
    <row r="1035" spans="1:6" ht="15.75" customHeight="1">
      <c r="A1035" s="4" t="s">
        <v>2955</v>
      </c>
      <c r="B1035" s="4">
        <v>1998</v>
      </c>
      <c r="C1035" s="4" t="s">
        <v>2956</v>
      </c>
      <c r="D1035" s="4" t="s">
        <v>2957</v>
      </c>
      <c r="E1035" s="4" t="s">
        <v>443</v>
      </c>
      <c r="F1035" s="1" t="s">
        <v>508</v>
      </c>
    </row>
    <row r="1036" spans="1:6" ht="15.75" customHeight="1">
      <c r="A1036" s="4" t="s">
        <v>2958</v>
      </c>
      <c r="B1036" s="4">
        <v>1999</v>
      </c>
      <c r="C1036" s="4" t="s">
        <v>2959</v>
      </c>
      <c r="D1036" s="4" t="s">
        <v>2960</v>
      </c>
      <c r="E1036" s="4" t="s">
        <v>443</v>
      </c>
      <c r="F1036" s="1" t="s">
        <v>508</v>
      </c>
    </row>
    <row r="1037" spans="1:6" ht="15.75" customHeight="1">
      <c r="A1037" s="4" t="s">
        <v>2961</v>
      </c>
      <c r="B1037" s="4">
        <v>1993</v>
      </c>
      <c r="D1037" s="4" t="s">
        <v>2962</v>
      </c>
      <c r="E1037" s="4" t="s">
        <v>443</v>
      </c>
      <c r="F1037" s="1" t="s">
        <v>508</v>
      </c>
    </row>
    <row r="1038" spans="1:6" ht="15.75" customHeight="1">
      <c r="A1038" s="4" t="s">
        <v>2963</v>
      </c>
      <c r="B1038" s="4">
        <v>2023</v>
      </c>
      <c r="C1038" s="4" t="s">
        <v>2964</v>
      </c>
      <c r="D1038" s="4" t="s">
        <v>2965</v>
      </c>
      <c r="E1038" s="4" t="s">
        <v>443</v>
      </c>
      <c r="F1038" s="1" t="s">
        <v>508</v>
      </c>
    </row>
    <row r="1039" spans="1:6" ht="15.75" customHeight="1">
      <c r="A1039" s="4" t="s">
        <v>2966</v>
      </c>
      <c r="B1039" s="4">
        <v>2022</v>
      </c>
      <c r="C1039" s="4" t="s">
        <v>2967</v>
      </c>
      <c r="D1039" s="4" t="s">
        <v>2968</v>
      </c>
      <c r="E1039" s="4" t="s">
        <v>443</v>
      </c>
      <c r="F1039" s="1" t="s">
        <v>508</v>
      </c>
    </row>
    <row r="1040" spans="1:6" ht="15.75" customHeight="1">
      <c r="A1040" s="4" t="s">
        <v>2969</v>
      </c>
      <c r="B1040" s="4">
        <v>2007</v>
      </c>
      <c r="C1040" s="4" t="s">
        <v>2970</v>
      </c>
      <c r="D1040" s="4" t="s">
        <v>2971</v>
      </c>
      <c r="E1040" s="4" t="s">
        <v>443</v>
      </c>
      <c r="F1040" s="1" t="s">
        <v>508</v>
      </c>
    </row>
    <row r="1041" spans="1:6" ht="15.75" customHeight="1">
      <c r="A1041" s="4" t="s">
        <v>2972</v>
      </c>
      <c r="B1041" s="4">
        <v>1990</v>
      </c>
      <c r="C1041" s="4" t="s">
        <v>2973</v>
      </c>
      <c r="D1041" s="4" t="s">
        <v>2974</v>
      </c>
      <c r="E1041" s="4" t="s">
        <v>443</v>
      </c>
      <c r="F1041" s="1" t="s">
        <v>508</v>
      </c>
    </row>
    <row r="1042" spans="1:6" ht="15.75" customHeight="1">
      <c r="A1042" s="4" t="s">
        <v>2975</v>
      </c>
      <c r="B1042" s="4">
        <v>2018</v>
      </c>
      <c r="C1042" s="4" t="s">
        <v>2976</v>
      </c>
      <c r="D1042" s="4" t="s">
        <v>2977</v>
      </c>
      <c r="E1042" s="4" t="s">
        <v>443</v>
      </c>
      <c r="F1042" s="1" t="s">
        <v>508</v>
      </c>
    </row>
    <row r="1043" spans="1:6" ht="15.75" customHeight="1">
      <c r="A1043" s="4" t="s">
        <v>2978</v>
      </c>
      <c r="B1043" s="4">
        <v>1995</v>
      </c>
      <c r="D1043" s="4" t="s">
        <v>2979</v>
      </c>
      <c r="E1043" s="4" t="s">
        <v>443</v>
      </c>
      <c r="F1043" s="1" t="s">
        <v>508</v>
      </c>
    </row>
    <row r="1044" spans="1:6" ht="15.75" customHeight="1">
      <c r="A1044" s="4" t="s">
        <v>2980</v>
      </c>
      <c r="B1044" s="4">
        <v>1993</v>
      </c>
      <c r="C1044" s="4" t="s">
        <v>2981</v>
      </c>
      <c r="D1044" s="4" t="s">
        <v>2982</v>
      </c>
      <c r="E1044" s="4" t="s">
        <v>443</v>
      </c>
      <c r="F1044" s="1" t="s">
        <v>508</v>
      </c>
    </row>
    <row r="1045" spans="1:6" ht="15.75" customHeight="1">
      <c r="A1045" s="4" t="s">
        <v>2983</v>
      </c>
      <c r="B1045" s="4">
        <v>2003</v>
      </c>
      <c r="D1045" s="4" t="s">
        <v>2984</v>
      </c>
      <c r="E1045" s="4" t="s">
        <v>443</v>
      </c>
      <c r="F1045" s="1" t="s">
        <v>1047</v>
      </c>
    </row>
    <row r="1046" spans="1:6" ht="15.75" customHeight="1">
      <c r="A1046" s="4" t="s">
        <v>249</v>
      </c>
      <c r="B1046" s="4">
        <v>2006</v>
      </c>
      <c r="C1046" s="4" t="s">
        <v>2985</v>
      </c>
      <c r="D1046" s="4" t="s">
        <v>2986</v>
      </c>
      <c r="E1046" s="4" t="s">
        <v>443</v>
      </c>
      <c r="F1046" s="1" t="s">
        <v>508</v>
      </c>
    </row>
    <row r="1047" spans="1:6" ht="15.75" customHeight="1">
      <c r="A1047" s="4" t="s">
        <v>249</v>
      </c>
      <c r="B1047" s="4">
        <v>2020</v>
      </c>
      <c r="C1047" s="4" t="s">
        <v>2987</v>
      </c>
      <c r="D1047" s="4" t="s">
        <v>2988</v>
      </c>
      <c r="E1047" s="4" t="s">
        <v>443</v>
      </c>
      <c r="F1047" s="1" t="s">
        <v>508</v>
      </c>
    </row>
    <row r="1048" spans="1:6" ht="15.75" customHeight="1">
      <c r="A1048" s="4" t="s">
        <v>249</v>
      </c>
      <c r="B1048" s="4">
        <v>1998</v>
      </c>
      <c r="D1048" s="4" t="s">
        <v>2989</v>
      </c>
      <c r="E1048" s="4" t="s">
        <v>443</v>
      </c>
      <c r="F1048" s="1" t="s">
        <v>508</v>
      </c>
    </row>
    <row r="1049" spans="1:6" ht="15.75" customHeight="1">
      <c r="A1049" s="4" t="s">
        <v>249</v>
      </c>
      <c r="B1049" s="4">
        <v>2008</v>
      </c>
      <c r="C1049" s="4" t="s">
        <v>2990</v>
      </c>
      <c r="D1049" s="4" t="s">
        <v>2991</v>
      </c>
      <c r="E1049" s="4" t="s">
        <v>443</v>
      </c>
      <c r="F1049" s="1" t="s">
        <v>508</v>
      </c>
    </row>
    <row r="1050" spans="1:6" ht="15.75" customHeight="1">
      <c r="A1050" s="4" t="s">
        <v>249</v>
      </c>
      <c r="B1050" s="4">
        <v>2002</v>
      </c>
      <c r="C1050" s="4" t="s">
        <v>2992</v>
      </c>
      <c r="D1050" s="4" t="s">
        <v>2993</v>
      </c>
      <c r="E1050" s="4" t="s">
        <v>443</v>
      </c>
      <c r="F1050" s="1" t="s">
        <v>508</v>
      </c>
    </row>
    <row r="1051" spans="1:6" ht="15.75" customHeight="1">
      <c r="A1051" s="4" t="s">
        <v>249</v>
      </c>
      <c r="B1051" s="4">
        <v>2002</v>
      </c>
      <c r="C1051" s="4" t="s">
        <v>2994</v>
      </c>
      <c r="D1051" s="4" t="s">
        <v>2995</v>
      </c>
      <c r="E1051" s="4" t="s">
        <v>443</v>
      </c>
      <c r="F1051" s="1" t="s">
        <v>508</v>
      </c>
    </row>
    <row r="1052" spans="1:6" ht="15.75" customHeight="1">
      <c r="A1052" s="4" t="s">
        <v>249</v>
      </c>
      <c r="B1052" s="4">
        <v>2010</v>
      </c>
      <c r="C1052" s="4" t="s">
        <v>2996</v>
      </c>
      <c r="D1052" s="4" t="s">
        <v>2997</v>
      </c>
      <c r="E1052" s="4" t="s">
        <v>443</v>
      </c>
      <c r="F1052" s="1" t="s">
        <v>508</v>
      </c>
    </row>
    <row r="1053" spans="1:6" ht="15.75" customHeight="1">
      <c r="A1053" s="4" t="s">
        <v>2998</v>
      </c>
      <c r="B1053" s="4">
        <v>2013</v>
      </c>
      <c r="C1053" s="4" t="s">
        <v>2999</v>
      </c>
      <c r="D1053" s="4" t="s">
        <v>3000</v>
      </c>
      <c r="E1053" s="4" t="s">
        <v>443</v>
      </c>
      <c r="F1053" s="1" t="s">
        <v>508</v>
      </c>
    </row>
    <row r="1054" spans="1:6" ht="15.75" customHeight="1">
      <c r="A1054" s="4" t="s">
        <v>3001</v>
      </c>
      <c r="B1054" s="4">
        <v>2010</v>
      </c>
      <c r="C1054" s="4" t="s">
        <v>3002</v>
      </c>
      <c r="D1054" s="4" t="s">
        <v>3003</v>
      </c>
      <c r="E1054" s="4" t="s">
        <v>443</v>
      </c>
      <c r="F1054" s="1" t="s">
        <v>508</v>
      </c>
    </row>
    <row r="1055" spans="1:6" ht="15.75" customHeight="1">
      <c r="A1055" s="4" t="s">
        <v>3001</v>
      </c>
      <c r="B1055" s="4">
        <v>2006</v>
      </c>
      <c r="C1055" s="4" t="s">
        <v>3004</v>
      </c>
      <c r="D1055" s="4" t="s">
        <v>3005</v>
      </c>
      <c r="E1055" s="4" t="s">
        <v>443</v>
      </c>
      <c r="F1055" s="1" t="s">
        <v>508</v>
      </c>
    </row>
    <row r="1056" spans="1:6" ht="15.75" customHeight="1">
      <c r="A1056" s="4" t="s">
        <v>3001</v>
      </c>
      <c r="B1056" s="4">
        <v>2006</v>
      </c>
      <c r="C1056" s="4" t="s">
        <v>3006</v>
      </c>
      <c r="D1056" s="4" t="s">
        <v>3007</v>
      </c>
      <c r="E1056" s="4" t="s">
        <v>443</v>
      </c>
      <c r="F1056" s="1" t="s">
        <v>508</v>
      </c>
    </row>
    <row r="1057" spans="1:6" ht="15.75" customHeight="1">
      <c r="A1057" s="4" t="s">
        <v>3008</v>
      </c>
      <c r="B1057" s="4">
        <v>1988</v>
      </c>
      <c r="C1057" s="4" t="s">
        <v>3009</v>
      </c>
      <c r="D1057" s="4" t="s">
        <v>3010</v>
      </c>
      <c r="E1057" s="4" t="s">
        <v>443</v>
      </c>
      <c r="F1057" s="1" t="s">
        <v>508</v>
      </c>
    </row>
    <row r="1058" spans="1:6" ht="15.75" customHeight="1">
      <c r="A1058" s="4" t="s">
        <v>3011</v>
      </c>
      <c r="B1058" s="4">
        <v>2002</v>
      </c>
      <c r="C1058" s="4" t="s">
        <v>3012</v>
      </c>
      <c r="D1058" s="4" t="s">
        <v>3013</v>
      </c>
      <c r="E1058" s="4" t="s">
        <v>443</v>
      </c>
      <c r="F1058" s="1" t="s">
        <v>508</v>
      </c>
    </row>
    <row r="1059" spans="1:6" ht="15.75" customHeight="1">
      <c r="A1059" s="4" t="s">
        <v>3014</v>
      </c>
      <c r="B1059" s="4">
        <v>2010</v>
      </c>
      <c r="C1059" s="4" t="s">
        <v>3015</v>
      </c>
      <c r="D1059" s="4" t="s">
        <v>3016</v>
      </c>
      <c r="E1059" s="4" t="s">
        <v>443</v>
      </c>
      <c r="F1059" s="1" t="s">
        <v>508</v>
      </c>
    </row>
    <row r="1060" spans="1:6" ht="15.75" customHeight="1">
      <c r="A1060" s="4" t="s">
        <v>3017</v>
      </c>
      <c r="B1060" s="4">
        <v>2013</v>
      </c>
      <c r="C1060" s="4" t="s">
        <v>3018</v>
      </c>
      <c r="D1060" s="4" t="s">
        <v>3019</v>
      </c>
      <c r="E1060" s="4" t="s">
        <v>443</v>
      </c>
      <c r="F1060" s="1" t="s">
        <v>508</v>
      </c>
    </row>
    <row r="1061" spans="1:6" ht="15.75" customHeight="1">
      <c r="A1061" s="4" t="s">
        <v>3020</v>
      </c>
      <c r="B1061" s="4">
        <v>1991</v>
      </c>
      <c r="C1061" s="4" t="s">
        <v>3021</v>
      </c>
      <c r="D1061" s="4" t="s">
        <v>3022</v>
      </c>
      <c r="E1061" s="4" t="s">
        <v>443</v>
      </c>
      <c r="F1061" s="1" t="s">
        <v>508</v>
      </c>
    </row>
    <row r="1062" spans="1:6" ht="15.75" customHeight="1">
      <c r="A1062" s="4" t="s">
        <v>3020</v>
      </c>
      <c r="B1062" s="4">
        <v>1990</v>
      </c>
      <c r="C1062" s="4" t="s">
        <v>3023</v>
      </c>
      <c r="D1062" s="4" t="s">
        <v>3024</v>
      </c>
      <c r="E1062" s="4" t="s">
        <v>443</v>
      </c>
      <c r="F1062" s="1" t="s">
        <v>508</v>
      </c>
    </row>
    <row r="1063" spans="1:6" ht="15.75" customHeight="1">
      <c r="A1063" s="4" t="s">
        <v>3025</v>
      </c>
      <c r="B1063" s="4">
        <v>1995</v>
      </c>
      <c r="C1063" s="4" t="s">
        <v>3026</v>
      </c>
      <c r="D1063" s="4" t="s">
        <v>3027</v>
      </c>
      <c r="E1063" s="4" t="s">
        <v>443</v>
      </c>
      <c r="F1063" s="1" t="s">
        <v>508</v>
      </c>
    </row>
    <row r="1064" spans="1:6" ht="15.75" customHeight="1">
      <c r="A1064" s="4" t="s">
        <v>3028</v>
      </c>
      <c r="B1064" s="4">
        <v>2010</v>
      </c>
      <c r="C1064" s="4" t="s">
        <v>3029</v>
      </c>
      <c r="D1064" s="4" t="s">
        <v>3030</v>
      </c>
      <c r="E1064" s="4" t="s">
        <v>443</v>
      </c>
      <c r="F1064" s="1" t="s">
        <v>508</v>
      </c>
    </row>
    <row r="1065" spans="1:6" ht="15.75" customHeight="1">
      <c r="A1065" s="4" t="s">
        <v>3031</v>
      </c>
      <c r="B1065" s="4">
        <v>2019</v>
      </c>
      <c r="C1065" s="4" t="s">
        <v>3032</v>
      </c>
      <c r="D1065" s="4" t="s">
        <v>3033</v>
      </c>
      <c r="E1065" s="4" t="s">
        <v>443</v>
      </c>
      <c r="F1065" s="1" t="s">
        <v>1047</v>
      </c>
    </row>
    <row r="1066" spans="1:6" ht="15.75" customHeight="1">
      <c r="A1066" s="4" t="s">
        <v>3034</v>
      </c>
      <c r="B1066" s="4">
        <v>1999</v>
      </c>
      <c r="D1066" s="4" t="s">
        <v>3035</v>
      </c>
      <c r="E1066" s="4" t="s">
        <v>443</v>
      </c>
      <c r="F1066" s="1" t="s">
        <v>1047</v>
      </c>
    </row>
    <row r="1067" spans="1:6" ht="15.75" customHeight="1">
      <c r="A1067" s="4" t="s">
        <v>3036</v>
      </c>
      <c r="B1067" s="4">
        <v>1999</v>
      </c>
      <c r="C1067" s="4" t="s">
        <v>3037</v>
      </c>
      <c r="D1067" s="4" t="s">
        <v>3038</v>
      </c>
      <c r="E1067" s="4" t="s">
        <v>443</v>
      </c>
      <c r="F1067" s="1" t="s">
        <v>508</v>
      </c>
    </row>
    <row r="1068" spans="1:6" ht="15.75" customHeight="1">
      <c r="A1068" s="4" t="s">
        <v>3036</v>
      </c>
      <c r="B1068" s="4">
        <v>1993</v>
      </c>
      <c r="C1068" s="4" t="s">
        <v>3039</v>
      </c>
      <c r="D1068" s="4" t="s">
        <v>3040</v>
      </c>
      <c r="E1068" s="4" t="s">
        <v>443</v>
      </c>
      <c r="F1068" s="1" t="s">
        <v>508</v>
      </c>
    </row>
    <row r="1069" spans="1:6" ht="15.75" customHeight="1">
      <c r="A1069" s="4" t="s">
        <v>3041</v>
      </c>
      <c r="B1069" s="4">
        <v>1995</v>
      </c>
      <c r="C1069" s="4" t="s">
        <v>3042</v>
      </c>
      <c r="D1069" s="4" t="s">
        <v>3043</v>
      </c>
      <c r="E1069" s="4" t="s">
        <v>443</v>
      </c>
      <c r="F1069" s="1" t="s">
        <v>508</v>
      </c>
    </row>
    <row r="1070" spans="1:6" ht="15.75" customHeight="1">
      <c r="A1070" s="4" t="s">
        <v>3041</v>
      </c>
      <c r="B1070" s="4">
        <v>2006</v>
      </c>
      <c r="C1070" s="4" t="s">
        <v>3044</v>
      </c>
      <c r="D1070" s="4" t="s">
        <v>3045</v>
      </c>
      <c r="E1070" s="4" t="s">
        <v>443</v>
      </c>
      <c r="F1070" s="1" t="s">
        <v>508</v>
      </c>
    </row>
    <row r="1071" spans="1:6" ht="15.75" customHeight="1">
      <c r="A1071" s="4" t="s">
        <v>3041</v>
      </c>
      <c r="B1071" s="4">
        <v>1995</v>
      </c>
      <c r="C1071" s="4" t="s">
        <v>3046</v>
      </c>
      <c r="D1071" s="4" t="s">
        <v>3047</v>
      </c>
      <c r="E1071" s="4" t="s">
        <v>443</v>
      </c>
      <c r="F1071" s="1" t="s">
        <v>508</v>
      </c>
    </row>
    <row r="1072" spans="1:6" ht="15.75" customHeight="1">
      <c r="A1072" s="4" t="s">
        <v>3041</v>
      </c>
      <c r="B1072" s="4">
        <v>1991</v>
      </c>
      <c r="D1072" s="4" t="s">
        <v>3048</v>
      </c>
      <c r="E1072" s="4" t="s">
        <v>443</v>
      </c>
      <c r="F1072" s="1" t="s">
        <v>508</v>
      </c>
    </row>
    <row r="1073" spans="1:6" ht="15.75" customHeight="1">
      <c r="A1073" s="4" t="s">
        <v>3041</v>
      </c>
      <c r="B1073" s="4">
        <v>1993</v>
      </c>
      <c r="C1073" s="4" t="s">
        <v>3049</v>
      </c>
      <c r="D1073" s="4" t="s">
        <v>3050</v>
      </c>
      <c r="E1073" s="4" t="s">
        <v>443</v>
      </c>
      <c r="F1073" s="1" t="s">
        <v>508</v>
      </c>
    </row>
    <row r="1074" spans="1:6" ht="15.75" customHeight="1">
      <c r="A1074" s="4" t="s">
        <v>3041</v>
      </c>
      <c r="B1074" s="4">
        <v>1994</v>
      </c>
      <c r="C1074" s="4" t="s">
        <v>3051</v>
      </c>
      <c r="D1074" s="4" t="s">
        <v>3052</v>
      </c>
      <c r="E1074" s="4" t="s">
        <v>443</v>
      </c>
      <c r="F1074" s="1" t="s">
        <v>508</v>
      </c>
    </row>
    <row r="1075" spans="1:6" ht="15.75" customHeight="1">
      <c r="A1075" s="4" t="s">
        <v>3041</v>
      </c>
      <c r="B1075" s="4">
        <v>1990</v>
      </c>
      <c r="C1075" s="4" t="s">
        <v>3053</v>
      </c>
      <c r="D1075" s="4" t="s">
        <v>3054</v>
      </c>
      <c r="E1075" s="4" t="s">
        <v>443</v>
      </c>
      <c r="F1075" s="1" t="s">
        <v>508</v>
      </c>
    </row>
    <row r="1076" spans="1:6" ht="15.75" customHeight="1">
      <c r="A1076" s="4" t="s">
        <v>3041</v>
      </c>
      <c r="B1076" s="4">
        <v>1991</v>
      </c>
      <c r="C1076" s="4" t="s">
        <v>3055</v>
      </c>
      <c r="D1076" s="4" t="s">
        <v>3056</v>
      </c>
      <c r="E1076" s="4" t="s">
        <v>443</v>
      </c>
      <c r="F1076" s="1" t="s">
        <v>508</v>
      </c>
    </row>
    <row r="1077" spans="1:6" ht="15.75" customHeight="1">
      <c r="A1077" s="4" t="s">
        <v>3041</v>
      </c>
      <c r="B1077" s="4">
        <v>1995</v>
      </c>
      <c r="C1077" s="4" t="s">
        <v>3057</v>
      </c>
      <c r="D1077" s="4" t="s">
        <v>3058</v>
      </c>
      <c r="E1077" s="4" t="s">
        <v>443</v>
      </c>
      <c r="F1077" s="1" t="s">
        <v>508</v>
      </c>
    </row>
    <row r="1078" spans="1:6" ht="15.75" customHeight="1">
      <c r="A1078" s="4" t="s">
        <v>3041</v>
      </c>
      <c r="B1078" s="4">
        <v>1988</v>
      </c>
      <c r="C1078" s="4" t="s">
        <v>3059</v>
      </c>
      <c r="D1078" s="4" t="s">
        <v>3060</v>
      </c>
      <c r="E1078" s="4" t="s">
        <v>443</v>
      </c>
      <c r="F1078" s="1" t="s">
        <v>508</v>
      </c>
    </row>
    <row r="1079" spans="1:6" ht="15.75" customHeight="1">
      <c r="A1079" s="4" t="s">
        <v>3041</v>
      </c>
      <c r="B1079" s="4">
        <v>1989</v>
      </c>
      <c r="C1079" s="4" t="s">
        <v>3061</v>
      </c>
      <c r="D1079" s="4" t="s">
        <v>3062</v>
      </c>
      <c r="E1079" s="4" t="s">
        <v>443</v>
      </c>
      <c r="F1079" s="1" t="s">
        <v>508</v>
      </c>
    </row>
    <row r="1080" spans="1:6" ht="15.75" customHeight="1">
      <c r="A1080" s="4" t="s">
        <v>3041</v>
      </c>
      <c r="B1080" s="4">
        <v>1987</v>
      </c>
      <c r="C1080" s="4" t="s">
        <v>3063</v>
      </c>
      <c r="D1080" s="4" t="s">
        <v>3064</v>
      </c>
      <c r="E1080" s="4" t="s">
        <v>443</v>
      </c>
      <c r="F1080" s="1" t="s">
        <v>508</v>
      </c>
    </row>
    <row r="1081" spans="1:6" ht="15.75" customHeight="1">
      <c r="A1081" s="4" t="s">
        <v>3065</v>
      </c>
      <c r="B1081" s="4">
        <v>2010</v>
      </c>
      <c r="D1081" s="4" t="s">
        <v>3066</v>
      </c>
      <c r="E1081" s="4" t="s">
        <v>443</v>
      </c>
      <c r="F1081" s="1" t="s">
        <v>1047</v>
      </c>
    </row>
    <row r="1082" spans="1:6" ht="15.75" customHeight="1">
      <c r="A1082" s="4" t="s">
        <v>3067</v>
      </c>
      <c r="B1082" s="4">
        <v>2020</v>
      </c>
      <c r="C1082" s="4" t="s">
        <v>3068</v>
      </c>
      <c r="D1082" s="4" t="s">
        <v>3069</v>
      </c>
      <c r="E1082" s="4" t="s">
        <v>443</v>
      </c>
      <c r="F1082" s="1" t="s">
        <v>508</v>
      </c>
    </row>
    <row r="1083" spans="1:6" ht="15.75" customHeight="1">
      <c r="A1083" s="4" t="s">
        <v>3070</v>
      </c>
      <c r="B1083" s="4">
        <v>2000</v>
      </c>
      <c r="D1083" s="4" t="s">
        <v>3071</v>
      </c>
      <c r="E1083" s="4" t="s">
        <v>443</v>
      </c>
      <c r="F1083" s="1" t="s">
        <v>1047</v>
      </c>
    </row>
    <row r="1084" spans="1:6" ht="15.75" customHeight="1">
      <c r="A1084" s="4" t="s">
        <v>252</v>
      </c>
      <c r="B1084" s="4">
        <v>2000</v>
      </c>
      <c r="D1084" s="4" t="s">
        <v>3072</v>
      </c>
      <c r="E1084" s="4" t="s">
        <v>443</v>
      </c>
      <c r="F1084" s="1" t="s">
        <v>508</v>
      </c>
    </row>
    <row r="1085" spans="1:6" ht="15.75" customHeight="1">
      <c r="A1085" s="4" t="s">
        <v>3073</v>
      </c>
      <c r="B1085" s="4">
        <v>2021</v>
      </c>
      <c r="C1085" s="4" t="s">
        <v>3074</v>
      </c>
      <c r="D1085" s="4" t="s">
        <v>3075</v>
      </c>
      <c r="E1085" s="4" t="s">
        <v>443</v>
      </c>
      <c r="F1085" s="1" t="s">
        <v>508</v>
      </c>
    </row>
    <row r="1086" spans="1:6" ht="15.75" customHeight="1">
      <c r="A1086" s="4" t="s">
        <v>3076</v>
      </c>
      <c r="B1086" s="4">
        <v>2002</v>
      </c>
      <c r="C1086" s="4" t="s">
        <v>3077</v>
      </c>
      <c r="D1086" s="4" t="s">
        <v>3078</v>
      </c>
      <c r="E1086" s="4" t="s">
        <v>443</v>
      </c>
      <c r="F1086" s="1" t="s">
        <v>508</v>
      </c>
    </row>
    <row r="1087" spans="1:6" ht="15.75" customHeight="1">
      <c r="A1087" s="4" t="s">
        <v>3079</v>
      </c>
      <c r="B1087" s="4">
        <v>2022</v>
      </c>
      <c r="C1087" s="4" t="s">
        <v>3080</v>
      </c>
      <c r="D1087" s="4" t="s">
        <v>3081</v>
      </c>
      <c r="E1087" s="4" t="s">
        <v>443</v>
      </c>
      <c r="F1087" s="1" t="s">
        <v>508</v>
      </c>
    </row>
    <row r="1088" spans="1:6" ht="15.75" customHeight="1">
      <c r="A1088" s="4" t="s">
        <v>3082</v>
      </c>
      <c r="B1088" s="4">
        <v>2013</v>
      </c>
      <c r="C1088" s="4" t="s">
        <v>3083</v>
      </c>
      <c r="D1088" s="4" t="s">
        <v>3084</v>
      </c>
      <c r="E1088" s="4" t="s">
        <v>443</v>
      </c>
      <c r="F1088" s="1" t="s">
        <v>508</v>
      </c>
    </row>
    <row r="1089" spans="1:6" ht="15.75" customHeight="1">
      <c r="A1089" s="4" t="s">
        <v>3085</v>
      </c>
      <c r="B1089" s="4">
        <v>2011</v>
      </c>
      <c r="C1089" s="4" t="s">
        <v>3086</v>
      </c>
      <c r="D1089" s="4" t="s">
        <v>3087</v>
      </c>
      <c r="E1089" s="4" t="s">
        <v>443</v>
      </c>
      <c r="F1089" s="1" t="s">
        <v>508</v>
      </c>
    </row>
    <row r="1090" spans="1:6" ht="15.75" customHeight="1">
      <c r="A1090" s="4" t="s">
        <v>3088</v>
      </c>
      <c r="B1090" s="4">
        <v>2023</v>
      </c>
      <c r="C1090" s="4" t="s">
        <v>3089</v>
      </c>
      <c r="D1090" s="4" t="s">
        <v>3090</v>
      </c>
      <c r="E1090" s="4" t="s">
        <v>443</v>
      </c>
      <c r="F1090" s="1" t="s">
        <v>508</v>
      </c>
    </row>
    <row r="1091" spans="1:6" ht="15.75" customHeight="1">
      <c r="A1091" s="4" t="s">
        <v>3091</v>
      </c>
      <c r="B1091" s="4">
        <v>2004</v>
      </c>
      <c r="C1091" s="4" t="s">
        <v>3092</v>
      </c>
      <c r="D1091" s="4" t="s">
        <v>3093</v>
      </c>
      <c r="E1091" s="4" t="s">
        <v>443</v>
      </c>
      <c r="F1091" s="1" t="s">
        <v>508</v>
      </c>
    </row>
    <row r="1092" spans="1:6" ht="15.75" customHeight="1">
      <c r="A1092" s="4" t="s">
        <v>3094</v>
      </c>
      <c r="B1092" s="4">
        <v>2016</v>
      </c>
      <c r="C1092" s="4" t="s">
        <v>3095</v>
      </c>
      <c r="D1092" s="4" t="s">
        <v>3096</v>
      </c>
      <c r="E1092" s="4" t="s">
        <v>443</v>
      </c>
      <c r="F1092" s="1" t="s">
        <v>508</v>
      </c>
    </row>
    <row r="1093" spans="1:6" ht="15.75" customHeight="1">
      <c r="A1093" s="4" t="s">
        <v>3094</v>
      </c>
      <c r="B1093" s="4">
        <v>2016</v>
      </c>
      <c r="C1093" s="4" t="s">
        <v>3097</v>
      </c>
      <c r="D1093" s="4" t="s">
        <v>3098</v>
      </c>
      <c r="E1093" s="4" t="s">
        <v>443</v>
      </c>
      <c r="F1093" s="1" t="s">
        <v>508</v>
      </c>
    </row>
    <row r="1094" spans="1:6" ht="15.75" customHeight="1">
      <c r="A1094" s="4" t="s">
        <v>3099</v>
      </c>
      <c r="B1094" s="4">
        <v>2012</v>
      </c>
      <c r="C1094" s="4" t="s">
        <v>3100</v>
      </c>
      <c r="D1094" s="4" t="s">
        <v>3101</v>
      </c>
      <c r="E1094" s="4" t="s">
        <v>443</v>
      </c>
      <c r="F1094" s="1" t="s">
        <v>508</v>
      </c>
    </row>
    <row r="1095" spans="1:6" ht="15.75" customHeight="1">
      <c r="A1095" s="4" t="s">
        <v>3099</v>
      </c>
      <c r="B1095" s="4">
        <v>2013</v>
      </c>
      <c r="C1095" s="4" t="s">
        <v>3102</v>
      </c>
      <c r="D1095" s="4" t="s">
        <v>3103</v>
      </c>
      <c r="E1095" s="4" t="s">
        <v>443</v>
      </c>
      <c r="F1095" s="1" t="s">
        <v>508</v>
      </c>
    </row>
    <row r="1096" spans="1:6" ht="15.75" customHeight="1">
      <c r="A1096" s="4" t="s">
        <v>3104</v>
      </c>
      <c r="B1096" s="4">
        <v>2023</v>
      </c>
      <c r="C1096" s="4" t="s">
        <v>3105</v>
      </c>
      <c r="D1096" s="4" t="s">
        <v>3106</v>
      </c>
      <c r="E1096" s="4" t="s">
        <v>443</v>
      </c>
      <c r="F1096" s="1" t="s">
        <v>508</v>
      </c>
    </row>
    <row r="1097" spans="1:6" ht="15.75" customHeight="1">
      <c r="A1097" s="4" t="s">
        <v>3107</v>
      </c>
      <c r="B1097" s="4">
        <v>1993</v>
      </c>
      <c r="C1097" s="4" t="s">
        <v>3108</v>
      </c>
      <c r="D1097" s="4" t="s">
        <v>3109</v>
      </c>
      <c r="E1097" s="4" t="s">
        <v>443</v>
      </c>
      <c r="F1097" s="1" t="s">
        <v>508</v>
      </c>
    </row>
    <row r="1098" spans="1:6" ht="15.75" customHeight="1">
      <c r="A1098" s="4" t="s">
        <v>3110</v>
      </c>
      <c r="B1098" s="4">
        <v>2021</v>
      </c>
      <c r="C1098" s="4" t="s">
        <v>3111</v>
      </c>
      <c r="D1098" s="4" t="s">
        <v>3112</v>
      </c>
      <c r="E1098" s="4" t="s">
        <v>443</v>
      </c>
      <c r="F1098" s="1" t="s">
        <v>508</v>
      </c>
    </row>
    <row r="1099" spans="1:6" ht="15.75" customHeight="1">
      <c r="A1099" s="4" t="s">
        <v>3113</v>
      </c>
      <c r="B1099" s="4">
        <v>2015</v>
      </c>
      <c r="C1099" s="4" t="s">
        <v>3114</v>
      </c>
      <c r="D1099" s="4" t="s">
        <v>3115</v>
      </c>
      <c r="E1099" s="4" t="s">
        <v>443</v>
      </c>
      <c r="F1099" s="1" t="s">
        <v>508</v>
      </c>
    </row>
    <row r="1100" spans="1:6" ht="15.75" customHeight="1">
      <c r="A1100" s="4" t="s">
        <v>3116</v>
      </c>
      <c r="B1100" s="4">
        <v>1991</v>
      </c>
      <c r="C1100" s="4" t="s">
        <v>3117</v>
      </c>
      <c r="D1100" s="4" t="s">
        <v>3118</v>
      </c>
      <c r="E1100" s="4" t="s">
        <v>443</v>
      </c>
      <c r="F1100" s="1" t="s">
        <v>508</v>
      </c>
    </row>
    <row r="1101" spans="1:6" ht="15.75" customHeight="1">
      <c r="A1101" s="4" t="s">
        <v>3119</v>
      </c>
      <c r="B1101" s="4">
        <v>2009</v>
      </c>
      <c r="C1101" s="4" t="s">
        <v>3120</v>
      </c>
      <c r="D1101" s="4" t="s">
        <v>3121</v>
      </c>
      <c r="E1101" s="4" t="s">
        <v>443</v>
      </c>
      <c r="F1101" s="1" t="s">
        <v>508</v>
      </c>
    </row>
    <row r="1102" spans="1:6" ht="15.75" customHeight="1">
      <c r="A1102" s="4" t="s">
        <v>3122</v>
      </c>
      <c r="B1102" s="4">
        <v>2007</v>
      </c>
      <c r="C1102" s="4" t="s">
        <v>3123</v>
      </c>
      <c r="D1102" s="4" t="s">
        <v>3124</v>
      </c>
      <c r="E1102" s="4" t="s">
        <v>443</v>
      </c>
      <c r="F1102" s="1" t="s">
        <v>508</v>
      </c>
    </row>
    <row r="1103" spans="1:6" ht="15.75" customHeight="1">
      <c r="A1103" s="4" t="s">
        <v>3125</v>
      </c>
      <c r="B1103" s="4">
        <v>2022</v>
      </c>
      <c r="C1103" s="4" t="s">
        <v>3126</v>
      </c>
      <c r="D1103" s="4" t="s">
        <v>3127</v>
      </c>
      <c r="E1103" s="4" t="s">
        <v>443</v>
      </c>
      <c r="F1103" s="1" t="s">
        <v>508</v>
      </c>
    </row>
    <row r="1104" spans="1:6" ht="15.75" customHeight="1">
      <c r="A1104" s="4" t="s">
        <v>3128</v>
      </c>
      <c r="B1104" s="4">
        <v>2016</v>
      </c>
      <c r="C1104" s="4" t="s">
        <v>3129</v>
      </c>
      <c r="D1104" s="4" t="s">
        <v>3130</v>
      </c>
      <c r="E1104" s="4" t="s">
        <v>443</v>
      </c>
      <c r="F1104" s="1" t="s">
        <v>508</v>
      </c>
    </row>
    <row r="1105" spans="1:6" ht="15.75" customHeight="1">
      <c r="A1105" s="4" t="s">
        <v>3131</v>
      </c>
      <c r="B1105" s="4">
        <v>2004</v>
      </c>
      <c r="C1105" s="4" t="s">
        <v>3132</v>
      </c>
      <c r="D1105" s="4" t="s">
        <v>3133</v>
      </c>
      <c r="E1105" s="4" t="s">
        <v>443</v>
      </c>
      <c r="F1105" s="1" t="s">
        <v>508</v>
      </c>
    </row>
    <row r="1106" spans="1:6" ht="15.75" customHeight="1">
      <c r="A1106" s="4" t="s">
        <v>3134</v>
      </c>
      <c r="B1106" s="4">
        <v>2008</v>
      </c>
      <c r="C1106" s="4" t="s">
        <v>3135</v>
      </c>
      <c r="D1106" s="4" t="s">
        <v>3136</v>
      </c>
      <c r="E1106" s="4" t="s">
        <v>443</v>
      </c>
      <c r="F1106" s="1" t="s">
        <v>508</v>
      </c>
    </row>
    <row r="1107" spans="1:6" ht="15.75" customHeight="1">
      <c r="A1107" s="4" t="s">
        <v>723</v>
      </c>
      <c r="B1107" s="4">
        <v>2012</v>
      </c>
      <c r="C1107" s="4" t="s">
        <v>3137</v>
      </c>
      <c r="D1107" s="4" t="s">
        <v>3138</v>
      </c>
      <c r="E1107" s="4" t="s">
        <v>443</v>
      </c>
      <c r="F1107" s="1" t="s">
        <v>508</v>
      </c>
    </row>
    <row r="1108" spans="1:6" ht="15.75" customHeight="1">
      <c r="A1108" s="4" t="s">
        <v>3139</v>
      </c>
      <c r="B1108" s="4">
        <v>1991</v>
      </c>
      <c r="C1108" s="4" t="s">
        <v>3140</v>
      </c>
      <c r="D1108" s="4" t="s">
        <v>3141</v>
      </c>
      <c r="E1108" s="4" t="s">
        <v>443</v>
      </c>
      <c r="F1108" s="1" t="s">
        <v>508</v>
      </c>
    </row>
    <row r="1109" spans="1:6" ht="15.75" customHeight="1">
      <c r="A1109" s="4" t="s">
        <v>3142</v>
      </c>
      <c r="B1109" s="4">
        <v>1996</v>
      </c>
      <c r="C1109" s="4" t="s">
        <v>3143</v>
      </c>
      <c r="D1109" s="4" t="s">
        <v>3144</v>
      </c>
      <c r="E1109" s="4" t="s">
        <v>443</v>
      </c>
      <c r="F1109" s="1" t="s">
        <v>508</v>
      </c>
    </row>
    <row r="1110" spans="1:6" ht="15.75" customHeight="1">
      <c r="A1110" s="4" t="s">
        <v>3145</v>
      </c>
      <c r="B1110" s="4">
        <v>1999</v>
      </c>
      <c r="C1110" s="4" t="s">
        <v>3146</v>
      </c>
      <c r="D1110" s="4" t="s">
        <v>3147</v>
      </c>
      <c r="E1110" s="4" t="s">
        <v>443</v>
      </c>
      <c r="F1110" s="1" t="s">
        <v>508</v>
      </c>
    </row>
    <row r="1111" spans="1:6" ht="15.75" customHeight="1">
      <c r="A1111" s="4" t="s">
        <v>3145</v>
      </c>
      <c r="B1111" s="4">
        <v>1998</v>
      </c>
      <c r="C1111" s="4" t="s">
        <v>3148</v>
      </c>
      <c r="D1111" s="4" t="s">
        <v>3149</v>
      </c>
      <c r="E1111" s="4" t="s">
        <v>443</v>
      </c>
      <c r="F1111" s="1" t="s">
        <v>508</v>
      </c>
    </row>
    <row r="1112" spans="1:6" ht="15.75" customHeight="1">
      <c r="A1112" s="4" t="s">
        <v>3150</v>
      </c>
      <c r="B1112" s="4">
        <v>2011</v>
      </c>
      <c r="C1112" s="4" t="s">
        <v>3151</v>
      </c>
      <c r="D1112" s="4" t="s">
        <v>3152</v>
      </c>
      <c r="E1112" s="4" t="s">
        <v>443</v>
      </c>
      <c r="F1112" s="1" t="s">
        <v>508</v>
      </c>
    </row>
    <row r="1113" spans="1:6" ht="15.75" customHeight="1">
      <c r="A1113" s="4" t="s">
        <v>3153</v>
      </c>
      <c r="B1113" s="4">
        <v>2001</v>
      </c>
      <c r="C1113" s="4" t="s">
        <v>3154</v>
      </c>
      <c r="D1113" s="4" t="s">
        <v>3155</v>
      </c>
      <c r="E1113" s="4" t="s">
        <v>443</v>
      </c>
      <c r="F1113" s="1" t="s">
        <v>508</v>
      </c>
    </row>
    <row r="1114" spans="1:6" ht="15.75" customHeight="1">
      <c r="A1114" s="4" t="s">
        <v>3156</v>
      </c>
      <c r="B1114" s="4">
        <v>2001</v>
      </c>
      <c r="C1114" s="4" t="s">
        <v>3157</v>
      </c>
      <c r="D1114" s="4" t="s">
        <v>3158</v>
      </c>
      <c r="E1114" s="4" t="s">
        <v>443</v>
      </c>
      <c r="F1114" s="1" t="s">
        <v>508</v>
      </c>
    </row>
    <row r="1115" spans="1:6" ht="15.75" customHeight="1">
      <c r="A1115" s="4" t="s">
        <v>3156</v>
      </c>
      <c r="B1115" s="4">
        <v>1998</v>
      </c>
      <c r="C1115" s="4" t="s">
        <v>3159</v>
      </c>
      <c r="D1115" s="4" t="s">
        <v>3160</v>
      </c>
      <c r="E1115" s="4" t="s">
        <v>443</v>
      </c>
      <c r="F1115" s="1" t="s">
        <v>508</v>
      </c>
    </row>
    <row r="1116" spans="1:6" ht="15.75" customHeight="1">
      <c r="A1116" s="4" t="s">
        <v>3161</v>
      </c>
      <c r="B1116" s="4">
        <v>2004</v>
      </c>
      <c r="C1116" s="4" t="s">
        <v>3162</v>
      </c>
      <c r="D1116" s="4" t="s">
        <v>3163</v>
      </c>
      <c r="E1116" s="4" t="s">
        <v>443</v>
      </c>
      <c r="F1116" s="1" t="s">
        <v>508</v>
      </c>
    </row>
    <row r="1117" spans="1:6" ht="15.75" customHeight="1">
      <c r="A1117" s="4" t="s">
        <v>3164</v>
      </c>
      <c r="B1117" s="4">
        <v>2012</v>
      </c>
      <c r="C1117" s="4" t="s">
        <v>3165</v>
      </c>
      <c r="D1117" s="4" t="s">
        <v>3166</v>
      </c>
      <c r="E1117" s="4" t="s">
        <v>443</v>
      </c>
      <c r="F1117" s="1" t="s">
        <v>508</v>
      </c>
    </row>
    <row r="1118" spans="1:6" ht="15.75" customHeight="1">
      <c r="A1118" s="4" t="s">
        <v>3167</v>
      </c>
      <c r="B1118" s="4">
        <v>2014</v>
      </c>
      <c r="C1118" s="4" t="s">
        <v>3168</v>
      </c>
      <c r="D1118" s="4" t="s">
        <v>3169</v>
      </c>
      <c r="E1118" s="4" t="s">
        <v>443</v>
      </c>
      <c r="F1118" s="1" t="s">
        <v>508</v>
      </c>
    </row>
    <row r="1119" spans="1:6" ht="15.75" customHeight="1">
      <c r="A1119" s="4" t="s">
        <v>3170</v>
      </c>
      <c r="B1119" s="4">
        <v>2005</v>
      </c>
      <c r="C1119" s="4" t="s">
        <v>3171</v>
      </c>
      <c r="D1119" s="4" t="s">
        <v>3172</v>
      </c>
      <c r="E1119" s="4" t="s">
        <v>443</v>
      </c>
      <c r="F1119" s="1" t="s">
        <v>508</v>
      </c>
    </row>
    <row r="1120" spans="1:6" ht="15.75" customHeight="1">
      <c r="A1120" s="4" t="s">
        <v>3173</v>
      </c>
      <c r="B1120" s="4">
        <v>2021</v>
      </c>
      <c r="C1120" s="4" t="s">
        <v>3174</v>
      </c>
      <c r="D1120" s="4" t="s">
        <v>3175</v>
      </c>
      <c r="E1120" s="4" t="s">
        <v>443</v>
      </c>
      <c r="F1120" s="1" t="s">
        <v>508</v>
      </c>
    </row>
    <row r="1121" spans="1:6" ht="15.75" customHeight="1">
      <c r="A1121" s="4" t="s">
        <v>3176</v>
      </c>
      <c r="B1121" s="4">
        <v>2022</v>
      </c>
      <c r="C1121" s="4" t="s">
        <v>3177</v>
      </c>
      <c r="D1121" s="4" t="s">
        <v>3178</v>
      </c>
      <c r="E1121" s="4" t="s">
        <v>443</v>
      </c>
      <c r="F1121" s="1" t="s">
        <v>508</v>
      </c>
    </row>
    <row r="1122" spans="1:6" ht="15.75" customHeight="1">
      <c r="A1122" s="4" t="s">
        <v>3179</v>
      </c>
      <c r="B1122" s="4">
        <v>2001</v>
      </c>
      <c r="C1122" s="4" t="s">
        <v>3180</v>
      </c>
      <c r="D1122" s="4" t="s">
        <v>3181</v>
      </c>
      <c r="E1122" s="4" t="s">
        <v>443</v>
      </c>
      <c r="F1122" s="1" t="s">
        <v>508</v>
      </c>
    </row>
    <row r="1123" spans="1:6" ht="15.75" customHeight="1">
      <c r="A1123" s="4" t="s">
        <v>3182</v>
      </c>
      <c r="B1123" s="4">
        <v>1999</v>
      </c>
      <c r="C1123" s="4" t="s">
        <v>3183</v>
      </c>
      <c r="D1123" s="4" t="s">
        <v>3184</v>
      </c>
      <c r="E1123" s="4" t="s">
        <v>443</v>
      </c>
      <c r="F1123" s="1" t="s">
        <v>508</v>
      </c>
    </row>
    <row r="1124" spans="1:6" ht="15.75" customHeight="1">
      <c r="A1124" s="4" t="s">
        <v>3185</v>
      </c>
      <c r="B1124" s="4">
        <v>1997</v>
      </c>
      <c r="C1124" s="4" t="s">
        <v>3186</v>
      </c>
      <c r="D1124" s="4" t="s">
        <v>3187</v>
      </c>
      <c r="E1124" s="4" t="s">
        <v>443</v>
      </c>
      <c r="F1124" s="1" t="s">
        <v>508</v>
      </c>
    </row>
    <row r="1125" spans="1:6" ht="15.75" customHeight="1">
      <c r="A1125" s="4" t="s">
        <v>3185</v>
      </c>
      <c r="B1125" s="4">
        <v>1996</v>
      </c>
      <c r="C1125" s="4" t="s">
        <v>3188</v>
      </c>
      <c r="D1125" s="4" t="s">
        <v>3189</v>
      </c>
      <c r="E1125" s="4" t="s">
        <v>443</v>
      </c>
      <c r="F1125" s="1" t="s">
        <v>508</v>
      </c>
    </row>
    <row r="1126" spans="1:6" ht="15.75" customHeight="1">
      <c r="A1126" s="4" t="s">
        <v>3190</v>
      </c>
      <c r="B1126" s="4">
        <v>1992</v>
      </c>
      <c r="D1126" s="4" t="s">
        <v>3191</v>
      </c>
      <c r="E1126" s="4" t="s">
        <v>443</v>
      </c>
      <c r="F1126" s="1" t="s">
        <v>1047</v>
      </c>
    </row>
    <row r="1127" spans="1:6" ht="15.75" customHeight="1">
      <c r="A1127" s="4" t="s">
        <v>3190</v>
      </c>
      <c r="B1127" s="4">
        <v>1992</v>
      </c>
      <c r="C1127" s="4" t="s">
        <v>3192</v>
      </c>
      <c r="D1127" s="4" t="s">
        <v>3193</v>
      </c>
      <c r="E1127" s="4" t="s">
        <v>443</v>
      </c>
      <c r="F1127" s="1" t="s">
        <v>508</v>
      </c>
    </row>
    <row r="1128" spans="1:6" ht="15.75" customHeight="1">
      <c r="A1128" s="4" t="s">
        <v>3194</v>
      </c>
      <c r="B1128" s="4">
        <v>2002</v>
      </c>
      <c r="C1128" s="4" t="s">
        <v>3195</v>
      </c>
      <c r="D1128" s="4" t="s">
        <v>3196</v>
      </c>
      <c r="E1128" s="4" t="s">
        <v>443</v>
      </c>
      <c r="F1128" s="1" t="s">
        <v>508</v>
      </c>
    </row>
    <row r="1129" spans="1:6" ht="15.75" customHeight="1">
      <c r="A1129" s="4" t="s">
        <v>3197</v>
      </c>
      <c r="B1129" s="4">
        <v>1999</v>
      </c>
      <c r="C1129" s="4" t="s">
        <v>3198</v>
      </c>
      <c r="D1129" s="4" t="s">
        <v>3199</v>
      </c>
      <c r="E1129" s="4" t="s">
        <v>443</v>
      </c>
      <c r="F1129" s="1" t="s">
        <v>508</v>
      </c>
    </row>
    <row r="1130" spans="1:6" ht="15.75" customHeight="1">
      <c r="A1130" s="4" t="s">
        <v>3200</v>
      </c>
      <c r="B1130" s="4">
        <v>1994</v>
      </c>
      <c r="C1130" s="4" t="s">
        <v>3201</v>
      </c>
      <c r="D1130" s="4" t="s">
        <v>3202</v>
      </c>
      <c r="E1130" s="4" t="s">
        <v>443</v>
      </c>
      <c r="F1130" s="1" t="s">
        <v>508</v>
      </c>
    </row>
    <row r="1131" spans="1:6" ht="15.75" customHeight="1">
      <c r="A1131" s="4" t="s">
        <v>3203</v>
      </c>
      <c r="B1131" s="4">
        <v>2014</v>
      </c>
      <c r="C1131" s="4" t="s">
        <v>3204</v>
      </c>
      <c r="D1131" s="4" t="s">
        <v>3205</v>
      </c>
      <c r="E1131" s="4" t="s">
        <v>443</v>
      </c>
      <c r="F1131" s="1" t="s">
        <v>508</v>
      </c>
    </row>
    <row r="1132" spans="1:6" ht="15.75" customHeight="1">
      <c r="A1132" s="4" t="s">
        <v>3206</v>
      </c>
      <c r="B1132" s="4">
        <v>2018</v>
      </c>
      <c r="C1132" s="4" t="s">
        <v>3207</v>
      </c>
      <c r="D1132" s="4" t="s">
        <v>3208</v>
      </c>
      <c r="E1132" s="4" t="s">
        <v>443</v>
      </c>
      <c r="F1132" s="1" t="s">
        <v>508</v>
      </c>
    </row>
    <row r="1133" spans="1:6" ht="15.75" customHeight="1">
      <c r="A1133" s="4" t="s">
        <v>3209</v>
      </c>
      <c r="B1133" s="4">
        <v>2001</v>
      </c>
      <c r="C1133" s="4" t="s">
        <v>3210</v>
      </c>
      <c r="D1133" s="4" t="s">
        <v>3211</v>
      </c>
      <c r="E1133" s="4" t="s">
        <v>443</v>
      </c>
      <c r="F1133" s="1" t="s">
        <v>508</v>
      </c>
    </row>
    <row r="1134" spans="1:6" ht="15.75" customHeight="1">
      <c r="A1134" s="4" t="s">
        <v>3212</v>
      </c>
      <c r="B1134" s="4">
        <v>2022</v>
      </c>
      <c r="C1134" s="4" t="s">
        <v>3213</v>
      </c>
      <c r="D1134" s="4" t="s">
        <v>3214</v>
      </c>
      <c r="E1134" s="4" t="s">
        <v>443</v>
      </c>
      <c r="F1134" s="1" t="s">
        <v>508</v>
      </c>
    </row>
    <row r="1135" spans="1:6" ht="15.75" customHeight="1">
      <c r="A1135" s="4" t="s">
        <v>3215</v>
      </c>
      <c r="B1135" s="4">
        <v>2003</v>
      </c>
      <c r="C1135" s="4" t="s">
        <v>3216</v>
      </c>
      <c r="D1135" s="4" t="s">
        <v>3217</v>
      </c>
      <c r="E1135" s="4" t="s">
        <v>443</v>
      </c>
      <c r="F1135" s="1" t="s">
        <v>508</v>
      </c>
    </row>
    <row r="1136" spans="1:6" ht="15.75" customHeight="1">
      <c r="A1136" s="4" t="s">
        <v>256</v>
      </c>
      <c r="B1136" s="4">
        <v>2018</v>
      </c>
      <c r="C1136" s="4" t="s">
        <v>3218</v>
      </c>
      <c r="D1136" s="4" t="s">
        <v>3219</v>
      </c>
      <c r="E1136" s="4" t="s">
        <v>443</v>
      </c>
      <c r="F1136" s="1" t="s">
        <v>508</v>
      </c>
    </row>
    <row r="1137" spans="1:6" ht="15.75" customHeight="1">
      <c r="A1137" s="4" t="s">
        <v>256</v>
      </c>
      <c r="B1137" s="4">
        <v>2015</v>
      </c>
      <c r="C1137" s="4" t="s">
        <v>3220</v>
      </c>
      <c r="D1137" s="4" t="s">
        <v>3221</v>
      </c>
      <c r="E1137" s="4" t="s">
        <v>443</v>
      </c>
      <c r="F1137" s="1" t="s">
        <v>508</v>
      </c>
    </row>
    <row r="1138" spans="1:6" ht="15.75" customHeight="1">
      <c r="A1138" s="4" t="s">
        <v>3222</v>
      </c>
      <c r="B1138" s="4">
        <v>2018</v>
      </c>
      <c r="C1138" s="4" t="s">
        <v>3223</v>
      </c>
      <c r="D1138" s="4" t="s">
        <v>3224</v>
      </c>
      <c r="E1138" s="4" t="s">
        <v>443</v>
      </c>
      <c r="F1138" s="1" t="s">
        <v>508</v>
      </c>
    </row>
    <row r="1139" spans="1:6" ht="15.75" customHeight="1">
      <c r="A1139" s="4" t="s">
        <v>3225</v>
      </c>
      <c r="B1139" s="4">
        <v>2018</v>
      </c>
      <c r="C1139" s="4" t="s">
        <v>3226</v>
      </c>
      <c r="D1139" s="4" t="s">
        <v>3227</v>
      </c>
      <c r="E1139" s="4" t="s">
        <v>443</v>
      </c>
      <c r="F1139" s="1" t="s">
        <v>508</v>
      </c>
    </row>
    <row r="1140" spans="1:6" ht="15.75" customHeight="1">
      <c r="A1140" s="4" t="s">
        <v>3225</v>
      </c>
      <c r="B1140" s="4">
        <v>2016</v>
      </c>
      <c r="C1140" s="4" t="s">
        <v>3228</v>
      </c>
      <c r="D1140" s="4" t="s">
        <v>3229</v>
      </c>
      <c r="E1140" s="4" t="s">
        <v>443</v>
      </c>
      <c r="F1140" s="1" t="s">
        <v>508</v>
      </c>
    </row>
    <row r="1141" spans="1:6" ht="15.75" customHeight="1">
      <c r="A1141" s="4" t="s">
        <v>3225</v>
      </c>
      <c r="B1141" s="4">
        <v>2020</v>
      </c>
      <c r="C1141" s="4" t="s">
        <v>3230</v>
      </c>
      <c r="D1141" s="4" t="s">
        <v>3231</v>
      </c>
      <c r="E1141" s="4" t="s">
        <v>443</v>
      </c>
      <c r="F1141" s="1" t="s">
        <v>508</v>
      </c>
    </row>
    <row r="1142" spans="1:6" ht="15.75" customHeight="1">
      <c r="A1142" s="4" t="s">
        <v>3225</v>
      </c>
      <c r="B1142" s="4">
        <v>2021</v>
      </c>
      <c r="C1142" s="4" t="s">
        <v>3232</v>
      </c>
      <c r="D1142" s="4" t="s">
        <v>3233</v>
      </c>
      <c r="E1142" s="4" t="s">
        <v>443</v>
      </c>
      <c r="F1142" s="1" t="s">
        <v>508</v>
      </c>
    </row>
    <row r="1143" spans="1:6" ht="15.75" customHeight="1">
      <c r="A1143" s="4" t="s">
        <v>3234</v>
      </c>
      <c r="B1143" s="4">
        <v>1999</v>
      </c>
      <c r="C1143" s="4" t="s">
        <v>3235</v>
      </c>
      <c r="D1143" s="4" t="s">
        <v>3236</v>
      </c>
      <c r="E1143" s="4" t="s">
        <v>443</v>
      </c>
      <c r="F1143" s="1" t="s">
        <v>508</v>
      </c>
    </row>
    <row r="1144" spans="1:6" ht="15.75" customHeight="1">
      <c r="A1144" s="4" t="s">
        <v>3237</v>
      </c>
      <c r="B1144" s="4">
        <v>1993</v>
      </c>
      <c r="D1144" s="4" t="s">
        <v>3238</v>
      </c>
      <c r="E1144" s="4" t="s">
        <v>443</v>
      </c>
      <c r="F1144" s="1" t="s">
        <v>508</v>
      </c>
    </row>
    <row r="1145" spans="1:6" ht="15.75" customHeight="1">
      <c r="A1145" s="4" t="s">
        <v>3239</v>
      </c>
      <c r="B1145" s="4">
        <v>2011</v>
      </c>
      <c r="C1145" s="4" t="s">
        <v>3240</v>
      </c>
      <c r="D1145" s="4" t="s">
        <v>3241</v>
      </c>
      <c r="E1145" s="4" t="s">
        <v>443</v>
      </c>
      <c r="F1145" s="1" t="s">
        <v>508</v>
      </c>
    </row>
    <row r="1146" spans="1:6" ht="15.75" customHeight="1">
      <c r="A1146" s="4" t="s">
        <v>3242</v>
      </c>
      <c r="B1146" s="4">
        <v>2007</v>
      </c>
      <c r="C1146" s="4" t="s">
        <v>3243</v>
      </c>
      <c r="D1146" s="4" t="s">
        <v>3244</v>
      </c>
      <c r="E1146" s="4" t="s">
        <v>443</v>
      </c>
      <c r="F1146" s="1" t="s">
        <v>508</v>
      </c>
    </row>
    <row r="1147" spans="1:6" ht="15.75" customHeight="1">
      <c r="A1147" s="4" t="s">
        <v>3245</v>
      </c>
      <c r="B1147" s="4">
        <v>2007</v>
      </c>
      <c r="D1147" s="4" t="s">
        <v>3246</v>
      </c>
      <c r="E1147" s="4" t="s">
        <v>443</v>
      </c>
      <c r="F1147" s="1" t="s">
        <v>508</v>
      </c>
    </row>
    <row r="1148" spans="1:6" ht="15.75" customHeight="1">
      <c r="A1148" s="4" t="s">
        <v>3247</v>
      </c>
      <c r="B1148" s="4">
        <v>2012</v>
      </c>
      <c r="C1148" s="4" t="s">
        <v>3248</v>
      </c>
      <c r="D1148" s="4" t="s">
        <v>3249</v>
      </c>
      <c r="E1148" s="4" t="s">
        <v>443</v>
      </c>
      <c r="F1148" s="1" t="s">
        <v>508</v>
      </c>
    </row>
    <row r="1149" spans="1:6" ht="15.75" customHeight="1">
      <c r="A1149" s="4" t="s">
        <v>3250</v>
      </c>
      <c r="B1149" s="4">
        <v>2002</v>
      </c>
      <c r="C1149" s="4" t="s">
        <v>3251</v>
      </c>
      <c r="D1149" s="4" t="s">
        <v>3252</v>
      </c>
      <c r="E1149" s="4" t="s">
        <v>443</v>
      </c>
      <c r="F1149" s="1" t="s">
        <v>508</v>
      </c>
    </row>
    <row r="1150" spans="1:6" ht="15.75" customHeight="1">
      <c r="A1150" s="4" t="s">
        <v>3253</v>
      </c>
      <c r="B1150" s="4">
        <v>2013</v>
      </c>
      <c r="C1150" s="4" t="s">
        <v>3254</v>
      </c>
      <c r="D1150" s="4" t="s">
        <v>3255</v>
      </c>
      <c r="E1150" s="4" t="s">
        <v>443</v>
      </c>
      <c r="F1150" s="1" t="s">
        <v>508</v>
      </c>
    </row>
    <row r="1151" spans="1:6" ht="15.75" customHeight="1">
      <c r="A1151" s="4" t="s">
        <v>3256</v>
      </c>
      <c r="B1151" s="4">
        <v>1997</v>
      </c>
      <c r="C1151" s="4" t="s">
        <v>3257</v>
      </c>
      <c r="D1151" s="4" t="s">
        <v>3258</v>
      </c>
      <c r="E1151" s="4" t="s">
        <v>443</v>
      </c>
      <c r="F1151" s="1" t="s">
        <v>508</v>
      </c>
    </row>
    <row r="1152" spans="1:6" ht="15.75" customHeight="1">
      <c r="A1152" s="4" t="s">
        <v>3259</v>
      </c>
      <c r="B1152" s="4">
        <v>2013</v>
      </c>
      <c r="C1152" s="4" t="s">
        <v>3260</v>
      </c>
      <c r="D1152" s="4" t="s">
        <v>3261</v>
      </c>
      <c r="E1152" s="4" t="s">
        <v>443</v>
      </c>
      <c r="F1152" s="1" t="s">
        <v>508</v>
      </c>
    </row>
    <row r="1153" spans="1:7" ht="15.75" customHeight="1">
      <c r="A1153" s="4" t="s">
        <v>3262</v>
      </c>
      <c r="B1153" s="4">
        <v>2023</v>
      </c>
      <c r="C1153" s="4" t="s">
        <v>3263</v>
      </c>
      <c r="D1153" s="4" t="s">
        <v>3264</v>
      </c>
      <c r="E1153" s="4" t="s">
        <v>443</v>
      </c>
      <c r="F1153" s="1" t="s">
        <v>508</v>
      </c>
    </row>
    <row r="1154" spans="1:7" ht="15.75" customHeight="1">
      <c r="A1154" s="4" t="s">
        <v>3265</v>
      </c>
      <c r="B1154" s="4">
        <v>2015</v>
      </c>
      <c r="C1154" s="4" t="s">
        <v>3266</v>
      </c>
      <c r="D1154" s="4" t="s">
        <v>3267</v>
      </c>
      <c r="E1154" s="4" t="s">
        <v>443</v>
      </c>
      <c r="F1154" s="1" t="s">
        <v>508</v>
      </c>
    </row>
    <row r="1155" spans="1:7" ht="15.75" customHeight="1">
      <c r="A1155" s="4" t="s">
        <v>3268</v>
      </c>
      <c r="B1155" s="4">
        <v>2005</v>
      </c>
      <c r="C1155" s="4" t="s">
        <v>3269</v>
      </c>
      <c r="D1155" s="4" t="s">
        <v>3270</v>
      </c>
      <c r="E1155" s="4" t="s">
        <v>443</v>
      </c>
      <c r="F1155" s="1" t="s">
        <v>508</v>
      </c>
    </row>
    <row r="1156" spans="1:7" ht="15.75" customHeight="1">
      <c r="A1156" s="4" t="s">
        <v>754</v>
      </c>
      <c r="B1156" s="4">
        <v>2009</v>
      </c>
      <c r="C1156" s="4" t="s">
        <v>3271</v>
      </c>
      <c r="D1156" s="4" t="s">
        <v>3272</v>
      </c>
      <c r="E1156" s="4" t="s">
        <v>443</v>
      </c>
      <c r="F1156" s="1" t="s">
        <v>508</v>
      </c>
    </row>
    <row r="1157" spans="1:7" ht="15.75" customHeight="1">
      <c r="A1157" s="4" t="s">
        <v>754</v>
      </c>
      <c r="B1157" s="4">
        <v>2007</v>
      </c>
      <c r="C1157" s="4" t="s">
        <v>3273</v>
      </c>
      <c r="D1157" s="4" t="s">
        <v>3274</v>
      </c>
      <c r="E1157" s="4" t="s">
        <v>443</v>
      </c>
      <c r="F1157" s="1" t="s">
        <v>508</v>
      </c>
      <c r="G1157" s="4" t="s">
        <v>3275</v>
      </c>
    </row>
    <row r="1158" spans="1:7" ht="15.75" customHeight="1">
      <c r="A1158" s="4" t="s">
        <v>757</v>
      </c>
      <c r="B1158" s="4">
        <v>2008</v>
      </c>
      <c r="C1158" s="4" t="s">
        <v>3276</v>
      </c>
      <c r="D1158" s="4" t="s">
        <v>3277</v>
      </c>
      <c r="E1158" s="4" t="s">
        <v>443</v>
      </c>
      <c r="F1158" s="1" t="s">
        <v>508</v>
      </c>
    </row>
    <row r="1159" spans="1:7" ht="15.75" customHeight="1">
      <c r="A1159" s="4" t="s">
        <v>757</v>
      </c>
      <c r="B1159" s="4">
        <v>2003</v>
      </c>
      <c r="C1159" s="4" t="s">
        <v>3278</v>
      </c>
      <c r="D1159" s="4" t="s">
        <v>3279</v>
      </c>
      <c r="E1159" s="4" t="s">
        <v>443</v>
      </c>
      <c r="F1159" s="1" t="s">
        <v>508</v>
      </c>
    </row>
    <row r="1160" spans="1:7" ht="15.75" customHeight="1">
      <c r="A1160" s="4" t="s">
        <v>757</v>
      </c>
      <c r="B1160" s="4">
        <v>2004</v>
      </c>
      <c r="C1160" s="4" t="s">
        <v>3280</v>
      </c>
      <c r="D1160" s="4" t="s">
        <v>3281</v>
      </c>
      <c r="E1160" s="4" t="s">
        <v>443</v>
      </c>
      <c r="F1160" s="1" t="s">
        <v>508</v>
      </c>
    </row>
    <row r="1161" spans="1:7" ht="15.75" customHeight="1">
      <c r="A1161" s="4" t="s">
        <v>3282</v>
      </c>
      <c r="B1161" s="4">
        <v>2011</v>
      </c>
      <c r="C1161" s="4" t="s">
        <v>3283</v>
      </c>
      <c r="D1161" s="4" t="s">
        <v>3284</v>
      </c>
      <c r="E1161" s="4" t="s">
        <v>443</v>
      </c>
      <c r="F1161" s="1" t="s">
        <v>508</v>
      </c>
    </row>
    <row r="1162" spans="1:7" ht="15.75" customHeight="1">
      <c r="A1162" s="4" t="s">
        <v>3285</v>
      </c>
      <c r="B1162" s="4">
        <v>2016</v>
      </c>
      <c r="C1162" s="4" t="s">
        <v>3286</v>
      </c>
      <c r="D1162" s="4" t="s">
        <v>3287</v>
      </c>
      <c r="E1162" s="4" t="s">
        <v>443</v>
      </c>
      <c r="F1162" s="1" t="s">
        <v>508</v>
      </c>
    </row>
    <row r="1163" spans="1:7" ht="15.75" customHeight="1">
      <c r="A1163" s="4" t="s">
        <v>3288</v>
      </c>
      <c r="B1163" s="4">
        <v>2003</v>
      </c>
      <c r="D1163" s="4" t="s">
        <v>3289</v>
      </c>
      <c r="E1163" s="4" t="s">
        <v>443</v>
      </c>
      <c r="F1163" s="1" t="s">
        <v>1047</v>
      </c>
    </row>
    <row r="1164" spans="1:7" ht="15.75" customHeight="1">
      <c r="A1164" s="4" t="s">
        <v>3290</v>
      </c>
      <c r="B1164" s="4">
        <v>1999</v>
      </c>
      <c r="C1164" s="4" t="s">
        <v>3291</v>
      </c>
      <c r="D1164" s="4" t="s">
        <v>3292</v>
      </c>
      <c r="E1164" s="4" t="s">
        <v>443</v>
      </c>
      <c r="F1164" s="1" t="s">
        <v>508</v>
      </c>
    </row>
    <row r="1165" spans="1:7" ht="15.75" customHeight="1">
      <c r="A1165" s="4" t="s">
        <v>3293</v>
      </c>
      <c r="B1165" s="4">
        <v>1989</v>
      </c>
      <c r="D1165" s="4" t="s">
        <v>3294</v>
      </c>
      <c r="E1165" s="4" t="s">
        <v>443</v>
      </c>
      <c r="F1165" s="1" t="s">
        <v>508</v>
      </c>
    </row>
    <row r="1166" spans="1:7" ht="15.75" customHeight="1">
      <c r="A1166" s="4" t="s">
        <v>3295</v>
      </c>
      <c r="B1166" s="4">
        <v>2002</v>
      </c>
      <c r="D1166" s="4" t="s">
        <v>3296</v>
      </c>
      <c r="E1166" s="4" t="s">
        <v>443</v>
      </c>
      <c r="F1166" s="1" t="s">
        <v>1047</v>
      </c>
    </row>
    <row r="1167" spans="1:7" ht="15.75" customHeight="1">
      <c r="A1167" s="4" t="s">
        <v>3297</v>
      </c>
      <c r="B1167" s="4">
        <v>1989</v>
      </c>
      <c r="C1167" s="4" t="s">
        <v>3298</v>
      </c>
      <c r="D1167" s="4" t="s">
        <v>3299</v>
      </c>
      <c r="E1167" s="4" t="s">
        <v>443</v>
      </c>
      <c r="F1167" s="1" t="s">
        <v>508</v>
      </c>
    </row>
    <row r="1168" spans="1:7" ht="15.75" customHeight="1">
      <c r="A1168" s="4" t="s">
        <v>760</v>
      </c>
      <c r="B1168" s="4">
        <v>2000</v>
      </c>
      <c r="D1168" s="4" t="s">
        <v>3300</v>
      </c>
      <c r="E1168" s="4" t="s">
        <v>443</v>
      </c>
      <c r="F1168" s="1" t="s">
        <v>508</v>
      </c>
    </row>
    <row r="1169" spans="1:6" ht="15.75" customHeight="1">
      <c r="A1169" s="4" t="s">
        <v>3301</v>
      </c>
      <c r="B1169" s="4">
        <v>2012</v>
      </c>
      <c r="C1169" s="4" t="s">
        <v>3302</v>
      </c>
      <c r="D1169" s="4" t="s">
        <v>3303</v>
      </c>
      <c r="E1169" s="4" t="s">
        <v>443</v>
      </c>
      <c r="F1169" s="1" t="s">
        <v>508</v>
      </c>
    </row>
    <row r="1170" spans="1:6" ht="15.75" customHeight="1">
      <c r="A1170" s="4" t="s">
        <v>3304</v>
      </c>
      <c r="B1170" s="4">
        <v>1994</v>
      </c>
      <c r="C1170" s="4" t="s">
        <v>3305</v>
      </c>
      <c r="D1170" s="4" t="s">
        <v>3306</v>
      </c>
      <c r="E1170" s="4" t="s">
        <v>443</v>
      </c>
      <c r="F1170" s="1" t="s">
        <v>508</v>
      </c>
    </row>
    <row r="1171" spans="1:6" ht="15.75" customHeight="1">
      <c r="A1171" s="4" t="s">
        <v>3307</v>
      </c>
      <c r="B1171" s="4">
        <v>2018</v>
      </c>
      <c r="C1171" s="4" t="s">
        <v>3308</v>
      </c>
      <c r="D1171" s="4" t="s">
        <v>3309</v>
      </c>
      <c r="E1171" s="4" t="s">
        <v>443</v>
      </c>
      <c r="F1171" s="1" t="s">
        <v>508</v>
      </c>
    </row>
    <row r="1172" spans="1:6" ht="15.75" customHeight="1">
      <c r="A1172" s="4" t="s">
        <v>3310</v>
      </c>
      <c r="B1172" s="4">
        <v>2009</v>
      </c>
      <c r="C1172" s="4" t="s">
        <v>3311</v>
      </c>
      <c r="D1172" s="4" t="s">
        <v>3312</v>
      </c>
      <c r="E1172" s="4" t="s">
        <v>443</v>
      </c>
      <c r="F1172" s="1" t="s">
        <v>508</v>
      </c>
    </row>
    <row r="1173" spans="1:6" ht="15.75" customHeight="1">
      <c r="A1173" s="4" t="s">
        <v>3313</v>
      </c>
      <c r="B1173" s="4">
        <v>2010</v>
      </c>
      <c r="C1173" s="4" t="s">
        <v>3314</v>
      </c>
      <c r="D1173" s="4" t="s">
        <v>3315</v>
      </c>
      <c r="E1173" s="4" t="s">
        <v>443</v>
      </c>
      <c r="F1173" s="1" t="s">
        <v>508</v>
      </c>
    </row>
    <row r="1174" spans="1:6" ht="15.75" customHeight="1">
      <c r="A1174" s="4" t="s">
        <v>3316</v>
      </c>
      <c r="B1174" s="4">
        <v>2009</v>
      </c>
      <c r="C1174" s="4" t="s">
        <v>3317</v>
      </c>
      <c r="D1174" s="4" t="s">
        <v>3318</v>
      </c>
      <c r="E1174" s="4" t="s">
        <v>443</v>
      </c>
      <c r="F1174" s="1" t="s">
        <v>508</v>
      </c>
    </row>
    <row r="1175" spans="1:6" ht="15.75" customHeight="1">
      <c r="A1175" s="4" t="s">
        <v>766</v>
      </c>
      <c r="B1175" s="4">
        <v>2005</v>
      </c>
      <c r="C1175" s="4" t="s">
        <v>3319</v>
      </c>
      <c r="D1175" s="4" t="s">
        <v>3320</v>
      </c>
      <c r="E1175" s="4" t="s">
        <v>443</v>
      </c>
      <c r="F1175" s="1" t="s">
        <v>508</v>
      </c>
    </row>
    <row r="1176" spans="1:6" ht="15.75" customHeight="1">
      <c r="A1176" s="4" t="s">
        <v>3321</v>
      </c>
      <c r="B1176" s="4">
        <v>2021</v>
      </c>
      <c r="C1176" s="4" t="s">
        <v>3322</v>
      </c>
      <c r="D1176" s="4" t="s">
        <v>3323</v>
      </c>
      <c r="E1176" s="4" t="s">
        <v>443</v>
      </c>
      <c r="F1176" s="1" t="s">
        <v>508</v>
      </c>
    </row>
    <row r="1177" spans="1:6" ht="15.75" customHeight="1">
      <c r="A1177" s="4" t="s">
        <v>769</v>
      </c>
      <c r="B1177" s="4">
        <v>2019</v>
      </c>
      <c r="C1177" s="4" t="s">
        <v>3324</v>
      </c>
      <c r="D1177" s="4" t="s">
        <v>3325</v>
      </c>
      <c r="E1177" s="4" t="s">
        <v>443</v>
      </c>
      <c r="F1177" s="1" t="s">
        <v>508</v>
      </c>
    </row>
    <row r="1178" spans="1:6" ht="15.75" customHeight="1">
      <c r="A1178" s="4" t="s">
        <v>3326</v>
      </c>
      <c r="B1178" s="4">
        <v>2000</v>
      </c>
      <c r="C1178" s="4" t="s">
        <v>3327</v>
      </c>
      <c r="D1178" s="4" t="s">
        <v>3328</v>
      </c>
      <c r="E1178" s="4" t="s">
        <v>443</v>
      </c>
      <c r="F1178" s="1" t="s">
        <v>508</v>
      </c>
    </row>
    <row r="1179" spans="1:6" ht="15.75" customHeight="1">
      <c r="A1179" s="4" t="s">
        <v>3329</v>
      </c>
      <c r="B1179" s="4">
        <v>2008</v>
      </c>
      <c r="D1179" s="4" t="s">
        <v>3330</v>
      </c>
      <c r="E1179" s="4" t="s">
        <v>443</v>
      </c>
      <c r="F1179" s="1" t="s">
        <v>1047</v>
      </c>
    </row>
    <row r="1180" spans="1:6" ht="15.75" customHeight="1">
      <c r="A1180" s="4" t="s">
        <v>3331</v>
      </c>
      <c r="B1180" s="4">
        <v>2018</v>
      </c>
      <c r="C1180" s="4" t="s">
        <v>3332</v>
      </c>
      <c r="D1180" s="4" t="s">
        <v>3333</v>
      </c>
      <c r="E1180" s="4" t="s">
        <v>443</v>
      </c>
      <c r="F1180" s="1" t="s">
        <v>508</v>
      </c>
    </row>
    <row r="1181" spans="1:6" ht="15.75" customHeight="1">
      <c r="A1181" s="4" t="s">
        <v>3334</v>
      </c>
      <c r="B1181" s="4">
        <v>2020</v>
      </c>
      <c r="C1181" s="4" t="s">
        <v>3335</v>
      </c>
      <c r="D1181" s="4" t="s">
        <v>3336</v>
      </c>
      <c r="E1181" s="4" t="s">
        <v>443</v>
      </c>
      <c r="F1181" s="1" t="s">
        <v>508</v>
      </c>
    </row>
    <row r="1182" spans="1:6" ht="15.75" customHeight="1">
      <c r="A1182" s="4" t="s">
        <v>3334</v>
      </c>
      <c r="B1182" s="4">
        <v>2017</v>
      </c>
      <c r="C1182" s="4" t="s">
        <v>3337</v>
      </c>
      <c r="D1182" s="4" t="s">
        <v>3338</v>
      </c>
      <c r="E1182" s="4" t="s">
        <v>443</v>
      </c>
      <c r="F1182" s="1" t="s">
        <v>508</v>
      </c>
    </row>
    <row r="1183" spans="1:6" ht="15.75" customHeight="1">
      <c r="A1183" s="4" t="s">
        <v>775</v>
      </c>
      <c r="B1183" s="4">
        <v>2020</v>
      </c>
      <c r="C1183" s="4" t="s">
        <v>3339</v>
      </c>
      <c r="D1183" s="4" t="s">
        <v>3340</v>
      </c>
      <c r="E1183" s="4" t="s">
        <v>443</v>
      </c>
      <c r="F1183" s="1" t="s">
        <v>508</v>
      </c>
    </row>
    <row r="1184" spans="1:6" ht="15.75" customHeight="1">
      <c r="A1184" s="4" t="s">
        <v>3341</v>
      </c>
      <c r="B1184" s="4">
        <v>2010</v>
      </c>
      <c r="C1184" s="4" t="s">
        <v>3342</v>
      </c>
      <c r="D1184" s="4" t="s">
        <v>3343</v>
      </c>
      <c r="E1184" s="4" t="s">
        <v>443</v>
      </c>
      <c r="F1184" s="1" t="s">
        <v>508</v>
      </c>
    </row>
    <row r="1185" spans="1:6" ht="15.75" customHeight="1">
      <c r="A1185" s="4" t="s">
        <v>3344</v>
      </c>
      <c r="B1185" s="4">
        <v>2011</v>
      </c>
      <c r="C1185" s="4" t="s">
        <v>3345</v>
      </c>
      <c r="D1185" s="4" t="s">
        <v>3346</v>
      </c>
      <c r="E1185" s="4" t="s">
        <v>443</v>
      </c>
      <c r="F1185" s="1" t="s">
        <v>508</v>
      </c>
    </row>
    <row r="1186" spans="1:6" ht="15.75" customHeight="1">
      <c r="A1186" s="4" t="s">
        <v>3347</v>
      </c>
      <c r="B1186" s="4">
        <v>2009</v>
      </c>
      <c r="C1186" s="4" t="s">
        <v>3348</v>
      </c>
      <c r="D1186" s="4" t="s">
        <v>3349</v>
      </c>
      <c r="E1186" s="4" t="s">
        <v>443</v>
      </c>
      <c r="F1186" s="1" t="s">
        <v>508</v>
      </c>
    </row>
    <row r="1187" spans="1:6" ht="15.75" customHeight="1">
      <c r="A1187" s="4" t="s">
        <v>3350</v>
      </c>
      <c r="B1187" s="4">
        <v>2022</v>
      </c>
      <c r="C1187" s="4" t="s">
        <v>3351</v>
      </c>
      <c r="D1187" s="4" t="s">
        <v>3352</v>
      </c>
      <c r="E1187" s="4" t="s">
        <v>443</v>
      </c>
      <c r="F1187" s="1" t="s">
        <v>508</v>
      </c>
    </row>
    <row r="1188" spans="1:6" ht="15.75" customHeight="1">
      <c r="A1188" s="4" t="s">
        <v>3353</v>
      </c>
      <c r="B1188" s="4">
        <v>2004</v>
      </c>
      <c r="C1188" s="4" t="s">
        <v>3354</v>
      </c>
      <c r="D1188" s="4" t="s">
        <v>3355</v>
      </c>
      <c r="E1188" s="4" t="s">
        <v>443</v>
      </c>
      <c r="F1188" s="1" t="s">
        <v>508</v>
      </c>
    </row>
    <row r="1189" spans="1:6" ht="15.75" customHeight="1">
      <c r="A1189" s="4" t="s">
        <v>3356</v>
      </c>
      <c r="B1189" s="4">
        <v>2012</v>
      </c>
      <c r="C1189" s="4" t="s">
        <v>3357</v>
      </c>
      <c r="D1189" s="4" t="s">
        <v>3358</v>
      </c>
      <c r="E1189" s="4" t="s">
        <v>443</v>
      </c>
      <c r="F1189" s="1" t="s">
        <v>508</v>
      </c>
    </row>
    <row r="1190" spans="1:6" ht="15.75" customHeight="1">
      <c r="A1190" s="4" t="s">
        <v>3359</v>
      </c>
      <c r="B1190" s="4">
        <v>2016</v>
      </c>
      <c r="C1190" s="4" t="s">
        <v>3360</v>
      </c>
      <c r="D1190" s="4" t="s">
        <v>3361</v>
      </c>
      <c r="E1190" s="4" t="s">
        <v>443</v>
      </c>
      <c r="F1190" s="1" t="s">
        <v>508</v>
      </c>
    </row>
    <row r="1191" spans="1:6" ht="15.75" customHeight="1">
      <c r="A1191" s="4" t="s">
        <v>780</v>
      </c>
      <c r="B1191" s="4">
        <v>2009</v>
      </c>
      <c r="C1191" s="4" t="s">
        <v>3362</v>
      </c>
      <c r="D1191" s="4" t="s">
        <v>3363</v>
      </c>
      <c r="E1191" s="4" t="s">
        <v>443</v>
      </c>
      <c r="F1191" s="1" t="s">
        <v>508</v>
      </c>
    </row>
    <row r="1192" spans="1:6" ht="15.75" customHeight="1">
      <c r="A1192" s="4" t="s">
        <v>3364</v>
      </c>
      <c r="B1192" s="4">
        <v>2005</v>
      </c>
      <c r="C1192" s="4" t="s">
        <v>3365</v>
      </c>
      <c r="D1192" s="4" t="s">
        <v>3366</v>
      </c>
      <c r="E1192" s="4" t="s">
        <v>443</v>
      </c>
      <c r="F1192" s="1" t="s">
        <v>508</v>
      </c>
    </row>
    <row r="1193" spans="1:6" ht="15.75" customHeight="1">
      <c r="A1193" s="4" t="s">
        <v>3367</v>
      </c>
      <c r="B1193" s="4">
        <v>1992</v>
      </c>
      <c r="C1193" s="4" t="s">
        <v>3368</v>
      </c>
      <c r="D1193" s="4" t="s">
        <v>3369</v>
      </c>
      <c r="E1193" s="4" t="s">
        <v>443</v>
      </c>
      <c r="F1193" s="1" t="s">
        <v>508</v>
      </c>
    </row>
    <row r="1194" spans="1:6" ht="15.75" customHeight="1">
      <c r="A1194" s="4" t="s">
        <v>3370</v>
      </c>
      <c r="B1194" s="4">
        <v>1998</v>
      </c>
      <c r="C1194" s="4" t="s">
        <v>3371</v>
      </c>
      <c r="D1194" s="4" t="s">
        <v>3372</v>
      </c>
      <c r="E1194" s="4" t="s">
        <v>443</v>
      </c>
      <c r="F1194" s="1" t="s">
        <v>508</v>
      </c>
    </row>
    <row r="1195" spans="1:6" ht="15.75" customHeight="1">
      <c r="A1195" s="4" t="s">
        <v>3373</v>
      </c>
      <c r="B1195" s="4">
        <v>1995</v>
      </c>
      <c r="C1195" s="4" t="s">
        <v>3374</v>
      </c>
      <c r="D1195" s="4" t="s">
        <v>3375</v>
      </c>
      <c r="E1195" s="4" t="s">
        <v>443</v>
      </c>
      <c r="F1195" s="1" t="s">
        <v>508</v>
      </c>
    </row>
    <row r="1196" spans="1:6" ht="15.75" customHeight="1">
      <c r="A1196" s="4" t="s">
        <v>3376</v>
      </c>
      <c r="B1196" s="4">
        <v>2006</v>
      </c>
      <c r="C1196" s="4" t="s">
        <v>3377</v>
      </c>
      <c r="D1196" s="4" t="s">
        <v>3378</v>
      </c>
      <c r="E1196" s="4" t="s">
        <v>443</v>
      </c>
      <c r="F1196" s="1" t="s">
        <v>508</v>
      </c>
    </row>
    <row r="1197" spans="1:6" ht="15.75" customHeight="1">
      <c r="A1197" s="4" t="s">
        <v>3379</v>
      </c>
      <c r="B1197" s="4">
        <v>2003</v>
      </c>
      <c r="D1197" s="4" t="s">
        <v>3380</v>
      </c>
      <c r="E1197" s="4" t="s">
        <v>443</v>
      </c>
      <c r="F1197" s="1" t="s">
        <v>508</v>
      </c>
    </row>
    <row r="1198" spans="1:6" ht="15.75" customHeight="1">
      <c r="A1198" s="4" t="s">
        <v>3381</v>
      </c>
      <c r="B1198" s="4">
        <v>1992</v>
      </c>
      <c r="D1198" s="4" t="s">
        <v>3382</v>
      </c>
      <c r="E1198" s="4" t="s">
        <v>443</v>
      </c>
      <c r="F1198" s="1" t="s">
        <v>1047</v>
      </c>
    </row>
    <row r="1199" spans="1:6" ht="15.75" customHeight="1">
      <c r="A1199" s="4" t="s">
        <v>3383</v>
      </c>
      <c r="B1199" s="4">
        <v>2012</v>
      </c>
      <c r="C1199" s="4" t="s">
        <v>3384</v>
      </c>
      <c r="D1199" s="4" t="s">
        <v>3385</v>
      </c>
      <c r="E1199" s="4" t="s">
        <v>443</v>
      </c>
      <c r="F1199" s="1" t="s">
        <v>508</v>
      </c>
    </row>
    <row r="1200" spans="1:6" ht="15.75" customHeight="1">
      <c r="A1200" s="4" t="s">
        <v>3386</v>
      </c>
      <c r="B1200" s="4">
        <v>2019</v>
      </c>
      <c r="C1200" s="4" t="s">
        <v>3387</v>
      </c>
      <c r="D1200" s="4" t="s">
        <v>3388</v>
      </c>
      <c r="E1200" s="4" t="s">
        <v>443</v>
      </c>
      <c r="F1200" s="1" t="s">
        <v>508</v>
      </c>
    </row>
    <row r="1201" spans="1:6" ht="15.75" customHeight="1">
      <c r="A1201" s="4" t="s">
        <v>3389</v>
      </c>
      <c r="B1201" s="4">
        <v>2005</v>
      </c>
      <c r="C1201" s="4" t="s">
        <v>3390</v>
      </c>
      <c r="D1201" s="4" t="s">
        <v>3391</v>
      </c>
      <c r="E1201" s="4" t="s">
        <v>443</v>
      </c>
      <c r="F1201" s="1" t="s">
        <v>508</v>
      </c>
    </row>
    <row r="1202" spans="1:6" ht="15.75" customHeight="1">
      <c r="A1202" s="4" t="s">
        <v>3392</v>
      </c>
      <c r="B1202" s="4">
        <v>2007</v>
      </c>
      <c r="C1202" s="4" t="s">
        <v>3393</v>
      </c>
      <c r="D1202" s="4" t="s">
        <v>3394</v>
      </c>
      <c r="E1202" s="4" t="s">
        <v>443</v>
      </c>
      <c r="F1202" s="1" t="s">
        <v>508</v>
      </c>
    </row>
    <row r="1203" spans="1:6" ht="15.75" customHeight="1">
      <c r="A1203" s="4" t="s">
        <v>3395</v>
      </c>
      <c r="B1203" s="4">
        <v>2018</v>
      </c>
      <c r="C1203" s="4" t="s">
        <v>3396</v>
      </c>
      <c r="D1203" s="4" t="s">
        <v>3397</v>
      </c>
      <c r="E1203" s="4" t="s">
        <v>443</v>
      </c>
      <c r="F1203" s="1" t="s">
        <v>508</v>
      </c>
    </row>
    <row r="1204" spans="1:6" ht="15.75" customHeight="1">
      <c r="A1204" s="4" t="s">
        <v>786</v>
      </c>
      <c r="B1204" s="4">
        <v>2004</v>
      </c>
      <c r="C1204" s="4" t="s">
        <v>3398</v>
      </c>
      <c r="D1204" s="4" t="s">
        <v>3399</v>
      </c>
      <c r="E1204" s="4" t="s">
        <v>443</v>
      </c>
      <c r="F1204" s="1" t="s">
        <v>508</v>
      </c>
    </row>
    <row r="1205" spans="1:6" ht="15.75" customHeight="1">
      <c r="A1205" s="4" t="s">
        <v>3400</v>
      </c>
      <c r="B1205" s="4">
        <v>2011</v>
      </c>
      <c r="D1205" s="4" t="s">
        <v>3401</v>
      </c>
      <c r="E1205" s="4" t="s">
        <v>443</v>
      </c>
      <c r="F1205" s="1" t="s">
        <v>508</v>
      </c>
    </row>
    <row r="1206" spans="1:6" ht="15.75" customHeight="1">
      <c r="A1206" s="4" t="s">
        <v>3402</v>
      </c>
      <c r="B1206" s="4">
        <v>2012</v>
      </c>
      <c r="C1206" s="4" t="s">
        <v>3403</v>
      </c>
      <c r="D1206" s="4" t="s">
        <v>3404</v>
      </c>
      <c r="E1206" s="4" t="s">
        <v>443</v>
      </c>
      <c r="F1206" s="1" t="s">
        <v>508</v>
      </c>
    </row>
    <row r="1207" spans="1:6" ht="15.75" customHeight="1">
      <c r="A1207" s="4" t="s">
        <v>3402</v>
      </c>
      <c r="B1207" s="4">
        <v>2010</v>
      </c>
      <c r="C1207" s="4" t="s">
        <v>3405</v>
      </c>
      <c r="D1207" s="4" t="s">
        <v>3406</v>
      </c>
      <c r="E1207" s="4" t="s">
        <v>443</v>
      </c>
      <c r="F1207" s="1" t="s">
        <v>508</v>
      </c>
    </row>
    <row r="1208" spans="1:6" ht="15.75" customHeight="1">
      <c r="A1208" s="4" t="s">
        <v>3407</v>
      </c>
      <c r="B1208" s="4">
        <v>2015</v>
      </c>
      <c r="C1208" s="4" t="s">
        <v>3408</v>
      </c>
      <c r="D1208" s="4" t="s">
        <v>3409</v>
      </c>
      <c r="E1208" s="4" t="s">
        <v>443</v>
      </c>
      <c r="F1208" s="1" t="s">
        <v>508</v>
      </c>
    </row>
    <row r="1209" spans="1:6" ht="15.75" customHeight="1">
      <c r="A1209" s="4" t="s">
        <v>3410</v>
      </c>
      <c r="B1209" s="4">
        <v>2021</v>
      </c>
      <c r="C1209" s="4" t="s">
        <v>3411</v>
      </c>
      <c r="D1209" s="4" t="s">
        <v>3412</v>
      </c>
      <c r="E1209" s="4" t="s">
        <v>443</v>
      </c>
      <c r="F1209" s="1" t="s">
        <v>508</v>
      </c>
    </row>
    <row r="1210" spans="1:6" ht="15.75" customHeight="1">
      <c r="A1210" s="4" t="s">
        <v>3413</v>
      </c>
      <c r="B1210" s="4">
        <v>2020</v>
      </c>
      <c r="C1210" s="4" t="s">
        <v>3414</v>
      </c>
      <c r="D1210" s="4" t="s">
        <v>3415</v>
      </c>
      <c r="E1210" s="4" t="s">
        <v>443</v>
      </c>
      <c r="F1210" s="1" t="s">
        <v>508</v>
      </c>
    </row>
    <row r="1211" spans="1:6" ht="15.75" customHeight="1">
      <c r="A1211" s="4" t="s">
        <v>151</v>
      </c>
      <c r="B1211" s="4">
        <v>2015</v>
      </c>
      <c r="C1211" s="4" t="s">
        <v>3416</v>
      </c>
      <c r="D1211" s="4" t="s">
        <v>3417</v>
      </c>
      <c r="E1211" s="4" t="s">
        <v>443</v>
      </c>
      <c r="F1211" s="1" t="s">
        <v>1047</v>
      </c>
    </row>
    <row r="1212" spans="1:6" ht="15.75" customHeight="1">
      <c r="A1212" s="4" t="s">
        <v>151</v>
      </c>
      <c r="B1212" s="4">
        <v>2020</v>
      </c>
      <c r="C1212" s="4" t="s">
        <v>3418</v>
      </c>
      <c r="D1212" s="4" t="s">
        <v>3419</v>
      </c>
      <c r="E1212" s="4" t="s">
        <v>443</v>
      </c>
      <c r="F1212" s="1" t="s">
        <v>508</v>
      </c>
    </row>
    <row r="1213" spans="1:6" ht="15.75" customHeight="1">
      <c r="A1213" s="4" t="s">
        <v>151</v>
      </c>
      <c r="B1213" s="4">
        <v>2016</v>
      </c>
      <c r="C1213" s="4" t="s">
        <v>3420</v>
      </c>
      <c r="D1213" s="4" t="s">
        <v>3421</v>
      </c>
      <c r="E1213" s="4" t="s">
        <v>443</v>
      </c>
      <c r="F1213" s="1" t="s">
        <v>1047</v>
      </c>
    </row>
    <row r="1214" spans="1:6" ht="15.75" customHeight="1">
      <c r="A1214" s="4" t="s">
        <v>151</v>
      </c>
      <c r="B1214" s="4">
        <v>2015</v>
      </c>
      <c r="C1214" s="4" t="s">
        <v>3422</v>
      </c>
      <c r="D1214" s="4" t="s">
        <v>3423</v>
      </c>
      <c r="E1214" s="4" t="s">
        <v>443</v>
      </c>
      <c r="F1214" s="1" t="s">
        <v>1047</v>
      </c>
    </row>
    <row r="1215" spans="1:6" ht="15.75" customHeight="1">
      <c r="A1215" s="4" t="s">
        <v>151</v>
      </c>
      <c r="B1215" s="4">
        <v>2019</v>
      </c>
      <c r="C1215" s="4" t="s">
        <v>3424</v>
      </c>
      <c r="D1215" s="4" t="s">
        <v>3425</v>
      </c>
      <c r="E1215" s="4" t="s">
        <v>443</v>
      </c>
      <c r="F1215" s="1" t="s">
        <v>508</v>
      </c>
    </row>
    <row r="1216" spans="1:6" ht="15.75" customHeight="1">
      <c r="A1216" s="4" t="s">
        <v>151</v>
      </c>
      <c r="B1216" s="4">
        <v>2015</v>
      </c>
      <c r="C1216" s="4" t="s">
        <v>3426</v>
      </c>
      <c r="D1216" s="4" t="s">
        <v>3427</v>
      </c>
      <c r="E1216" s="4" t="s">
        <v>443</v>
      </c>
      <c r="F1216" s="1" t="s">
        <v>508</v>
      </c>
    </row>
    <row r="1217" spans="1:6" ht="15.75" customHeight="1">
      <c r="A1217" s="4" t="s">
        <v>151</v>
      </c>
      <c r="B1217" s="4">
        <v>2020</v>
      </c>
      <c r="C1217" s="4" t="s">
        <v>3428</v>
      </c>
      <c r="D1217" s="4" t="s">
        <v>3429</v>
      </c>
      <c r="E1217" s="4" t="s">
        <v>443</v>
      </c>
      <c r="F1217" s="1" t="s">
        <v>508</v>
      </c>
    </row>
    <row r="1218" spans="1:6" ht="15.75" customHeight="1">
      <c r="A1218" s="4" t="s">
        <v>151</v>
      </c>
      <c r="B1218" s="4">
        <v>2009</v>
      </c>
      <c r="C1218" s="4" t="s">
        <v>3430</v>
      </c>
      <c r="D1218" s="4" t="s">
        <v>3431</v>
      </c>
      <c r="E1218" s="4" t="s">
        <v>443</v>
      </c>
      <c r="F1218" s="1" t="s">
        <v>508</v>
      </c>
    </row>
    <row r="1219" spans="1:6" ht="15.75" customHeight="1">
      <c r="A1219" s="4" t="s">
        <v>3432</v>
      </c>
      <c r="B1219" s="4">
        <v>2016</v>
      </c>
      <c r="C1219" s="4" t="s">
        <v>3433</v>
      </c>
      <c r="D1219" s="4" t="s">
        <v>3434</v>
      </c>
      <c r="E1219" s="4" t="s">
        <v>443</v>
      </c>
      <c r="F1219" s="1" t="s">
        <v>508</v>
      </c>
    </row>
    <row r="1220" spans="1:6" ht="15.75" customHeight="1">
      <c r="A1220" s="4" t="s">
        <v>3435</v>
      </c>
      <c r="B1220" s="4">
        <v>2007</v>
      </c>
      <c r="C1220" s="4" t="s">
        <v>3436</v>
      </c>
      <c r="D1220" s="4" t="s">
        <v>3437</v>
      </c>
      <c r="E1220" s="4" t="s">
        <v>443</v>
      </c>
      <c r="F1220" s="1" t="s">
        <v>508</v>
      </c>
    </row>
    <row r="1221" spans="1:6" ht="15.75" customHeight="1">
      <c r="A1221" s="4" t="s">
        <v>3438</v>
      </c>
      <c r="B1221" s="4">
        <v>2014</v>
      </c>
      <c r="C1221" s="4" t="s">
        <v>3439</v>
      </c>
      <c r="D1221" s="4" t="s">
        <v>3440</v>
      </c>
      <c r="E1221" s="4" t="s">
        <v>443</v>
      </c>
      <c r="F1221" s="1" t="s">
        <v>508</v>
      </c>
    </row>
    <row r="1222" spans="1:6" ht="15.75" customHeight="1">
      <c r="A1222" s="4" t="s">
        <v>3441</v>
      </c>
      <c r="B1222" s="4">
        <v>2008</v>
      </c>
      <c r="C1222" s="4" t="s">
        <v>3442</v>
      </c>
      <c r="D1222" s="4" t="s">
        <v>3443</v>
      </c>
      <c r="E1222" s="4" t="s">
        <v>443</v>
      </c>
      <c r="F1222" s="1" t="s">
        <v>508</v>
      </c>
    </row>
    <row r="1223" spans="1:6" ht="15.75" customHeight="1">
      <c r="A1223" s="4" t="s">
        <v>3441</v>
      </c>
      <c r="B1223" s="4">
        <v>2002</v>
      </c>
      <c r="C1223" s="4" t="s">
        <v>3444</v>
      </c>
      <c r="D1223" s="4" t="s">
        <v>3445</v>
      </c>
      <c r="E1223" s="4" t="s">
        <v>443</v>
      </c>
      <c r="F1223" s="1" t="s">
        <v>508</v>
      </c>
    </row>
    <row r="1224" spans="1:6" ht="15.75" customHeight="1">
      <c r="A1224" s="4" t="s">
        <v>3441</v>
      </c>
      <c r="B1224" s="4">
        <v>2004</v>
      </c>
      <c r="C1224" s="4" t="s">
        <v>3446</v>
      </c>
      <c r="D1224" s="4" t="s">
        <v>3447</v>
      </c>
      <c r="E1224" s="4" t="s">
        <v>443</v>
      </c>
      <c r="F1224" s="1" t="s">
        <v>508</v>
      </c>
    </row>
    <row r="1225" spans="1:6" ht="15.75" customHeight="1">
      <c r="A1225" s="4" t="s">
        <v>3441</v>
      </c>
      <c r="B1225" s="4">
        <v>2001</v>
      </c>
      <c r="C1225" s="4" t="s">
        <v>3448</v>
      </c>
      <c r="D1225" s="4" t="s">
        <v>3449</v>
      </c>
      <c r="E1225" s="4" t="s">
        <v>443</v>
      </c>
      <c r="F1225" s="1" t="s">
        <v>508</v>
      </c>
    </row>
    <row r="1226" spans="1:6" ht="15.75" customHeight="1">
      <c r="A1226" s="4" t="s">
        <v>3450</v>
      </c>
      <c r="B1226" s="4">
        <v>2001</v>
      </c>
      <c r="D1226" s="4" t="s">
        <v>3451</v>
      </c>
      <c r="E1226" s="4" t="s">
        <v>443</v>
      </c>
      <c r="F1226" s="1" t="s">
        <v>508</v>
      </c>
    </row>
    <row r="1227" spans="1:6" ht="15.75" customHeight="1">
      <c r="A1227" s="4" t="s">
        <v>155</v>
      </c>
      <c r="B1227" s="4">
        <v>1999</v>
      </c>
      <c r="C1227" s="4" t="s">
        <v>3452</v>
      </c>
      <c r="D1227" s="4" t="s">
        <v>3453</v>
      </c>
      <c r="E1227" s="4" t="s">
        <v>443</v>
      </c>
      <c r="F1227" s="1" t="s">
        <v>508</v>
      </c>
    </row>
    <row r="1228" spans="1:6" ht="15.75" customHeight="1">
      <c r="A1228" s="4" t="s">
        <v>155</v>
      </c>
      <c r="B1228" s="4">
        <v>2005</v>
      </c>
      <c r="C1228" s="4" t="s">
        <v>3454</v>
      </c>
      <c r="D1228" s="4" t="s">
        <v>3455</v>
      </c>
      <c r="E1228" s="4" t="s">
        <v>443</v>
      </c>
      <c r="F1228" s="1" t="s">
        <v>508</v>
      </c>
    </row>
    <row r="1229" spans="1:6" ht="15.75" customHeight="1">
      <c r="A1229" s="4" t="s">
        <v>3456</v>
      </c>
      <c r="B1229" s="4">
        <v>2005</v>
      </c>
      <c r="D1229" s="4" t="s">
        <v>3457</v>
      </c>
      <c r="E1229" s="4" t="s">
        <v>443</v>
      </c>
      <c r="F1229" s="1" t="s">
        <v>508</v>
      </c>
    </row>
    <row r="1230" spans="1:6" ht="15.75" customHeight="1">
      <c r="A1230" s="4" t="s">
        <v>3458</v>
      </c>
      <c r="B1230" s="4">
        <v>1997</v>
      </c>
      <c r="C1230" s="4" t="s">
        <v>3459</v>
      </c>
      <c r="D1230" s="4" t="s">
        <v>3460</v>
      </c>
      <c r="E1230" s="4" t="s">
        <v>443</v>
      </c>
      <c r="F1230" s="2" t="s">
        <v>508</v>
      </c>
    </row>
    <row r="1231" spans="1:6" ht="15.75" customHeight="1">
      <c r="A1231" s="4" t="s">
        <v>3461</v>
      </c>
      <c r="B1231" s="4">
        <v>1992</v>
      </c>
      <c r="D1231" s="4" t="s">
        <v>3462</v>
      </c>
      <c r="E1231" s="4" t="s">
        <v>443</v>
      </c>
      <c r="F1231" s="1" t="s">
        <v>1047</v>
      </c>
    </row>
    <row r="1232" spans="1:6" ht="15.75" customHeight="1">
      <c r="A1232" s="4" t="s">
        <v>3463</v>
      </c>
      <c r="B1232" s="4">
        <v>2021</v>
      </c>
      <c r="C1232" s="4" t="s">
        <v>3464</v>
      </c>
      <c r="D1232" s="4" t="s">
        <v>3465</v>
      </c>
      <c r="E1232" s="4" t="s">
        <v>443</v>
      </c>
      <c r="F1232" s="1" t="s">
        <v>508</v>
      </c>
    </row>
    <row r="1233" spans="1:6" ht="15.75" customHeight="1">
      <c r="A1233" s="4" t="s">
        <v>3466</v>
      </c>
      <c r="B1233" s="4">
        <v>1990</v>
      </c>
      <c r="C1233" s="4" t="s">
        <v>3467</v>
      </c>
      <c r="D1233" s="4" t="s">
        <v>3468</v>
      </c>
      <c r="E1233" s="4" t="s">
        <v>443</v>
      </c>
      <c r="F1233" s="1" t="s">
        <v>508</v>
      </c>
    </row>
    <row r="1234" spans="1:6" ht="15.75" customHeight="1">
      <c r="A1234" s="4" t="s">
        <v>3466</v>
      </c>
      <c r="B1234" s="4">
        <v>1992</v>
      </c>
      <c r="C1234" s="4" t="s">
        <v>3469</v>
      </c>
      <c r="D1234" s="4" t="s">
        <v>3470</v>
      </c>
      <c r="E1234" s="4" t="s">
        <v>443</v>
      </c>
      <c r="F1234" s="1" t="s">
        <v>508</v>
      </c>
    </row>
    <row r="1235" spans="1:6" ht="15.75" customHeight="1">
      <c r="A1235" s="4" t="s">
        <v>3466</v>
      </c>
      <c r="B1235" s="4">
        <v>1990</v>
      </c>
      <c r="C1235" s="4" t="s">
        <v>3471</v>
      </c>
      <c r="D1235" s="4" t="s">
        <v>3472</v>
      </c>
      <c r="E1235" s="4" t="s">
        <v>443</v>
      </c>
      <c r="F1235" s="1" t="s">
        <v>508</v>
      </c>
    </row>
    <row r="1236" spans="1:6" ht="15.75" customHeight="1">
      <c r="A1236" s="4" t="s">
        <v>3473</v>
      </c>
      <c r="B1236" s="4">
        <v>2020</v>
      </c>
      <c r="C1236" s="4" t="s">
        <v>3474</v>
      </c>
      <c r="D1236" s="4" t="s">
        <v>3475</v>
      </c>
      <c r="E1236" s="4" t="s">
        <v>443</v>
      </c>
      <c r="F1236" s="1" t="s">
        <v>508</v>
      </c>
    </row>
    <row r="1237" spans="1:6" ht="15.75" customHeight="1">
      <c r="A1237" s="4" t="s">
        <v>3476</v>
      </c>
      <c r="B1237" s="4">
        <v>2010</v>
      </c>
      <c r="C1237" s="4" t="s">
        <v>3477</v>
      </c>
      <c r="D1237" s="4" t="s">
        <v>3478</v>
      </c>
      <c r="E1237" s="4" t="s">
        <v>443</v>
      </c>
      <c r="F1237" s="1" t="s">
        <v>1047</v>
      </c>
    </row>
    <row r="1238" spans="1:6" ht="15.75" customHeight="1">
      <c r="A1238" s="4" t="s">
        <v>3476</v>
      </c>
      <c r="B1238" s="4">
        <v>2017</v>
      </c>
      <c r="C1238" s="4" t="s">
        <v>3479</v>
      </c>
      <c r="D1238" s="4" t="s">
        <v>3480</v>
      </c>
      <c r="E1238" s="4" t="s">
        <v>443</v>
      </c>
      <c r="F1238" s="1" t="s">
        <v>508</v>
      </c>
    </row>
    <row r="1239" spans="1:6" ht="15.75" customHeight="1">
      <c r="A1239" s="4" t="s">
        <v>3481</v>
      </c>
      <c r="B1239" s="4">
        <v>2008</v>
      </c>
      <c r="C1239" s="4" t="s">
        <v>3482</v>
      </c>
      <c r="D1239" s="4" t="s">
        <v>3483</v>
      </c>
      <c r="E1239" s="4" t="s">
        <v>443</v>
      </c>
      <c r="F1239" s="1" t="s">
        <v>508</v>
      </c>
    </row>
    <row r="1240" spans="1:6" ht="15.75" customHeight="1">
      <c r="A1240" s="4" t="s">
        <v>3484</v>
      </c>
      <c r="B1240" s="4">
        <v>1992</v>
      </c>
      <c r="C1240" s="4" t="s">
        <v>3485</v>
      </c>
      <c r="D1240" s="4" t="s">
        <v>3486</v>
      </c>
      <c r="E1240" s="4" t="s">
        <v>443</v>
      </c>
      <c r="F1240" s="1" t="s">
        <v>508</v>
      </c>
    </row>
    <row r="1241" spans="1:6" ht="15.75" customHeight="1">
      <c r="A1241" s="4" t="s">
        <v>3487</v>
      </c>
      <c r="B1241" s="4">
        <v>1996</v>
      </c>
      <c r="C1241" s="4" t="s">
        <v>3488</v>
      </c>
      <c r="D1241" s="4" t="s">
        <v>3489</v>
      </c>
      <c r="E1241" s="4" t="s">
        <v>443</v>
      </c>
      <c r="F1241" s="1" t="s">
        <v>508</v>
      </c>
    </row>
    <row r="1242" spans="1:6" ht="15.75" customHeight="1">
      <c r="A1242" s="4" t="s">
        <v>3487</v>
      </c>
      <c r="B1242" s="4">
        <v>1997</v>
      </c>
      <c r="C1242" s="4" t="s">
        <v>3490</v>
      </c>
      <c r="D1242" s="4" t="s">
        <v>3491</v>
      </c>
      <c r="E1242" s="4" t="s">
        <v>443</v>
      </c>
      <c r="F1242" s="1" t="s">
        <v>508</v>
      </c>
    </row>
    <row r="1243" spans="1:6" ht="15.75" customHeight="1">
      <c r="A1243" s="4" t="s">
        <v>3492</v>
      </c>
      <c r="B1243" s="4">
        <v>2005</v>
      </c>
      <c r="C1243" s="4" t="s">
        <v>3493</v>
      </c>
      <c r="D1243" s="4" t="s">
        <v>3494</v>
      </c>
      <c r="E1243" s="4" t="s">
        <v>443</v>
      </c>
      <c r="F1243" s="1" t="s">
        <v>508</v>
      </c>
    </row>
    <row r="1244" spans="1:6" ht="15.75" customHeight="1">
      <c r="A1244" s="4" t="s">
        <v>3492</v>
      </c>
      <c r="B1244" s="4">
        <v>2002</v>
      </c>
      <c r="C1244" s="4" t="s">
        <v>3495</v>
      </c>
      <c r="D1244" s="4" t="s">
        <v>3496</v>
      </c>
      <c r="E1244" s="4" t="s">
        <v>443</v>
      </c>
      <c r="F1244" s="1" t="s">
        <v>508</v>
      </c>
    </row>
    <row r="1245" spans="1:6" ht="15.75" customHeight="1">
      <c r="A1245" s="4" t="s">
        <v>3497</v>
      </c>
      <c r="B1245" s="4">
        <v>2014</v>
      </c>
      <c r="C1245" s="4" t="s">
        <v>3498</v>
      </c>
      <c r="D1245" s="4" t="s">
        <v>3499</v>
      </c>
      <c r="E1245" s="4" t="s">
        <v>443</v>
      </c>
      <c r="F1245" s="1" t="s">
        <v>508</v>
      </c>
    </row>
    <row r="1246" spans="1:6" ht="15.75" customHeight="1">
      <c r="A1246" s="4" t="s">
        <v>3500</v>
      </c>
      <c r="B1246" s="4">
        <v>2007</v>
      </c>
      <c r="C1246" s="4" t="s">
        <v>3501</v>
      </c>
      <c r="D1246" s="4" t="s">
        <v>3502</v>
      </c>
      <c r="E1246" s="4" t="s">
        <v>443</v>
      </c>
      <c r="F1246" s="1" t="s">
        <v>508</v>
      </c>
    </row>
    <row r="1247" spans="1:6" ht="15.75" customHeight="1">
      <c r="A1247" s="4" t="s">
        <v>3503</v>
      </c>
      <c r="B1247" s="4">
        <v>2012</v>
      </c>
      <c r="C1247" s="4" t="s">
        <v>3504</v>
      </c>
      <c r="D1247" s="4" t="s">
        <v>3505</v>
      </c>
      <c r="E1247" s="4" t="s">
        <v>443</v>
      </c>
      <c r="F1247" s="1" t="s">
        <v>508</v>
      </c>
    </row>
    <row r="1248" spans="1:6" ht="15.75" customHeight="1">
      <c r="A1248" s="4" t="s">
        <v>3506</v>
      </c>
      <c r="B1248" s="4">
        <v>2003</v>
      </c>
      <c r="D1248" s="4" t="s">
        <v>3507</v>
      </c>
      <c r="E1248" s="4" t="s">
        <v>443</v>
      </c>
      <c r="F1248" s="1" t="s">
        <v>1047</v>
      </c>
    </row>
    <row r="1249" spans="1:6" ht="15.75" customHeight="1">
      <c r="A1249" s="4" t="s">
        <v>3508</v>
      </c>
      <c r="B1249" s="4">
        <v>2003</v>
      </c>
      <c r="C1249" s="4" t="s">
        <v>3509</v>
      </c>
      <c r="D1249" s="4" t="s">
        <v>3510</v>
      </c>
      <c r="E1249" s="4" t="s">
        <v>443</v>
      </c>
      <c r="F1249" s="1" t="s">
        <v>508</v>
      </c>
    </row>
    <row r="1250" spans="1:6" ht="15.75" customHeight="1">
      <c r="A1250" s="4" t="s">
        <v>3511</v>
      </c>
      <c r="B1250" s="4">
        <v>2006</v>
      </c>
      <c r="C1250" s="4" t="s">
        <v>3512</v>
      </c>
      <c r="D1250" s="4" t="s">
        <v>3513</v>
      </c>
      <c r="E1250" s="4" t="s">
        <v>443</v>
      </c>
      <c r="F1250" s="1" t="s">
        <v>508</v>
      </c>
    </row>
    <row r="1251" spans="1:6" ht="15.75" customHeight="1">
      <c r="A1251" s="4" t="s">
        <v>3514</v>
      </c>
      <c r="B1251" s="4">
        <v>2016</v>
      </c>
      <c r="C1251" s="4" t="s">
        <v>3515</v>
      </c>
      <c r="D1251" s="4" t="s">
        <v>3516</v>
      </c>
      <c r="E1251" s="4" t="s">
        <v>443</v>
      </c>
      <c r="F1251" s="1" t="s">
        <v>508</v>
      </c>
    </row>
    <row r="1252" spans="1:6" ht="15.75" customHeight="1">
      <c r="A1252" s="4" t="s">
        <v>3517</v>
      </c>
      <c r="B1252" s="4">
        <v>2021</v>
      </c>
      <c r="C1252" s="4" t="s">
        <v>3518</v>
      </c>
      <c r="D1252" s="4" t="s">
        <v>3519</v>
      </c>
      <c r="E1252" s="4" t="s">
        <v>443</v>
      </c>
      <c r="F1252" s="1" t="s">
        <v>508</v>
      </c>
    </row>
    <row r="1253" spans="1:6" ht="15.75" customHeight="1">
      <c r="A1253" s="4" t="s">
        <v>3520</v>
      </c>
      <c r="B1253" s="4">
        <v>2002</v>
      </c>
      <c r="C1253" s="4" t="s">
        <v>3521</v>
      </c>
      <c r="D1253" s="4" t="s">
        <v>3522</v>
      </c>
      <c r="E1253" s="4" t="s">
        <v>443</v>
      </c>
      <c r="F1253" s="1" t="s">
        <v>508</v>
      </c>
    </row>
    <row r="1254" spans="1:6" ht="15.75" customHeight="1">
      <c r="A1254" s="4" t="s">
        <v>3523</v>
      </c>
      <c r="B1254" s="4">
        <v>2019</v>
      </c>
      <c r="C1254" s="4" t="s">
        <v>3524</v>
      </c>
      <c r="D1254" s="4" t="s">
        <v>3525</v>
      </c>
      <c r="E1254" s="4" t="s">
        <v>443</v>
      </c>
      <c r="F1254" s="1" t="s">
        <v>508</v>
      </c>
    </row>
    <row r="1255" spans="1:6" ht="15.75" customHeight="1">
      <c r="A1255" s="4" t="s">
        <v>3526</v>
      </c>
      <c r="B1255" s="4">
        <v>2019</v>
      </c>
      <c r="C1255" s="4" t="s">
        <v>3527</v>
      </c>
      <c r="D1255" s="4" t="s">
        <v>3528</v>
      </c>
      <c r="E1255" s="4" t="s">
        <v>443</v>
      </c>
      <c r="F1255" s="1" t="s">
        <v>508</v>
      </c>
    </row>
    <row r="1256" spans="1:6" ht="15.75" customHeight="1">
      <c r="A1256" s="4" t="s">
        <v>3529</v>
      </c>
      <c r="B1256" s="4">
        <v>2004</v>
      </c>
      <c r="C1256" s="4" t="s">
        <v>3530</v>
      </c>
      <c r="D1256" s="4" t="s">
        <v>3531</v>
      </c>
      <c r="E1256" s="4" t="s">
        <v>443</v>
      </c>
      <c r="F1256" s="1" t="s">
        <v>508</v>
      </c>
    </row>
    <row r="1257" spans="1:6" ht="15.75" customHeight="1">
      <c r="A1257" s="4" t="s">
        <v>3532</v>
      </c>
      <c r="B1257" s="4">
        <v>2017</v>
      </c>
      <c r="C1257" s="4" t="s">
        <v>3533</v>
      </c>
      <c r="D1257" s="4" t="s">
        <v>3534</v>
      </c>
      <c r="E1257" s="4" t="s">
        <v>443</v>
      </c>
      <c r="F1257" s="1" t="s">
        <v>508</v>
      </c>
    </row>
    <row r="1258" spans="1:6" ht="15.75" customHeight="1">
      <c r="A1258" s="4" t="s">
        <v>3535</v>
      </c>
      <c r="B1258" s="4">
        <v>1999</v>
      </c>
      <c r="C1258" s="4" t="s">
        <v>3536</v>
      </c>
      <c r="D1258" s="4" t="s">
        <v>3537</v>
      </c>
      <c r="E1258" s="4" t="s">
        <v>443</v>
      </c>
      <c r="F1258" s="1" t="s">
        <v>508</v>
      </c>
    </row>
    <row r="1259" spans="1:6" ht="15.75" customHeight="1">
      <c r="A1259" s="4" t="s">
        <v>267</v>
      </c>
      <c r="B1259" s="4">
        <v>2018</v>
      </c>
      <c r="C1259" s="4" t="s">
        <v>3538</v>
      </c>
      <c r="D1259" s="4" t="s">
        <v>3539</v>
      </c>
      <c r="E1259" s="4" t="s">
        <v>443</v>
      </c>
      <c r="F1259" s="1" t="s">
        <v>508</v>
      </c>
    </row>
    <row r="1260" spans="1:6" ht="15.75" customHeight="1">
      <c r="A1260" s="4" t="s">
        <v>3540</v>
      </c>
      <c r="B1260" s="4">
        <v>2001</v>
      </c>
      <c r="C1260" s="4" t="s">
        <v>3541</v>
      </c>
      <c r="D1260" s="4" t="s">
        <v>3542</v>
      </c>
      <c r="E1260" s="4" t="s">
        <v>443</v>
      </c>
      <c r="F1260" s="1" t="s">
        <v>508</v>
      </c>
    </row>
    <row r="1261" spans="1:6" ht="15.75" customHeight="1">
      <c r="A1261" s="4" t="s">
        <v>3543</v>
      </c>
      <c r="B1261" s="4">
        <v>2009</v>
      </c>
      <c r="C1261" s="4" t="s">
        <v>3544</v>
      </c>
      <c r="D1261" s="4" t="s">
        <v>3545</v>
      </c>
      <c r="E1261" s="4" t="s">
        <v>443</v>
      </c>
      <c r="F1261" s="1" t="s">
        <v>508</v>
      </c>
    </row>
    <row r="1262" spans="1:6" ht="15.75" customHeight="1">
      <c r="A1262" s="4" t="s">
        <v>3546</v>
      </c>
      <c r="B1262" s="4">
        <v>1999</v>
      </c>
      <c r="C1262" s="4" t="s">
        <v>3547</v>
      </c>
      <c r="D1262" s="4" t="s">
        <v>3548</v>
      </c>
      <c r="E1262" s="4" t="s">
        <v>443</v>
      </c>
      <c r="F1262" s="1" t="s">
        <v>508</v>
      </c>
    </row>
    <row r="1263" spans="1:6" ht="15.75" customHeight="1">
      <c r="A1263" s="4" t="s">
        <v>3549</v>
      </c>
      <c r="B1263" s="4">
        <v>2007</v>
      </c>
      <c r="C1263" s="4" t="s">
        <v>3550</v>
      </c>
      <c r="D1263" s="4" t="s">
        <v>3551</v>
      </c>
      <c r="E1263" s="4" t="s">
        <v>443</v>
      </c>
      <c r="F1263" s="1" t="s">
        <v>508</v>
      </c>
    </row>
    <row r="1264" spans="1:6" ht="15.75" customHeight="1">
      <c r="A1264" s="4" t="s">
        <v>3552</v>
      </c>
      <c r="B1264" s="4">
        <v>2019</v>
      </c>
      <c r="C1264" s="4" t="s">
        <v>3553</v>
      </c>
      <c r="D1264" s="4" t="s">
        <v>3554</v>
      </c>
      <c r="E1264" s="4" t="s">
        <v>443</v>
      </c>
      <c r="F1264" s="1" t="s">
        <v>508</v>
      </c>
    </row>
    <row r="1265" spans="1:6" ht="15.75" customHeight="1">
      <c r="A1265" s="4" t="s">
        <v>3555</v>
      </c>
      <c r="B1265" s="4">
        <v>2012</v>
      </c>
      <c r="C1265" s="4" t="s">
        <v>3556</v>
      </c>
      <c r="D1265" s="4" t="s">
        <v>3557</v>
      </c>
      <c r="E1265" s="4" t="s">
        <v>443</v>
      </c>
      <c r="F1265" s="1" t="s">
        <v>508</v>
      </c>
    </row>
    <row r="1266" spans="1:6" ht="15.75" customHeight="1">
      <c r="A1266" s="4" t="s">
        <v>3555</v>
      </c>
      <c r="B1266" s="4">
        <v>1990</v>
      </c>
      <c r="C1266" s="4" t="s">
        <v>3558</v>
      </c>
      <c r="D1266" s="4" t="s">
        <v>3559</v>
      </c>
      <c r="E1266" s="4" t="s">
        <v>443</v>
      </c>
      <c r="F1266" s="1" t="s">
        <v>508</v>
      </c>
    </row>
    <row r="1267" spans="1:6" ht="15.75" customHeight="1">
      <c r="A1267" s="4" t="s">
        <v>3560</v>
      </c>
      <c r="B1267" s="4">
        <v>1997</v>
      </c>
      <c r="C1267" s="4" t="s">
        <v>3561</v>
      </c>
      <c r="D1267" s="4" t="s">
        <v>3562</v>
      </c>
      <c r="E1267" s="4" t="s">
        <v>443</v>
      </c>
      <c r="F1267" s="1" t="s">
        <v>508</v>
      </c>
    </row>
    <row r="1268" spans="1:6" ht="15.75" customHeight="1">
      <c r="A1268" s="4" t="s">
        <v>3563</v>
      </c>
      <c r="B1268" s="4">
        <v>2021</v>
      </c>
      <c r="C1268" s="4" t="s">
        <v>3564</v>
      </c>
      <c r="D1268" s="4" t="s">
        <v>3565</v>
      </c>
      <c r="E1268" s="4" t="s">
        <v>443</v>
      </c>
      <c r="F1268" s="1" t="s">
        <v>508</v>
      </c>
    </row>
    <row r="1269" spans="1:6" ht="15.75" customHeight="1">
      <c r="A1269" s="4" t="s">
        <v>3566</v>
      </c>
      <c r="B1269" s="4">
        <v>2021</v>
      </c>
      <c r="C1269" s="4" t="s">
        <v>3567</v>
      </c>
      <c r="D1269" s="4" t="s">
        <v>3568</v>
      </c>
      <c r="E1269" s="4" t="s">
        <v>443</v>
      </c>
      <c r="F1269" s="1" t="s">
        <v>508</v>
      </c>
    </row>
    <row r="1270" spans="1:6" ht="15.75" customHeight="1">
      <c r="A1270" s="4" t="s">
        <v>3569</v>
      </c>
      <c r="B1270" s="4">
        <v>2003</v>
      </c>
      <c r="C1270" s="4" t="s">
        <v>3570</v>
      </c>
      <c r="D1270" s="4" t="s">
        <v>3571</v>
      </c>
      <c r="E1270" s="4" t="s">
        <v>443</v>
      </c>
      <c r="F1270" s="1" t="s">
        <v>508</v>
      </c>
    </row>
    <row r="1271" spans="1:6" ht="15.75" customHeight="1">
      <c r="A1271" s="4" t="s">
        <v>3572</v>
      </c>
      <c r="B1271" s="4">
        <v>2009</v>
      </c>
      <c r="C1271" s="4" t="s">
        <v>3573</v>
      </c>
      <c r="D1271" s="4" t="s">
        <v>3574</v>
      </c>
      <c r="E1271" s="4" t="s">
        <v>443</v>
      </c>
      <c r="F1271" s="1" t="s">
        <v>508</v>
      </c>
    </row>
    <row r="1272" spans="1:6" ht="15.75" customHeight="1">
      <c r="A1272" s="4" t="s">
        <v>3575</v>
      </c>
      <c r="B1272" s="4">
        <v>2020</v>
      </c>
      <c r="C1272" s="4" t="s">
        <v>3576</v>
      </c>
      <c r="D1272" s="4" t="s">
        <v>3577</v>
      </c>
      <c r="E1272" s="4" t="s">
        <v>443</v>
      </c>
      <c r="F1272" s="1" t="s">
        <v>508</v>
      </c>
    </row>
    <row r="1273" spans="1:6" ht="15.75" customHeight="1">
      <c r="A1273" s="4" t="s">
        <v>3578</v>
      </c>
      <c r="B1273" s="4">
        <v>2010</v>
      </c>
      <c r="C1273" s="4" t="s">
        <v>3579</v>
      </c>
      <c r="D1273" s="4" t="s">
        <v>3580</v>
      </c>
      <c r="E1273" s="4" t="s">
        <v>443</v>
      </c>
      <c r="F1273" s="1" t="s">
        <v>508</v>
      </c>
    </row>
    <row r="1274" spans="1:6" ht="15.75" customHeight="1">
      <c r="A1274" s="4" t="s">
        <v>3581</v>
      </c>
      <c r="B1274" s="4">
        <v>1993</v>
      </c>
      <c r="C1274" s="4" t="s">
        <v>3582</v>
      </c>
      <c r="D1274" s="4" t="s">
        <v>3583</v>
      </c>
      <c r="E1274" s="4" t="s">
        <v>443</v>
      </c>
      <c r="F1274" s="1" t="s">
        <v>508</v>
      </c>
    </row>
    <row r="1275" spans="1:6" ht="15.75" customHeight="1">
      <c r="A1275" s="4" t="s">
        <v>3584</v>
      </c>
      <c r="B1275" s="4">
        <v>2024</v>
      </c>
      <c r="C1275" s="4" t="s">
        <v>3585</v>
      </c>
      <c r="D1275" s="4" t="s">
        <v>3586</v>
      </c>
      <c r="E1275" s="4" t="s">
        <v>443</v>
      </c>
      <c r="F1275" s="1" t="s">
        <v>508</v>
      </c>
    </row>
    <row r="1276" spans="1:6" ht="15.75" customHeight="1">
      <c r="A1276" s="4" t="s">
        <v>3587</v>
      </c>
      <c r="B1276" s="4">
        <v>2018</v>
      </c>
      <c r="C1276" s="4" t="s">
        <v>3588</v>
      </c>
      <c r="D1276" s="4" t="s">
        <v>3589</v>
      </c>
      <c r="E1276" s="4" t="s">
        <v>443</v>
      </c>
      <c r="F1276" s="1" t="s">
        <v>508</v>
      </c>
    </row>
    <row r="1277" spans="1:6" ht="15.75" customHeight="1">
      <c r="A1277" s="4" t="s">
        <v>3590</v>
      </c>
      <c r="B1277" s="4">
        <v>2018</v>
      </c>
      <c r="C1277" s="4" t="s">
        <v>3591</v>
      </c>
      <c r="D1277" s="4" t="s">
        <v>3592</v>
      </c>
      <c r="E1277" s="4" t="s">
        <v>443</v>
      </c>
      <c r="F1277" s="1" t="s">
        <v>508</v>
      </c>
    </row>
    <row r="1278" spans="1:6" ht="15.75" customHeight="1">
      <c r="A1278" s="4" t="s">
        <v>3590</v>
      </c>
      <c r="B1278" s="4">
        <v>2018</v>
      </c>
      <c r="C1278" s="4" t="s">
        <v>3593</v>
      </c>
      <c r="D1278" s="4" t="s">
        <v>3594</v>
      </c>
      <c r="E1278" s="4" t="s">
        <v>443</v>
      </c>
      <c r="F1278" s="1" t="s">
        <v>508</v>
      </c>
    </row>
    <row r="1279" spans="1:6" ht="15.75" customHeight="1">
      <c r="A1279" s="4" t="s">
        <v>3590</v>
      </c>
      <c r="B1279" s="4">
        <v>2018</v>
      </c>
      <c r="C1279" s="4" t="s">
        <v>3595</v>
      </c>
      <c r="D1279" s="4" t="s">
        <v>3596</v>
      </c>
      <c r="E1279" s="4" t="s">
        <v>443</v>
      </c>
      <c r="F1279" s="1" t="s">
        <v>508</v>
      </c>
    </row>
    <row r="1280" spans="1:6" ht="15.75" customHeight="1">
      <c r="A1280" s="4" t="s">
        <v>3597</v>
      </c>
      <c r="B1280" s="4">
        <v>2022</v>
      </c>
      <c r="C1280" s="4" t="s">
        <v>3598</v>
      </c>
      <c r="D1280" s="4" t="s">
        <v>3599</v>
      </c>
      <c r="E1280" s="4" t="s">
        <v>443</v>
      </c>
      <c r="F1280" s="1" t="s">
        <v>508</v>
      </c>
    </row>
    <row r="1281" spans="1:6" ht="15.75" customHeight="1">
      <c r="A1281" s="4" t="s">
        <v>3600</v>
      </c>
      <c r="B1281" s="4">
        <v>2010</v>
      </c>
      <c r="C1281" s="4" t="s">
        <v>3601</v>
      </c>
      <c r="D1281" s="4" t="s">
        <v>3602</v>
      </c>
      <c r="E1281" s="4" t="s">
        <v>443</v>
      </c>
      <c r="F1281" s="1" t="s">
        <v>508</v>
      </c>
    </row>
    <row r="1282" spans="1:6" ht="15.75" customHeight="1">
      <c r="A1282" s="4" t="s">
        <v>3603</v>
      </c>
      <c r="B1282" s="4">
        <v>2009</v>
      </c>
      <c r="C1282" s="4" t="s">
        <v>3604</v>
      </c>
      <c r="D1282" s="4" t="s">
        <v>3605</v>
      </c>
      <c r="E1282" s="4" t="s">
        <v>443</v>
      </c>
      <c r="F1282" s="1" t="s">
        <v>508</v>
      </c>
    </row>
    <row r="1283" spans="1:6" ht="15.75" customHeight="1">
      <c r="A1283" s="4" t="s">
        <v>3606</v>
      </c>
      <c r="B1283" s="4">
        <v>2013</v>
      </c>
      <c r="C1283" s="4" t="s">
        <v>3607</v>
      </c>
      <c r="D1283" s="4" t="s">
        <v>3608</v>
      </c>
      <c r="E1283" s="4" t="s">
        <v>443</v>
      </c>
      <c r="F1283" s="1" t="s">
        <v>508</v>
      </c>
    </row>
    <row r="1284" spans="1:6" ht="15.75" customHeight="1">
      <c r="A1284" s="4" t="s">
        <v>3609</v>
      </c>
      <c r="B1284" s="4">
        <v>2014</v>
      </c>
      <c r="C1284" s="4" t="s">
        <v>3610</v>
      </c>
      <c r="D1284" s="4" t="s">
        <v>3611</v>
      </c>
      <c r="E1284" s="4" t="s">
        <v>443</v>
      </c>
      <c r="F1284" s="1" t="s">
        <v>508</v>
      </c>
    </row>
    <row r="1285" spans="1:6" ht="15.75" customHeight="1">
      <c r="A1285" s="4" t="s">
        <v>3612</v>
      </c>
      <c r="B1285" s="4">
        <v>2014</v>
      </c>
      <c r="C1285" s="4" t="s">
        <v>3613</v>
      </c>
      <c r="D1285" s="4" t="s">
        <v>3614</v>
      </c>
      <c r="E1285" s="4" t="s">
        <v>443</v>
      </c>
      <c r="F1285" s="1" t="s">
        <v>1047</v>
      </c>
    </row>
    <row r="1286" spans="1:6" ht="15.75" customHeight="1">
      <c r="A1286" s="4" t="s">
        <v>3615</v>
      </c>
      <c r="B1286" s="4">
        <v>2012</v>
      </c>
      <c r="C1286" s="4" t="s">
        <v>3616</v>
      </c>
      <c r="D1286" s="4" t="s">
        <v>3617</v>
      </c>
      <c r="E1286" s="4" t="s">
        <v>443</v>
      </c>
      <c r="F1286" s="1" t="s">
        <v>508</v>
      </c>
    </row>
    <row r="1287" spans="1:6" ht="15.75" customHeight="1">
      <c r="A1287" s="4" t="s">
        <v>3618</v>
      </c>
      <c r="B1287" s="4">
        <v>1993</v>
      </c>
      <c r="C1287" s="4" t="s">
        <v>3619</v>
      </c>
      <c r="D1287" s="4" t="s">
        <v>3620</v>
      </c>
      <c r="E1287" s="4" t="s">
        <v>443</v>
      </c>
      <c r="F1287" s="1" t="s">
        <v>508</v>
      </c>
    </row>
    <row r="1288" spans="1:6" ht="15.75" customHeight="1">
      <c r="A1288" s="4" t="s">
        <v>3621</v>
      </c>
      <c r="B1288" s="4">
        <v>2020</v>
      </c>
      <c r="C1288" s="4" t="s">
        <v>3622</v>
      </c>
      <c r="D1288" s="4" t="s">
        <v>3623</v>
      </c>
      <c r="E1288" s="4" t="s">
        <v>443</v>
      </c>
      <c r="F1288" s="1" t="s">
        <v>508</v>
      </c>
    </row>
    <row r="1289" spans="1:6" ht="15.75" customHeight="1">
      <c r="A1289" s="4" t="s">
        <v>3624</v>
      </c>
      <c r="B1289" s="4">
        <v>2007</v>
      </c>
      <c r="C1289" s="4" t="s">
        <v>3625</v>
      </c>
      <c r="D1289" s="4" t="s">
        <v>3626</v>
      </c>
      <c r="E1289" s="4" t="s">
        <v>443</v>
      </c>
      <c r="F1289" s="1" t="s">
        <v>508</v>
      </c>
    </row>
    <row r="1290" spans="1:6" ht="15.75" customHeight="1">
      <c r="A1290" s="4" t="s">
        <v>3627</v>
      </c>
      <c r="B1290" s="4">
        <v>2018</v>
      </c>
      <c r="C1290" s="4" t="s">
        <v>3628</v>
      </c>
      <c r="D1290" s="4" t="s">
        <v>3629</v>
      </c>
      <c r="E1290" s="4" t="s">
        <v>443</v>
      </c>
      <c r="F1290" s="1" t="s">
        <v>508</v>
      </c>
    </row>
    <row r="1291" spans="1:6" ht="15.75" customHeight="1">
      <c r="A1291" s="4" t="s">
        <v>3630</v>
      </c>
      <c r="B1291" s="4">
        <v>2006</v>
      </c>
      <c r="C1291" s="4" t="s">
        <v>3631</v>
      </c>
      <c r="D1291" s="4" t="s">
        <v>3632</v>
      </c>
      <c r="E1291" s="4" t="s">
        <v>443</v>
      </c>
      <c r="F1291" s="1" t="s">
        <v>1047</v>
      </c>
    </row>
    <row r="1292" spans="1:6" ht="15.75" customHeight="1">
      <c r="A1292" s="4" t="s">
        <v>3633</v>
      </c>
      <c r="B1292" s="4">
        <v>2013</v>
      </c>
      <c r="C1292" s="4" t="s">
        <v>3634</v>
      </c>
      <c r="D1292" s="4" t="s">
        <v>3635</v>
      </c>
      <c r="E1292" s="4" t="s">
        <v>443</v>
      </c>
      <c r="F1292" s="1" t="s">
        <v>508</v>
      </c>
    </row>
    <row r="1293" spans="1:6" ht="15.75" customHeight="1">
      <c r="A1293" s="4" t="s">
        <v>273</v>
      </c>
      <c r="B1293" s="4">
        <v>2008</v>
      </c>
      <c r="C1293" s="4" t="s">
        <v>3636</v>
      </c>
      <c r="D1293" s="4" t="s">
        <v>3637</v>
      </c>
      <c r="E1293" s="4" t="s">
        <v>443</v>
      </c>
      <c r="F1293" s="1" t="s">
        <v>508</v>
      </c>
    </row>
    <row r="1294" spans="1:6" ht="15.75" customHeight="1">
      <c r="A1294" s="4" t="s">
        <v>273</v>
      </c>
      <c r="B1294" s="4">
        <v>2011</v>
      </c>
      <c r="C1294" s="4" t="s">
        <v>3638</v>
      </c>
      <c r="D1294" s="4" t="s">
        <v>3639</v>
      </c>
      <c r="E1294" s="4" t="s">
        <v>443</v>
      </c>
      <c r="F1294" s="1" t="s">
        <v>508</v>
      </c>
    </row>
    <row r="1295" spans="1:6" ht="15.75" customHeight="1">
      <c r="A1295" s="4" t="s">
        <v>3640</v>
      </c>
      <c r="B1295" s="4">
        <v>2014</v>
      </c>
      <c r="C1295" s="4" t="s">
        <v>3641</v>
      </c>
      <c r="D1295" s="4" t="s">
        <v>3642</v>
      </c>
      <c r="E1295" s="4" t="s">
        <v>443</v>
      </c>
      <c r="F1295" s="1" t="s">
        <v>508</v>
      </c>
    </row>
    <row r="1296" spans="1:6" ht="15.75" customHeight="1">
      <c r="A1296" s="4" t="s">
        <v>3643</v>
      </c>
      <c r="B1296" s="4">
        <v>2016</v>
      </c>
      <c r="C1296" s="4" t="s">
        <v>3644</v>
      </c>
      <c r="D1296" s="4" t="s">
        <v>3645</v>
      </c>
      <c r="E1296" s="4" t="s">
        <v>443</v>
      </c>
      <c r="F1296" s="1" t="s">
        <v>508</v>
      </c>
    </row>
    <row r="1297" spans="1:6" ht="15.75" customHeight="1">
      <c r="A1297" s="4" t="s">
        <v>3646</v>
      </c>
      <c r="B1297" s="4">
        <v>2014</v>
      </c>
      <c r="C1297" s="4" t="s">
        <v>3647</v>
      </c>
      <c r="D1297" s="4" t="s">
        <v>3648</v>
      </c>
      <c r="E1297" s="4" t="s">
        <v>443</v>
      </c>
      <c r="F1297" s="1" t="s">
        <v>508</v>
      </c>
    </row>
    <row r="1298" spans="1:6" ht="15.75" customHeight="1">
      <c r="A1298" s="4" t="s">
        <v>3649</v>
      </c>
      <c r="B1298" s="4">
        <v>2013</v>
      </c>
      <c r="C1298" s="4" t="s">
        <v>3650</v>
      </c>
      <c r="D1298" s="4" t="s">
        <v>3651</v>
      </c>
      <c r="E1298" s="4" t="s">
        <v>443</v>
      </c>
      <c r="F1298" s="1" t="s">
        <v>508</v>
      </c>
    </row>
    <row r="1299" spans="1:6" ht="15.75" customHeight="1">
      <c r="A1299" s="4" t="s">
        <v>3649</v>
      </c>
      <c r="B1299" s="4">
        <v>2008</v>
      </c>
      <c r="C1299" s="4" t="s">
        <v>3652</v>
      </c>
      <c r="D1299" s="4" t="s">
        <v>3653</v>
      </c>
      <c r="E1299" s="4" t="s">
        <v>443</v>
      </c>
      <c r="F1299" s="1" t="s">
        <v>508</v>
      </c>
    </row>
    <row r="1300" spans="1:6" ht="15.75" customHeight="1">
      <c r="A1300" s="4" t="s">
        <v>3654</v>
      </c>
      <c r="B1300" s="4">
        <v>2012</v>
      </c>
      <c r="C1300" s="4" t="s">
        <v>3655</v>
      </c>
      <c r="D1300" s="4" t="s">
        <v>3656</v>
      </c>
      <c r="E1300" s="4" t="s">
        <v>443</v>
      </c>
      <c r="F1300" s="1" t="s">
        <v>508</v>
      </c>
    </row>
    <row r="1301" spans="1:6" ht="15.75" customHeight="1">
      <c r="A1301" s="4" t="s">
        <v>3657</v>
      </c>
      <c r="B1301" s="4">
        <v>2014</v>
      </c>
      <c r="C1301" s="4" t="s">
        <v>3658</v>
      </c>
      <c r="D1301" s="4" t="s">
        <v>3659</v>
      </c>
      <c r="E1301" s="4" t="s">
        <v>443</v>
      </c>
      <c r="F1301" s="1" t="s">
        <v>508</v>
      </c>
    </row>
    <row r="1302" spans="1:6" ht="15.75" customHeight="1">
      <c r="A1302" s="4" t="s">
        <v>3660</v>
      </c>
      <c r="B1302" s="4">
        <v>1996</v>
      </c>
      <c r="C1302" s="4" t="s">
        <v>3661</v>
      </c>
      <c r="D1302" s="4" t="s">
        <v>3662</v>
      </c>
      <c r="E1302" s="4" t="s">
        <v>443</v>
      </c>
      <c r="F1302" s="1" t="s">
        <v>508</v>
      </c>
    </row>
    <row r="1303" spans="1:6" ht="15.75" customHeight="1">
      <c r="A1303" s="4" t="s">
        <v>3663</v>
      </c>
      <c r="B1303" s="4">
        <v>2023</v>
      </c>
      <c r="C1303" s="4" t="s">
        <v>3664</v>
      </c>
      <c r="D1303" s="4" t="s">
        <v>3665</v>
      </c>
      <c r="E1303" s="4" t="s">
        <v>443</v>
      </c>
      <c r="F1303" s="1" t="s">
        <v>508</v>
      </c>
    </row>
    <row r="1304" spans="1:6" ht="15.75" customHeight="1">
      <c r="A1304" s="4" t="s">
        <v>3666</v>
      </c>
      <c r="B1304" s="4">
        <v>1995</v>
      </c>
      <c r="D1304" s="4" t="s">
        <v>3667</v>
      </c>
      <c r="E1304" s="4" t="s">
        <v>443</v>
      </c>
      <c r="F1304" s="1" t="s">
        <v>508</v>
      </c>
    </row>
    <row r="1305" spans="1:6" ht="15.75" customHeight="1">
      <c r="A1305" s="4" t="s">
        <v>3668</v>
      </c>
      <c r="B1305" s="4">
        <v>2015</v>
      </c>
      <c r="C1305" s="4" t="s">
        <v>3669</v>
      </c>
      <c r="D1305" s="4" t="s">
        <v>3670</v>
      </c>
      <c r="E1305" s="4" t="s">
        <v>443</v>
      </c>
      <c r="F1305" s="1" t="s">
        <v>508</v>
      </c>
    </row>
    <row r="1306" spans="1:6" ht="15.75" customHeight="1">
      <c r="A1306" s="4" t="s">
        <v>3671</v>
      </c>
      <c r="B1306" s="4">
        <v>1997</v>
      </c>
      <c r="C1306" s="4" t="s">
        <v>3672</v>
      </c>
      <c r="D1306" s="4" t="s">
        <v>3673</v>
      </c>
      <c r="E1306" s="4" t="s">
        <v>443</v>
      </c>
      <c r="F1306" s="1" t="s">
        <v>508</v>
      </c>
    </row>
    <row r="1307" spans="1:6" ht="15.75" customHeight="1">
      <c r="A1307" s="4" t="s">
        <v>3674</v>
      </c>
      <c r="B1307" s="4">
        <v>2020</v>
      </c>
      <c r="C1307" s="4" t="s">
        <v>3675</v>
      </c>
      <c r="D1307" s="4" t="s">
        <v>3676</v>
      </c>
      <c r="E1307" s="4" t="s">
        <v>443</v>
      </c>
      <c r="F1307" s="1" t="s">
        <v>508</v>
      </c>
    </row>
    <row r="1308" spans="1:6" ht="15.75" customHeight="1">
      <c r="A1308" s="4" t="s">
        <v>842</v>
      </c>
      <c r="B1308" s="4">
        <v>2018</v>
      </c>
      <c r="C1308" s="4" t="s">
        <v>3677</v>
      </c>
      <c r="D1308" s="4" t="s">
        <v>3678</v>
      </c>
      <c r="E1308" s="4" t="s">
        <v>443</v>
      </c>
      <c r="F1308" s="1" t="s">
        <v>508</v>
      </c>
    </row>
    <row r="1309" spans="1:6" ht="15.75" customHeight="1">
      <c r="A1309" s="4" t="s">
        <v>842</v>
      </c>
      <c r="B1309" s="4">
        <v>2018</v>
      </c>
      <c r="C1309" s="4" t="s">
        <v>3679</v>
      </c>
      <c r="D1309" s="4" t="s">
        <v>3680</v>
      </c>
      <c r="E1309" s="4" t="s">
        <v>443</v>
      </c>
      <c r="F1309" s="1" t="s">
        <v>508</v>
      </c>
    </row>
    <row r="1310" spans="1:6" ht="15.75" customHeight="1">
      <c r="A1310" s="4" t="s">
        <v>3681</v>
      </c>
      <c r="B1310" s="4">
        <v>2022</v>
      </c>
      <c r="C1310" s="4" t="s">
        <v>3682</v>
      </c>
      <c r="D1310" s="4" t="s">
        <v>3683</v>
      </c>
      <c r="E1310" s="4" t="s">
        <v>443</v>
      </c>
      <c r="F1310" s="1" t="s">
        <v>508</v>
      </c>
    </row>
    <row r="1311" spans="1:6" ht="15.75" customHeight="1">
      <c r="A1311" s="4" t="s">
        <v>3684</v>
      </c>
      <c r="B1311" s="4">
        <v>2013</v>
      </c>
      <c r="C1311" s="4" t="s">
        <v>3685</v>
      </c>
      <c r="D1311" s="4" t="s">
        <v>3686</v>
      </c>
      <c r="E1311" s="4" t="s">
        <v>443</v>
      </c>
      <c r="F1311" s="1" t="s">
        <v>508</v>
      </c>
    </row>
    <row r="1312" spans="1:6" ht="15.75" customHeight="1">
      <c r="A1312" s="4" t="s">
        <v>3687</v>
      </c>
      <c r="B1312" s="4">
        <v>1998</v>
      </c>
      <c r="C1312" s="4" t="s">
        <v>3688</v>
      </c>
      <c r="D1312" s="4" t="s">
        <v>3689</v>
      </c>
      <c r="E1312" s="4" t="s">
        <v>443</v>
      </c>
      <c r="F1312" s="1" t="s">
        <v>508</v>
      </c>
    </row>
    <row r="1313" spans="1:6" ht="15.75" customHeight="1">
      <c r="A1313" s="4" t="s">
        <v>3690</v>
      </c>
      <c r="B1313" s="4">
        <v>2019</v>
      </c>
      <c r="C1313" s="4" t="s">
        <v>3691</v>
      </c>
      <c r="D1313" s="4" t="s">
        <v>3692</v>
      </c>
      <c r="E1313" s="4" t="s">
        <v>443</v>
      </c>
      <c r="F1313" s="1" t="s">
        <v>508</v>
      </c>
    </row>
    <row r="1314" spans="1:6" ht="15.75" customHeight="1">
      <c r="A1314" s="4" t="s">
        <v>3693</v>
      </c>
      <c r="B1314" s="4">
        <v>2005</v>
      </c>
      <c r="D1314" s="4" t="s">
        <v>3694</v>
      </c>
      <c r="E1314" s="4" t="s">
        <v>443</v>
      </c>
      <c r="F1314" s="1" t="s">
        <v>508</v>
      </c>
    </row>
    <row r="1315" spans="1:6" ht="15.75" customHeight="1">
      <c r="A1315" s="4" t="s">
        <v>3695</v>
      </c>
      <c r="B1315" s="4">
        <v>2013</v>
      </c>
      <c r="C1315" s="4" t="s">
        <v>3696</v>
      </c>
      <c r="D1315" s="4" t="s">
        <v>3697</v>
      </c>
      <c r="E1315" s="4" t="s">
        <v>443</v>
      </c>
      <c r="F1315" s="1" t="s">
        <v>508</v>
      </c>
    </row>
    <row r="1316" spans="1:6" ht="15.75" customHeight="1">
      <c r="A1316" s="4" t="s">
        <v>3695</v>
      </c>
      <c r="B1316" s="4">
        <v>2017</v>
      </c>
      <c r="C1316" s="4" t="s">
        <v>3698</v>
      </c>
      <c r="D1316" s="4" t="s">
        <v>3699</v>
      </c>
      <c r="E1316" s="4" t="s">
        <v>443</v>
      </c>
      <c r="F1316" s="1" t="s">
        <v>508</v>
      </c>
    </row>
    <row r="1317" spans="1:6" ht="15.75" customHeight="1">
      <c r="A1317" s="4" t="s">
        <v>3695</v>
      </c>
      <c r="B1317" s="4">
        <v>2009</v>
      </c>
      <c r="C1317" s="4" t="s">
        <v>3700</v>
      </c>
      <c r="D1317" s="4" t="s">
        <v>3701</v>
      </c>
      <c r="E1317" s="4" t="s">
        <v>443</v>
      </c>
      <c r="F1317" s="1" t="s">
        <v>508</v>
      </c>
    </row>
    <row r="1318" spans="1:6" ht="15.75" customHeight="1">
      <c r="A1318" s="4" t="s">
        <v>3695</v>
      </c>
      <c r="B1318" s="4">
        <v>2009</v>
      </c>
      <c r="C1318" s="4" t="s">
        <v>3702</v>
      </c>
      <c r="D1318" s="4" t="s">
        <v>3703</v>
      </c>
      <c r="E1318" s="4" t="s">
        <v>443</v>
      </c>
      <c r="F1318" s="1" t="s">
        <v>508</v>
      </c>
    </row>
    <row r="1319" spans="1:6" ht="15.75" customHeight="1">
      <c r="A1319" s="4" t="s">
        <v>3695</v>
      </c>
      <c r="B1319" s="4">
        <v>2002</v>
      </c>
      <c r="C1319" s="4" t="s">
        <v>3704</v>
      </c>
      <c r="D1319" s="4" t="s">
        <v>3705</v>
      </c>
      <c r="E1319" s="4" t="s">
        <v>443</v>
      </c>
      <c r="F1319" s="1" t="s">
        <v>508</v>
      </c>
    </row>
    <row r="1320" spans="1:6" ht="15.75" customHeight="1">
      <c r="A1320" s="4" t="s">
        <v>3695</v>
      </c>
      <c r="B1320" s="4">
        <v>2010</v>
      </c>
      <c r="C1320" s="4" t="s">
        <v>3706</v>
      </c>
      <c r="D1320" s="4" t="s">
        <v>3707</v>
      </c>
      <c r="E1320" s="4" t="s">
        <v>443</v>
      </c>
      <c r="F1320" s="1" t="s">
        <v>508</v>
      </c>
    </row>
    <row r="1321" spans="1:6" ht="15.75" customHeight="1">
      <c r="A1321" s="4" t="s">
        <v>3695</v>
      </c>
      <c r="B1321" s="4">
        <v>2003</v>
      </c>
      <c r="C1321" s="4" t="s">
        <v>3708</v>
      </c>
      <c r="D1321" s="4" t="s">
        <v>3709</v>
      </c>
      <c r="E1321" s="4" t="s">
        <v>443</v>
      </c>
      <c r="F1321" s="1" t="s">
        <v>508</v>
      </c>
    </row>
    <row r="1322" spans="1:6" ht="15.75" customHeight="1">
      <c r="A1322" s="4" t="s">
        <v>3695</v>
      </c>
      <c r="B1322" s="4">
        <v>2005</v>
      </c>
      <c r="C1322" s="4" t="s">
        <v>3710</v>
      </c>
      <c r="D1322" s="4" t="s">
        <v>3711</v>
      </c>
      <c r="E1322" s="4" t="s">
        <v>443</v>
      </c>
      <c r="F1322" s="1" t="s">
        <v>508</v>
      </c>
    </row>
    <row r="1323" spans="1:6" ht="15.75" customHeight="1">
      <c r="A1323" s="4" t="s">
        <v>3695</v>
      </c>
      <c r="B1323" s="4">
        <v>2002</v>
      </c>
      <c r="C1323" s="4" t="s">
        <v>3712</v>
      </c>
      <c r="D1323" s="4" t="s">
        <v>3713</v>
      </c>
      <c r="E1323" s="4" t="s">
        <v>443</v>
      </c>
      <c r="F1323" s="1" t="s">
        <v>508</v>
      </c>
    </row>
    <row r="1324" spans="1:6" ht="15.75" customHeight="1">
      <c r="A1324" s="4" t="s">
        <v>3695</v>
      </c>
      <c r="B1324" s="4">
        <v>2010</v>
      </c>
      <c r="C1324" s="4" t="s">
        <v>3714</v>
      </c>
      <c r="D1324" s="4" t="s">
        <v>3715</v>
      </c>
      <c r="E1324" s="4" t="s">
        <v>443</v>
      </c>
      <c r="F1324" s="1" t="s">
        <v>508</v>
      </c>
    </row>
    <row r="1325" spans="1:6" ht="15.75" customHeight="1">
      <c r="A1325" s="4" t="s">
        <v>3716</v>
      </c>
      <c r="B1325" s="4">
        <v>1996</v>
      </c>
      <c r="C1325" s="4" t="s">
        <v>3717</v>
      </c>
      <c r="D1325" s="4" t="s">
        <v>3718</v>
      </c>
      <c r="E1325" s="4" t="s">
        <v>443</v>
      </c>
      <c r="F1325" s="1" t="s">
        <v>508</v>
      </c>
    </row>
    <row r="1326" spans="1:6" ht="15.75" customHeight="1">
      <c r="A1326" s="4" t="s">
        <v>3716</v>
      </c>
      <c r="B1326" s="4">
        <v>1994</v>
      </c>
      <c r="C1326" s="4" t="s">
        <v>3719</v>
      </c>
      <c r="D1326" s="4" t="s">
        <v>3720</v>
      </c>
      <c r="E1326" s="4" t="s">
        <v>443</v>
      </c>
      <c r="F1326" s="1" t="s">
        <v>508</v>
      </c>
    </row>
    <row r="1327" spans="1:6" ht="15.75" customHeight="1">
      <c r="A1327" s="4" t="s">
        <v>3721</v>
      </c>
      <c r="B1327" s="4">
        <v>1999</v>
      </c>
      <c r="D1327" s="4" t="s">
        <v>3722</v>
      </c>
      <c r="E1327" s="4" t="s">
        <v>443</v>
      </c>
      <c r="F1327" s="1" t="s">
        <v>508</v>
      </c>
    </row>
    <row r="1328" spans="1:6" ht="15.75" customHeight="1">
      <c r="A1328" s="4" t="s">
        <v>3723</v>
      </c>
      <c r="B1328" s="4">
        <v>2020</v>
      </c>
      <c r="C1328" s="4" t="s">
        <v>3724</v>
      </c>
      <c r="D1328" s="4" t="s">
        <v>3725</v>
      </c>
      <c r="E1328" s="4" t="s">
        <v>443</v>
      </c>
      <c r="F1328" s="1" t="s">
        <v>508</v>
      </c>
    </row>
    <row r="1329" spans="1:6" ht="15.75" customHeight="1">
      <c r="A1329" s="4" t="s">
        <v>3726</v>
      </c>
      <c r="B1329" s="4">
        <v>2021</v>
      </c>
      <c r="C1329" s="4" t="s">
        <v>3727</v>
      </c>
      <c r="D1329" s="4" t="s">
        <v>3728</v>
      </c>
      <c r="E1329" s="4" t="s">
        <v>443</v>
      </c>
      <c r="F1329" s="1" t="s">
        <v>508</v>
      </c>
    </row>
    <row r="1330" spans="1:6" ht="15.75" customHeight="1">
      <c r="A1330" s="4" t="s">
        <v>3729</v>
      </c>
      <c r="B1330" s="4">
        <v>2005</v>
      </c>
      <c r="C1330" s="4" t="s">
        <v>3730</v>
      </c>
      <c r="D1330" s="4" t="s">
        <v>3731</v>
      </c>
      <c r="E1330" s="4" t="s">
        <v>443</v>
      </c>
      <c r="F1330" s="1" t="s">
        <v>508</v>
      </c>
    </row>
    <row r="1331" spans="1:6" ht="15.75" customHeight="1">
      <c r="A1331" s="4" t="s">
        <v>3732</v>
      </c>
      <c r="B1331" s="4">
        <v>2000</v>
      </c>
      <c r="C1331" s="4" t="s">
        <v>3733</v>
      </c>
      <c r="D1331" s="4" t="s">
        <v>3734</v>
      </c>
      <c r="E1331" s="4" t="s">
        <v>443</v>
      </c>
      <c r="F1331" s="1" t="s">
        <v>508</v>
      </c>
    </row>
    <row r="1332" spans="1:6" ht="15.75" customHeight="1">
      <c r="A1332" s="4" t="s">
        <v>3735</v>
      </c>
      <c r="B1332" s="4">
        <v>2016</v>
      </c>
      <c r="C1332" s="4" t="s">
        <v>3736</v>
      </c>
      <c r="D1332" s="4" t="s">
        <v>3737</v>
      </c>
      <c r="E1332" s="4" t="s">
        <v>443</v>
      </c>
      <c r="F1332" s="1" t="s">
        <v>508</v>
      </c>
    </row>
    <row r="1333" spans="1:6" ht="15.75" customHeight="1">
      <c r="A1333" s="4" t="s">
        <v>3738</v>
      </c>
      <c r="B1333" s="4">
        <v>2000</v>
      </c>
      <c r="C1333" s="4" t="s">
        <v>3739</v>
      </c>
      <c r="D1333" s="4" t="s">
        <v>3740</v>
      </c>
      <c r="E1333" s="4" t="s">
        <v>443</v>
      </c>
      <c r="F1333" s="1" t="s">
        <v>1047</v>
      </c>
    </row>
    <row r="1334" spans="1:6" ht="15.75" customHeight="1">
      <c r="A1334" s="4" t="s">
        <v>3741</v>
      </c>
      <c r="B1334" s="4">
        <v>2018</v>
      </c>
      <c r="C1334" s="4" t="s">
        <v>3742</v>
      </c>
      <c r="D1334" s="4" t="s">
        <v>3743</v>
      </c>
      <c r="E1334" s="4" t="s">
        <v>443</v>
      </c>
      <c r="F1334" s="1" t="s">
        <v>508</v>
      </c>
    </row>
    <row r="1335" spans="1:6" ht="15.75" customHeight="1">
      <c r="A1335" s="4" t="s">
        <v>845</v>
      </c>
      <c r="B1335" s="4">
        <v>2007</v>
      </c>
      <c r="C1335" s="4" t="s">
        <v>3744</v>
      </c>
      <c r="D1335" s="4" t="s">
        <v>3745</v>
      </c>
      <c r="E1335" s="4" t="s">
        <v>443</v>
      </c>
      <c r="F1335" s="1" t="s">
        <v>508</v>
      </c>
    </row>
    <row r="1336" spans="1:6" ht="15.75" customHeight="1">
      <c r="A1336" s="4" t="s">
        <v>3746</v>
      </c>
      <c r="B1336" s="4">
        <v>1998</v>
      </c>
      <c r="C1336" s="4" t="s">
        <v>3747</v>
      </c>
      <c r="D1336" s="4" t="s">
        <v>3748</v>
      </c>
      <c r="E1336" s="4" t="s">
        <v>443</v>
      </c>
      <c r="F1336" s="1" t="s">
        <v>508</v>
      </c>
    </row>
    <row r="1337" spans="1:6" ht="15.75" customHeight="1">
      <c r="A1337" s="4" t="s">
        <v>3749</v>
      </c>
      <c r="B1337" s="4">
        <v>2017</v>
      </c>
      <c r="C1337" s="4" t="s">
        <v>3750</v>
      </c>
      <c r="D1337" s="4" t="s">
        <v>3751</v>
      </c>
      <c r="E1337" s="4" t="s">
        <v>443</v>
      </c>
      <c r="F1337" s="1" t="s">
        <v>508</v>
      </c>
    </row>
    <row r="1338" spans="1:6" ht="15.75" customHeight="1">
      <c r="A1338" s="4" t="s">
        <v>3752</v>
      </c>
      <c r="B1338" s="4">
        <v>2002</v>
      </c>
      <c r="C1338" s="4" t="s">
        <v>3753</v>
      </c>
      <c r="D1338" s="4" t="s">
        <v>3754</v>
      </c>
      <c r="E1338" s="4" t="s">
        <v>443</v>
      </c>
      <c r="F1338" s="1" t="s">
        <v>508</v>
      </c>
    </row>
    <row r="1339" spans="1:6" ht="15.75" customHeight="1">
      <c r="A1339" s="4" t="s">
        <v>3755</v>
      </c>
      <c r="B1339" s="4">
        <v>2012</v>
      </c>
      <c r="C1339" s="4" t="s">
        <v>3756</v>
      </c>
      <c r="D1339" s="4" t="s">
        <v>3757</v>
      </c>
      <c r="E1339" s="4" t="s">
        <v>443</v>
      </c>
      <c r="F1339" s="1" t="s">
        <v>508</v>
      </c>
    </row>
    <row r="1340" spans="1:6" ht="15.75" customHeight="1">
      <c r="A1340" s="4" t="s">
        <v>3758</v>
      </c>
      <c r="B1340" s="4">
        <v>2018</v>
      </c>
      <c r="C1340" s="4" t="s">
        <v>3759</v>
      </c>
      <c r="D1340" s="4" t="s">
        <v>3760</v>
      </c>
      <c r="E1340" s="4" t="s">
        <v>443</v>
      </c>
      <c r="F1340" s="1" t="s">
        <v>508</v>
      </c>
    </row>
    <row r="1341" spans="1:6" ht="15.75" customHeight="1">
      <c r="A1341" s="4" t="s">
        <v>3758</v>
      </c>
      <c r="B1341" s="4">
        <v>2018</v>
      </c>
      <c r="C1341" s="4" t="s">
        <v>3761</v>
      </c>
      <c r="D1341" s="4" t="s">
        <v>3762</v>
      </c>
      <c r="E1341" s="4" t="s">
        <v>443</v>
      </c>
      <c r="F1341" s="1" t="s">
        <v>508</v>
      </c>
    </row>
    <row r="1342" spans="1:6" ht="15.75" customHeight="1">
      <c r="A1342" s="4" t="s">
        <v>3758</v>
      </c>
      <c r="B1342" s="4">
        <v>2019</v>
      </c>
      <c r="C1342" s="4" t="s">
        <v>3763</v>
      </c>
      <c r="D1342" s="4" t="s">
        <v>3764</v>
      </c>
      <c r="E1342" s="4" t="s">
        <v>443</v>
      </c>
      <c r="F1342" s="1" t="s">
        <v>508</v>
      </c>
    </row>
    <row r="1343" spans="1:6" ht="15.75" customHeight="1">
      <c r="A1343" s="4" t="s">
        <v>3758</v>
      </c>
      <c r="B1343" s="4">
        <v>2016</v>
      </c>
      <c r="C1343" s="4" t="s">
        <v>3765</v>
      </c>
      <c r="D1343" s="4" t="s">
        <v>3766</v>
      </c>
      <c r="E1343" s="4" t="s">
        <v>443</v>
      </c>
      <c r="F1343" s="1" t="s">
        <v>508</v>
      </c>
    </row>
    <row r="1344" spans="1:6" ht="15.75" customHeight="1">
      <c r="A1344" s="4" t="s">
        <v>3758</v>
      </c>
      <c r="B1344" s="4">
        <v>2017</v>
      </c>
      <c r="C1344" s="4" t="s">
        <v>3767</v>
      </c>
      <c r="D1344" s="4" t="s">
        <v>3768</v>
      </c>
      <c r="E1344" s="4" t="s">
        <v>443</v>
      </c>
      <c r="F1344" s="1" t="s">
        <v>508</v>
      </c>
    </row>
    <row r="1345" spans="1:6" ht="15.75" customHeight="1">
      <c r="A1345" s="4" t="s">
        <v>3769</v>
      </c>
      <c r="B1345" s="4">
        <v>1994</v>
      </c>
      <c r="D1345" s="4" t="s">
        <v>3770</v>
      </c>
      <c r="E1345" s="4" t="s">
        <v>443</v>
      </c>
      <c r="F1345" s="1" t="s">
        <v>1047</v>
      </c>
    </row>
    <row r="1346" spans="1:6" ht="15.75" customHeight="1">
      <c r="A1346" s="4" t="s">
        <v>3769</v>
      </c>
      <c r="B1346" s="4">
        <v>1996</v>
      </c>
      <c r="C1346" s="4" t="s">
        <v>3771</v>
      </c>
      <c r="D1346" s="4" t="s">
        <v>3772</v>
      </c>
      <c r="E1346" s="4" t="s">
        <v>443</v>
      </c>
      <c r="F1346" s="1" t="s">
        <v>508</v>
      </c>
    </row>
    <row r="1347" spans="1:6" ht="15.75" customHeight="1">
      <c r="A1347" s="4" t="s">
        <v>3773</v>
      </c>
      <c r="B1347" s="4">
        <v>2015</v>
      </c>
      <c r="C1347" s="4" t="s">
        <v>3774</v>
      </c>
      <c r="D1347" s="4" t="s">
        <v>3775</v>
      </c>
      <c r="E1347" s="4" t="s">
        <v>443</v>
      </c>
      <c r="F1347" s="1" t="s">
        <v>508</v>
      </c>
    </row>
    <row r="1348" spans="1:6" ht="15.75" customHeight="1">
      <c r="A1348" s="4" t="s">
        <v>3776</v>
      </c>
      <c r="B1348" s="4">
        <v>2023</v>
      </c>
      <c r="C1348" s="4" t="s">
        <v>3777</v>
      </c>
      <c r="D1348" s="4" t="s">
        <v>3778</v>
      </c>
      <c r="E1348" s="4" t="s">
        <v>443</v>
      </c>
      <c r="F1348" s="1" t="s">
        <v>508</v>
      </c>
    </row>
    <row r="1349" spans="1:6" ht="15.75" customHeight="1">
      <c r="A1349" s="4" t="s">
        <v>3779</v>
      </c>
      <c r="B1349" s="4">
        <v>1990</v>
      </c>
      <c r="C1349" s="4" t="s">
        <v>3780</v>
      </c>
      <c r="D1349" s="4" t="s">
        <v>3781</v>
      </c>
      <c r="E1349" s="4" t="s">
        <v>443</v>
      </c>
      <c r="F1349" s="1" t="s">
        <v>508</v>
      </c>
    </row>
    <row r="1350" spans="1:6" ht="15.75" customHeight="1">
      <c r="A1350" s="4" t="s">
        <v>3779</v>
      </c>
      <c r="B1350" s="4">
        <v>1990</v>
      </c>
      <c r="C1350" s="4" t="s">
        <v>3782</v>
      </c>
      <c r="D1350" s="4" t="s">
        <v>3783</v>
      </c>
      <c r="E1350" s="4" t="s">
        <v>443</v>
      </c>
      <c r="F1350" s="1" t="s">
        <v>508</v>
      </c>
    </row>
    <row r="1351" spans="1:6" ht="15.75" customHeight="1">
      <c r="A1351" s="4" t="s">
        <v>3779</v>
      </c>
      <c r="B1351" s="4">
        <v>1991</v>
      </c>
      <c r="C1351" s="4" t="s">
        <v>3784</v>
      </c>
      <c r="D1351" s="4" t="s">
        <v>3785</v>
      </c>
      <c r="E1351" s="4" t="s">
        <v>443</v>
      </c>
      <c r="F1351" s="1" t="s">
        <v>508</v>
      </c>
    </row>
    <row r="1352" spans="1:6" ht="15.75" customHeight="1">
      <c r="A1352" s="4" t="s">
        <v>3786</v>
      </c>
      <c r="B1352" s="4">
        <v>2000</v>
      </c>
      <c r="C1352" s="4" t="s">
        <v>3787</v>
      </c>
      <c r="D1352" s="4" t="s">
        <v>3788</v>
      </c>
      <c r="E1352" s="4" t="s">
        <v>443</v>
      </c>
      <c r="F1352" s="1" t="s">
        <v>508</v>
      </c>
    </row>
    <row r="1353" spans="1:6" ht="15.75" customHeight="1">
      <c r="A1353" s="4" t="s">
        <v>3789</v>
      </c>
      <c r="B1353" s="4">
        <v>1994</v>
      </c>
      <c r="D1353" s="4" t="s">
        <v>3790</v>
      </c>
      <c r="E1353" s="4" t="s">
        <v>443</v>
      </c>
      <c r="F1353" s="1" t="s">
        <v>508</v>
      </c>
    </row>
    <row r="1354" spans="1:6" ht="15.75" customHeight="1">
      <c r="A1354" s="4" t="s">
        <v>3789</v>
      </c>
      <c r="B1354" s="4">
        <v>2003</v>
      </c>
      <c r="D1354" s="4" t="s">
        <v>3791</v>
      </c>
      <c r="E1354" s="4" t="s">
        <v>443</v>
      </c>
      <c r="F1354" s="1" t="s">
        <v>508</v>
      </c>
    </row>
    <row r="1355" spans="1:6" ht="15.75" customHeight="1">
      <c r="A1355" s="4" t="s">
        <v>3792</v>
      </c>
      <c r="B1355" s="4">
        <v>2007</v>
      </c>
      <c r="C1355" s="4" t="s">
        <v>3793</v>
      </c>
      <c r="D1355" s="4" t="s">
        <v>3794</v>
      </c>
      <c r="E1355" s="4" t="s">
        <v>443</v>
      </c>
      <c r="F1355" s="1" t="s">
        <v>508</v>
      </c>
    </row>
    <row r="1356" spans="1:6" ht="15.75" customHeight="1">
      <c r="A1356" s="4" t="s">
        <v>3795</v>
      </c>
      <c r="B1356" s="4">
        <v>2019</v>
      </c>
      <c r="C1356" s="4" t="s">
        <v>3796</v>
      </c>
      <c r="D1356" s="4" t="s">
        <v>3797</v>
      </c>
      <c r="E1356" s="4" t="s">
        <v>443</v>
      </c>
      <c r="F1356" s="1" t="s">
        <v>508</v>
      </c>
    </row>
    <row r="1357" spans="1:6" ht="15.75" customHeight="1">
      <c r="A1357" s="4" t="s">
        <v>3795</v>
      </c>
      <c r="B1357" s="4">
        <v>2019</v>
      </c>
      <c r="C1357" s="4" t="s">
        <v>3798</v>
      </c>
      <c r="D1357" s="4" t="s">
        <v>3799</v>
      </c>
      <c r="E1357" s="4" t="s">
        <v>443</v>
      </c>
      <c r="F1357" s="1" t="s">
        <v>508</v>
      </c>
    </row>
    <row r="1358" spans="1:6" ht="15.75" customHeight="1">
      <c r="A1358" s="4" t="s">
        <v>3795</v>
      </c>
      <c r="B1358" s="4">
        <v>2021</v>
      </c>
      <c r="C1358" s="4" t="s">
        <v>3800</v>
      </c>
      <c r="D1358" s="4" t="s">
        <v>3801</v>
      </c>
      <c r="E1358" s="4" t="s">
        <v>443</v>
      </c>
      <c r="F1358" s="1" t="s">
        <v>508</v>
      </c>
    </row>
    <row r="1359" spans="1:6" ht="15.75" customHeight="1">
      <c r="A1359" s="4" t="s">
        <v>3802</v>
      </c>
      <c r="B1359" s="4">
        <v>1995</v>
      </c>
      <c r="D1359" s="4" t="s">
        <v>3803</v>
      </c>
      <c r="E1359" s="4" t="s">
        <v>443</v>
      </c>
      <c r="F1359" s="1" t="s">
        <v>508</v>
      </c>
    </row>
    <row r="1360" spans="1:6" ht="15.75" customHeight="1">
      <c r="A1360" s="4" t="s">
        <v>3804</v>
      </c>
      <c r="B1360" s="4">
        <v>1994</v>
      </c>
      <c r="C1360" s="4" t="s">
        <v>3805</v>
      </c>
      <c r="D1360" s="4" t="s">
        <v>3806</v>
      </c>
      <c r="E1360" s="4" t="s">
        <v>443</v>
      </c>
      <c r="F1360" s="1" t="s">
        <v>508</v>
      </c>
    </row>
    <row r="1361" spans="1:6" ht="15.75" customHeight="1">
      <c r="A1361" s="4" t="s">
        <v>3807</v>
      </c>
      <c r="B1361" s="4">
        <v>2001</v>
      </c>
      <c r="C1361" s="4" t="s">
        <v>3808</v>
      </c>
      <c r="D1361" s="4" t="s">
        <v>3809</v>
      </c>
      <c r="E1361" s="4" t="s">
        <v>443</v>
      </c>
      <c r="F1361" s="1" t="s">
        <v>508</v>
      </c>
    </row>
    <row r="1362" spans="1:6" ht="15.75" customHeight="1">
      <c r="A1362" s="4" t="s">
        <v>3810</v>
      </c>
      <c r="B1362" s="4">
        <v>2022</v>
      </c>
      <c r="C1362" s="4" t="s">
        <v>3811</v>
      </c>
      <c r="D1362" s="4" t="s">
        <v>3812</v>
      </c>
      <c r="E1362" s="4" t="s">
        <v>443</v>
      </c>
      <c r="F1362" s="1" t="s">
        <v>508</v>
      </c>
    </row>
    <row r="1363" spans="1:6" ht="15.75" customHeight="1">
      <c r="A1363" s="4" t="s">
        <v>3813</v>
      </c>
      <c r="B1363" s="4">
        <v>2001</v>
      </c>
      <c r="C1363" s="4" t="s">
        <v>3814</v>
      </c>
      <c r="D1363" s="4" t="s">
        <v>3815</v>
      </c>
      <c r="E1363" s="4" t="s">
        <v>443</v>
      </c>
      <c r="F1363" s="1" t="s">
        <v>508</v>
      </c>
    </row>
    <row r="1364" spans="1:6" ht="15.75" customHeight="1">
      <c r="A1364" s="4" t="s">
        <v>3816</v>
      </c>
      <c r="B1364" s="4">
        <v>2021</v>
      </c>
      <c r="C1364" s="4" t="s">
        <v>3817</v>
      </c>
      <c r="D1364" s="4" t="s">
        <v>3818</v>
      </c>
      <c r="E1364" s="4" t="s">
        <v>443</v>
      </c>
      <c r="F1364" s="1" t="s">
        <v>508</v>
      </c>
    </row>
    <row r="1365" spans="1:6" ht="15.75" customHeight="1">
      <c r="A1365" s="4" t="s">
        <v>3819</v>
      </c>
      <c r="B1365" s="4">
        <v>2012</v>
      </c>
      <c r="C1365" s="4" t="s">
        <v>3820</v>
      </c>
      <c r="D1365" s="4" t="s">
        <v>3821</v>
      </c>
      <c r="E1365" s="4" t="s">
        <v>443</v>
      </c>
      <c r="F1365" s="1" t="s">
        <v>508</v>
      </c>
    </row>
    <row r="1366" spans="1:6" ht="15.75" customHeight="1">
      <c r="A1366" s="4" t="s">
        <v>3822</v>
      </c>
      <c r="B1366" s="4">
        <v>2002</v>
      </c>
      <c r="D1366" s="4" t="s">
        <v>3823</v>
      </c>
      <c r="E1366" s="4" t="s">
        <v>443</v>
      </c>
      <c r="F1366" s="1" t="s">
        <v>508</v>
      </c>
    </row>
    <row r="1367" spans="1:6" ht="15.75" customHeight="1">
      <c r="A1367" s="4" t="s">
        <v>3824</v>
      </c>
      <c r="B1367" s="4">
        <v>1991</v>
      </c>
      <c r="D1367" s="4" t="s">
        <v>3825</v>
      </c>
      <c r="E1367" s="4" t="s">
        <v>443</v>
      </c>
      <c r="F1367" s="1" t="s">
        <v>508</v>
      </c>
    </row>
    <row r="1368" spans="1:6" ht="15.75" customHeight="1">
      <c r="A1368" s="4" t="s">
        <v>3826</v>
      </c>
      <c r="B1368" s="4">
        <v>2014</v>
      </c>
      <c r="C1368" s="4" t="s">
        <v>3827</v>
      </c>
      <c r="D1368" s="4" t="s">
        <v>3828</v>
      </c>
      <c r="E1368" s="4" t="s">
        <v>443</v>
      </c>
      <c r="F1368" s="1" t="s">
        <v>508</v>
      </c>
    </row>
    <row r="1369" spans="1:6" ht="15.75" customHeight="1">
      <c r="A1369" s="4" t="s">
        <v>3829</v>
      </c>
      <c r="B1369" s="4">
        <v>2003</v>
      </c>
      <c r="D1369" s="4" t="s">
        <v>3830</v>
      </c>
      <c r="E1369" s="4" t="s">
        <v>443</v>
      </c>
      <c r="F1369" s="1" t="s">
        <v>1047</v>
      </c>
    </row>
    <row r="1370" spans="1:6" ht="15.75" customHeight="1">
      <c r="A1370" s="4" t="s">
        <v>3831</v>
      </c>
      <c r="B1370" s="4">
        <v>2020</v>
      </c>
      <c r="C1370" s="4" t="s">
        <v>3832</v>
      </c>
      <c r="D1370" s="4" t="s">
        <v>3833</v>
      </c>
      <c r="E1370" s="4" t="s">
        <v>443</v>
      </c>
      <c r="F1370" s="1" t="s">
        <v>508</v>
      </c>
    </row>
    <row r="1371" spans="1:6" ht="15.75" customHeight="1">
      <c r="A1371" s="4" t="s">
        <v>3834</v>
      </c>
      <c r="B1371" s="4">
        <v>2015</v>
      </c>
      <c r="C1371" s="4" t="s">
        <v>3835</v>
      </c>
      <c r="D1371" s="4" t="s">
        <v>3836</v>
      </c>
      <c r="E1371" s="4" t="s">
        <v>443</v>
      </c>
      <c r="F1371" s="1" t="s">
        <v>508</v>
      </c>
    </row>
    <row r="1372" spans="1:6" ht="15.75" customHeight="1">
      <c r="A1372" s="4" t="s">
        <v>3837</v>
      </c>
      <c r="B1372" s="4">
        <v>2003</v>
      </c>
      <c r="C1372" s="4" t="s">
        <v>3838</v>
      </c>
      <c r="D1372" s="4" t="s">
        <v>3839</v>
      </c>
      <c r="E1372" s="4" t="s">
        <v>443</v>
      </c>
      <c r="F1372" s="1" t="s">
        <v>508</v>
      </c>
    </row>
    <row r="1373" spans="1:6" ht="15.75" customHeight="1">
      <c r="A1373" s="4" t="s">
        <v>3837</v>
      </c>
      <c r="B1373" s="4">
        <v>2003</v>
      </c>
      <c r="C1373" s="4" t="s">
        <v>3840</v>
      </c>
      <c r="D1373" s="4" t="s">
        <v>3841</v>
      </c>
      <c r="E1373" s="4" t="s">
        <v>443</v>
      </c>
      <c r="F1373" s="1" t="s">
        <v>508</v>
      </c>
    </row>
    <row r="1374" spans="1:6" ht="15.75" customHeight="1">
      <c r="A1374" s="4" t="s">
        <v>3842</v>
      </c>
      <c r="B1374" s="4">
        <v>1995</v>
      </c>
      <c r="C1374" s="4" t="s">
        <v>3843</v>
      </c>
      <c r="D1374" s="4" t="s">
        <v>3844</v>
      </c>
      <c r="E1374" s="4" t="s">
        <v>443</v>
      </c>
      <c r="F1374" s="1" t="s">
        <v>1047</v>
      </c>
    </row>
    <row r="1375" spans="1:6" ht="15.75" customHeight="1">
      <c r="A1375" s="4" t="s">
        <v>3845</v>
      </c>
      <c r="B1375" s="4">
        <v>2018</v>
      </c>
      <c r="C1375" s="4" t="s">
        <v>3846</v>
      </c>
      <c r="D1375" s="4" t="s">
        <v>3847</v>
      </c>
      <c r="E1375" s="4" t="s">
        <v>443</v>
      </c>
      <c r="F1375" s="1" t="s">
        <v>1047</v>
      </c>
    </row>
    <row r="1376" spans="1:6" ht="15.75" customHeight="1">
      <c r="A1376" s="4" t="s">
        <v>3848</v>
      </c>
      <c r="B1376" s="4">
        <v>2020</v>
      </c>
      <c r="C1376" s="4" t="s">
        <v>3849</v>
      </c>
      <c r="D1376" s="4" t="s">
        <v>3850</v>
      </c>
      <c r="E1376" s="4" t="s">
        <v>443</v>
      </c>
      <c r="F1376" s="1" t="s">
        <v>508</v>
      </c>
    </row>
    <row r="1377" spans="1:6" ht="15.75" customHeight="1">
      <c r="A1377" s="4" t="s">
        <v>3851</v>
      </c>
      <c r="B1377" s="4">
        <v>2020</v>
      </c>
      <c r="C1377" s="4" t="s">
        <v>3852</v>
      </c>
      <c r="D1377" s="4" t="s">
        <v>3853</v>
      </c>
      <c r="E1377" s="4" t="s">
        <v>443</v>
      </c>
      <c r="F1377" s="1" t="s">
        <v>1047</v>
      </c>
    </row>
    <row r="1378" spans="1:6" ht="15.75" customHeight="1">
      <c r="A1378" s="4" t="s">
        <v>3854</v>
      </c>
      <c r="B1378" s="4">
        <v>2007</v>
      </c>
      <c r="C1378" s="4" t="s">
        <v>3855</v>
      </c>
      <c r="D1378" s="4" t="s">
        <v>3856</v>
      </c>
      <c r="E1378" s="4" t="s">
        <v>443</v>
      </c>
      <c r="F1378" s="1" t="s">
        <v>508</v>
      </c>
    </row>
    <row r="1379" spans="1:6" ht="15.75" customHeight="1">
      <c r="A1379" s="4" t="s">
        <v>3857</v>
      </c>
      <c r="B1379" s="4">
        <v>2021</v>
      </c>
      <c r="C1379" s="4" t="s">
        <v>3858</v>
      </c>
      <c r="D1379" s="4" t="s">
        <v>3859</v>
      </c>
      <c r="E1379" s="4" t="s">
        <v>443</v>
      </c>
      <c r="F1379" s="1" t="s">
        <v>508</v>
      </c>
    </row>
    <row r="1380" spans="1:6" ht="15.75" customHeight="1">
      <c r="A1380" s="4" t="s">
        <v>3860</v>
      </c>
      <c r="B1380" s="4">
        <v>2021</v>
      </c>
      <c r="C1380" s="4" t="s">
        <v>3861</v>
      </c>
      <c r="D1380" s="4" t="s">
        <v>3862</v>
      </c>
      <c r="E1380" s="4" t="s">
        <v>443</v>
      </c>
      <c r="F1380" s="1" t="s">
        <v>508</v>
      </c>
    </row>
    <row r="1381" spans="1:6" ht="15.75" customHeight="1">
      <c r="A1381" s="4" t="s">
        <v>3863</v>
      </c>
      <c r="B1381" s="4">
        <v>2012</v>
      </c>
      <c r="C1381" s="4" t="s">
        <v>3864</v>
      </c>
      <c r="D1381" s="4" t="s">
        <v>3865</v>
      </c>
      <c r="E1381" s="4" t="s">
        <v>443</v>
      </c>
      <c r="F1381" s="1" t="s">
        <v>508</v>
      </c>
    </row>
    <row r="1382" spans="1:6" ht="15.75" customHeight="1">
      <c r="A1382" s="4" t="s">
        <v>3863</v>
      </c>
      <c r="B1382" s="4">
        <v>2011</v>
      </c>
      <c r="C1382" s="4" t="s">
        <v>3866</v>
      </c>
      <c r="D1382" s="4" t="s">
        <v>3867</v>
      </c>
      <c r="E1382" s="4" t="s">
        <v>443</v>
      </c>
      <c r="F1382" s="1" t="s">
        <v>508</v>
      </c>
    </row>
    <row r="1383" spans="1:6" ht="15.75" customHeight="1">
      <c r="A1383" s="4" t="s">
        <v>3868</v>
      </c>
      <c r="B1383" s="4">
        <v>2018</v>
      </c>
      <c r="C1383" s="4" t="s">
        <v>3869</v>
      </c>
      <c r="D1383" s="4" t="s">
        <v>3870</v>
      </c>
      <c r="E1383" s="4" t="s">
        <v>443</v>
      </c>
      <c r="F1383" s="1" t="s">
        <v>508</v>
      </c>
    </row>
    <row r="1384" spans="1:6" ht="15.75" customHeight="1">
      <c r="A1384" s="4" t="s">
        <v>3871</v>
      </c>
      <c r="B1384" s="4">
        <v>2010</v>
      </c>
      <c r="D1384" s="4" t="s">
        <v>3872</v>
      </c>
      <c r="E1384" s="4" t="s">
        <v>443</v>
      </c>
      <c r="F1384" s="1" t="s">
        <v>508</v>
      </c>
    </row>
    <row r="1385" spans="1:6" ht="15.75" customHeight="1">
      <c r="A1385" s="4" t="s">
        <v>3873</v>
      </c>
      <c r="B1385" s="4">
        <v>2017</v>
      </c>
      <c r="C1385" s="4" t="s">
        <v>3874</v>
      </c>
      <c r="D1385" s="4" t="s">
        <v>3875</v>
      </c>
      <c r="E1385" s="4" t="s">
        <v>443</v>
      </c>
      <c r="F1385" s="1" t="s">
        <v>508</v>
      </c>
    </row>
    <row r="1386" spans="1:6" ht="15.75" customHeight="1">
      <c r="A1386" s="4" t="s">
        <v>3876</v>
      </c>
      <c r="B1386" s="4">
        <v>2016</v>
      </c>
      <c r="C1386" s="4" t="s">
        <v>3877</v>
      </c>
      <c r="D1386" s="4" t="s">
        <v>3878</v>
      </c>
      <c r="E1386" s="4" t="s">
        <v>443</v>
      </c>
      <c r="F1386" s="1" t="s">
        <v>508</v>
      </c>
    </row>
    <row r="1387" spans="1:6" ht="15.75" customHeight="1">
      <c r="A1387" s="4" t="s">
        <v>3879</v>
      </c>
      <c r="B1387" s="4">
        <v>2020</v>
      </c>
      <c r="C1387" s="4" t="s">
        <v>3880</v>
      </c>
      <c r="D1387" s="4" t="s">
        <v>3881</v>
      </c>
      <c r="E1387" s="4" t="s">
        <v>443</v>
      </c>
      <c r="F1387" s="1" t="s">
        <v>508</v>
      </c>
    </row>
    <row r="1388" spans="1:6" ht="15.75" customHeight="1">
      <c r="A1388" s="4" t="s">
        <v>3882</v>
      </c>
      <c r="B1388" s="4">
        <v>2018</v>
      </c>
      <c r="C1388" s="4" t="s">
        <v>3883</v>
      </c>
      <c r="D1388" s="4" t="s">
        <v>3884</v>
      </c>
      <c r="E1388" s="4" t="s">
        <v>443</v>
      </c>
      <c r="F1388" s="1" t="s">
        <v>508</v>
      </c>
    </row>
    <row r="1389" spans="1:6" ht="15.75" customHeight="1">
      <c r="A1389" s="4" t="s">
        <v>3885</v>
      </c>
      <c r="B1389" s="4">
        <v>2022</v>
      </c>
      <c r="C1389" s="4" t="s">
        <v>3886</v>
      </c>
      <c r="D1389" s="4" t="s">
        <v>3887</v>
      </c>
      <c r="E1389" s="4" t="s">
        <v>443</v>
      </c>
      <c r="F1389" s="1" t="s">
        <v>508</v>
      </c>
    </row>
    <row r="1390" spans="1:6" ht="15.75" customHeight="1">
      <c r="A1390" s="4" t="s">
        <v>3888</v>
      </c>
      <c r="B1390" s="4">
        <v>2018</v>
      </c>
      <c r="C1390" s="4" t="s">
        <v>3889</v>
      </c>
      <c r="D1390" s="4" t="s">
        <v>3890</v>
      </c>
      <c r="E1390" s="4" t="s">
        <v>443</v>
      </c>
      <c r="F1390" s="1" t="s">
        <v>508</v>
      </c>
    </row>
    <row r="1391" spans="1:6" ht="15.75" customHeight="1">
      <c r="A1391" s="4" t="s">
        <v>3891</v>
      </c>
      <c r="B1391" s="4">
        <v>2017</v>
      </c>
      <c r="C1391" s="4" t="s">
        <v>3892</v>
      </c>
      <c r="D1391" s="4" t="s">
        <v>3893</v>
      </c>
      <c r="E1391" s="4" t="s">
        <v>443</v>
      </c>
      <c r="F1391" s="1" t="s">
        <v>508</v>
      </c>
    </row>
    <row r="1392" spans="1:6" ht="15.75" customHeight="1">
      <c r="A1392" s="4" t="s">
        <v>3894</v>
      </c>
      <c r="B1392" s="4">
        <v>2015</v>
      </c>
      <c r="C1392" s="4" t="s">
        <v>3895</v>
      </c>
      <c r="D1392" s="4" t="s">
        <v>3896</v>
      </c>
      <c r="E1392" s="4" t="s">
        <v>443</v>
      </c>
      <c r="F1392" s="1" t="s">
        <v>1047</v>
      </c>
    </row>
    <row r="1393" spans="1:6" ht="15.75" customHeight="1">
      <c r="A1393" s="4" t="s">
        <v>3897</v>
      </c>
      <c r="B1393" s="4">
        <v>2012</v>
      </c>
      <c r="D1393" s="4" t="s">
        <v>3898</v>
      </c>
      <c r="E1393" s="4" t="s">
        <v>443</v>
      </c>
      <c r="F1393" s="1" t="s">
        <v>1047</v>
      </c>
    </row>
    <row r="1394" spans="1:6" ht="15.75" customHeight="1">
      <c r="A1394" s="4" t="s">
        <v>3899</v>
      </c>
      <c r="B1394" s="4">
        <v>2020</v>
      </c>
      <c r="C1394" s="4" t="s">
        <v>3900</v>
      </c>
      <c r="D1394" s="4" t="s">
        <v>3901</v>
      </c>
      <c r="E1394" s="4" t="s">
        <v>443</v>
      </c>
      <c r="F1394" s="1" t="s">
        <v>508</v>
      </c>
    </row>
    <row r="1395" spans="1:6" ht="15.75" customHeight="1">
      <c r="A1395" s="4" t="s">
        <v>3902</v>
      </c>
      <c r="B1395" s="4">
        <v>2021</v>
      </c>
      <c r="C1395" s="4" t="s">
        <v>3903</v>
      </c>
      <c r="D1395" s="4" t="s">
        <v>3904</v>
      </c>
      <c r="E1395" s="4" t="s">
        <v>443</v>
      </c>
      <c r="F1395" s="1" t="s">
        <v>508</v>
      </c>
    </row>
    <row r="1396" spans="1:6" ht="15.75" customHeight="1">
      <c r="A1396" s="4" t="s">
        <v>3905</v>
      </c>
      <c r="B1396" s="4">
        <v>2013</v>
      </c>
      <c r="C1396" s="4" t="s">
        <v>3906</v>
      </c>
      <c r="D1396" s="4" t="s">
        <v>3907</v>
      </c>
      <c r="E1396" s="4" t="s">
        <v>443</v>
      </c>
      <c r="F1396" s="1" t="s">
        <v>508</v>
      </c>
    </row>
    <row r="1397" spans="1:6" ht="15.75" customHeight="1">
      <c r="A1397" s="4" t="s">
        <v>3908</v>
      </c>
      <c r="B1397" s="4">
        <v>1994</v>
      </c>
      <c r="C1397" s="4" t="s">
        <v>3909</v>
      </c>
      <c r="D1397" s="4" t="s">
        <v>3910</v>
      </c>
      <c r="E1397" s="4" t="s">
        <v>443</v>
      </c>
      <c r="F1397" s="1" t="s">
        <v>508</v>
      </c>
    </row>
    <row r="1398" spans="1:6" ht="15.75" customHeight="1">
      <c r="A1398" s="4" t="s">
        <v>3911</v>
      </c>
      <c r="B1398" s="4">
        <v>2016</v>
      </c>
      <c r="C1398" s="4" t="s">
        <v>3912</v>
      </c>
      <c r="D1398" s="4" t="s">
        <v>3913</v>
      </c>
      <c r="E1398" s="4" t="s">
        <v>443</v>
      </c>
      <c r="F1398" s="1" t="s">
        <v>508</v>
      </c>
    </row>
    <row r="1399" spans="1:6" ht="15.75" customHeight="1">
      <c r="A1399" s="4" t="s">
        <v>3914</v>
      </c>
      <c r="B1399" s="4">
        <v>1996</v>
      </c>
      <c r="C1399" s="4" t="s">
        <v>3915</v>
      </c>
      <c r="D1399" s="4" t="s">
        <v>3916</v>
      </c>
      <c r="E1399" s="4" t="s">
        <v>443</v>
      </c>
      <c r="F1399" s="1" t="s">
        <v>508</v>
      </c>
    </row>
    <row r="1400" spans="1:6" ht="15.75" customHeight="1">
      <c r="A1400" s="4" t="s">
        <v>3917</v>
      </c>
      <c r="B1400" s="4">
        <v>2002</v>
      </c>
      <c r="C1400" s="4" t="s">
        <v>3918</v>
      </c>
      <c r="D1400" s="4" t="s">
        <v>3919</v>
      </c>
      <c r="E1400" s="4" t="s">
        <v>443</v>
      </c>
      <c r="F1400" s="1" t="s">
        <v>508</v>
      </c>
    </row>
    <row r="1401" spans="1:6" ht="15.75" customHeight="1">
      <c r="A1401" s="4" t="s">
        <v>3920</v>
      </c>
      <c r="B1401" s="4">
        <v>2004</v>
      </c>
      <c r="C1401" s="4" t="s">
        <v>3921</v>
      </c>
      <c r="D1401" s="4" t="s">
        <v>3922</v>
      </c>
      <c r="E1401" s="4" t="s">
        <v>443</v>
      </c>
      <c r="F1401" s="1" t="s">
        <v>508</v>
      </c>
    </row>
    <row r="1402" spans="1:6" ht="15.75" customHeight="1">
      <c r="A1402" s="4" t="s">
        <v>3923</v>
      </c>
      <c r="B1402" s="4">
        <v>1993</v>
      </c>
      <c r="D1402" s="4" t="s">
        <v>3924</v>
      </c>
      <c r="E1402" s="4" t="s">
        <v>443</v>
      </c>
      <c r="F1402" s="1" t="s">
        <v>508</v>
      </c>
    </row>
    <row r="1403" spans="1:6" ht="15.75" customHeight="1">
      <c r="A1403" s="4" t="s">
        <v>3923</v>
      </c>
      <c r="B1403" s="4">
        <v>1996</v>
      </c>
      <c r="C1403" s="4" t="s">
        <v>3925</v>
      </c>
      <c r="D1403" s="4" t="s">
        <v>3926</v>
      </c>
      <c r="E1403" s="4" t="s">
        <v>443</v>
      </c>
      <c r="F1403" s="1" t="s">
        <v>508</v>
      </c>
    </row>
    <row r="1404" spans="1:6" ht="15.75" customHeight="1">
      <c r="A1404" s="4" t="s">
        <v>3927</v>
      </c>
      <c r="B1404" s="4">
        <v>2016</v>
      </c>
      <c r="C1404" s="4" t="s">
        <v>3928</v>
      </c>
      <c r="D1404" s="4" t="s">
        <v>3929</v>
      </c>
      <c r="E1404" s="4" t="s">
        <v>443</v>
      </c>
      <c r="F1404" s="1" t="s">
        <v>508</v>
      </c>
    </row>
    <row r="1405" spans="1:6" ht="15.75" customHeight="1">
      <c r="A1405" s="4" t="s">
        <v>3927</v>
      </c>
      <c r="B1405" s="4">
        <v>2017</v>
      </c>
      <c r="C1405" s="4" t="s">
        <v>3930</v>
      </c>
      <c r="D1405" s="4" t="s">
        <v>3931</v>
      </c>
      <c r="E1405" s="4" t="s">
        <v>443</v>
      </c>
      <c r="F1405" s="1" t="s">
        <v>508</v>
      </c>
    </row>
    <row r="1406" spans="1:6" ht="15.75" customHeight="1">
      <c r="A1406" s="4" t="s">
        <v>3932</v>
      </c>
      <c r="B1406" s="4">
        <v>2012</v>
      </c>
      <c r="C1406" s="4" t="s">
        <v>3933</v>
      </c>
      <c r="D1406" s="4" t="s">
        <v>3934</v>
      </c>
      <c r="E1406" s="4" t="s">
        <v>443</v>
      </c>
      <c r="F1406" s="1" t="s">
        <v>508</v>
      </c>
    </row>
    <row r="1407" spans="1:6" ht="15.75" customHeight="1">
      <c r="A1407" s="4" t="s">
        <v>3935</v>
      </c>
      <c r="B1407" s="4">
        <v>2022</v>
      </c>
      <c r="C1407" s="4" t="s">
        <v>3936</v>
      </c>
      <c r="D1407" s="4" t="s">
        <v>3937</v>
      </c>
      <c r="E1407" s="4" t="s">
        <v>443</v>
      </c>
      <c r="F1407" s="1" t="s">
        <v>508</v>
      </c>
    </row>
    <row r="1408" spans="1:6" ht="15.75" customHeight="1">
      <c r="A1408" s="4" t="s">
        <v>3938</v>
      </c>
      <c r="B1408" s="4">
        <v>2018</v>
      </c>
      <c r="C1408" s="4" t="s">
        <v>3939</v>
      </c>
      <c r="D1408" s="4" t="s">
        <v>3940</v>
      </c>
      <c r="E1408" s="4" t="s">
        <v>443</v>
      </c>
      <c r="F1408" s="1" t="s">
        <v>508</v>
      </c>
    </row>
    <row r="1409" spans="1:6" ht="15.75" customHeight="1">
      <c r="A1409" s="4" t="s">
        <v>3941</v>
      </c>
      <c r="B1409" s="4">
        <v>2005</v>
      </c>
      <c r="C1409" s="4" t="s">
        <v>3942</v>
      </c>
      <c r="D1409" s="4" t="s">
        <v>3943</v>
      </c>
      <c r="E1409" s="4" t="s">
        <v>443</v>
      </c>
      <c r="F1409" s="1" t="s">
        <v>508</v>
      </c>
    </row>
    <row r="1410" spans="1:6" ht="15.75" customHeight="1">
      <c r="A1410" s="4" t="s">
        <v>280</v>
      </c>
      <c r="B1410" s="4">
        <v>1995</v>
      </c>
      <c r="C1410" s="4" t="s">
        <v>3944</v>
      </c>
      <c r="D1410" s="4" t="s">
        <v>3945</v>
      </c>
      <c r="E1410" s="4" t="s">
        <v>443</v>
      </c>
      <c r="F1410" s="1" t="s">
        <v>508</v>
      </c>
    </row>
    <row r="1411" spans="1:6" ht="15.75" customHeight="1">
      <c r="A1411" s="4" t="s">
        <v>3946</v>
      </c>
      <c r="B1411" s="4">
        <v>2014</v>
      </c>
      <c r="C1411" s="4" t="s">
        <v>3947</v>
      </c>
      <c r="D1411" s="4" t="s">
        <v>3948</v>
      </c>
      <c r="E1411" s="4" t="s">
        <v>443</v>
      </c>
      <c r="F1411" s="1" t="s">
        <v>508</v>
      </c>
    </row>
    <row r="1412" spans="1:6" ht="15.75" customHeight="1">
      <c r="A1412" s="4" t="s">
        <v>3946</v>
      </c>
      <c r="B1412" s="4">
        <v>2016</v>
      </c>
      <c r="C1412" s="4" t="s">
        <v>3949</v>
      </c>
      <c r="D1412" s="4" t="s">
        <v>3950</v>
      </c>
      <c r="E1412" s="4" t="s">
        <v>443</v>
      </c>
      <c r="F1412" s="1" t="s">
        <v>508</v>
      </c>
    </row>
    <row r="1413" spans="1:6" ht="15.75" customHeight="1">
      <c r="A1413" s="4" t="s">
        <v>3951</v>
      </c>
      <c r="B1413" s="4">
        <v>1997</v>
      </c>
      <c r="C1413" s="4" t="s">
        <v>3952</v>
      </c>
      <c r="D1413" s="4" t="s">
        <v>3953</v>
      </c>
      <c r="E1413" s="4" t="s">
        <v>443</v>
      </c>
      <c r="F1413" s="1" t="s">
        <v>508</v>
      </c>
    </row>
    <row r="1414" spans="1:6" ht="15.75" customHeight="1">
      <c r="A1414" s="4" t="s">
        <v>3951</v>
      </c>
      <c r="B1414" s="4">
        <v>1998</v>
      </c>
      <c r="C1414" s="4" t="s">
        <v>3954</v>
      </c>
      <c r="D1414" s="4" t="s">
        <v>3955</v>
      </c>
      <c r="E1414" s="4" t="s">
        <v>443</v>
      </c>
      <c r="F1414" s="1" t="s">
        <v>508</v>
      </c>
    </row>
    <row r="1415" spans="1:6" ht="15.75" customHeight="1">
      <c r="A1415" s="4" t="s">
        <v>3956</v>
      </c>
      <c r="B1415" s="4">
        <v>1995</v>
      </c>
      <c r="D1415" s="4" t="s">
        <v>3957</v>
      </c>
      <c r="E1415" s="4" t="s">
        <v>443</v>
      </c>
      <c r="F1415" s="1" t="s">
        <v>508</v>
      </c>
    </row>
    <row r="1416" spans="1:6" ht="15.75" customHeight="1">
      <c r="A1416" s="4" t="s">
        <v>3958</v>
      </c>
      <c r="B1416" s="4">
        <v>2019</v>
      </c>
      <c r="C1416" s="4" t="s">
        <v>3959</v>
      </c>
      <c r="D1416" s="4" t="s">
        <v>3960</v>
      </c>
      <c r="E1416" s="4" t="s">
        <v>443</v>
      </c>
      <c r="F1416" s="1" t="s">
        <v>508</v>
      </c>
    </row>
    <row r="1417" spans="1:6" ht="15.75" customHeight="1">
      <c r="A1417" s="4" t="s">
        <v>3961</v>
      </c>
      <c r="B1417" s="4">
        <v>2008</v>
      </c>
      <c r="C1417" s="4" t="s">
        <v>3962</v>
      </c>
      <c r="D1417" s="4" t="s">
        <v>3963</v>
      </c>
      <c r="E1417" s="4" t="s">
        <v>443</v>
      </c>
      <c r="F1417" s="1" t="s">
        <v>508</v>
      </c>
    </row>
    <row r="1418" spans="1:6" ht="15.75" customHeight="1">
      <c r="A1418" s="4" t="s">
        <v>3964</v>
      </c>
      <c r="B1418" s="4">
        <v>2014</v>
      </c>
      <c r="C1418" s="4" t="s">
        <v>3965</v>
      </c>
      <c r="D1418" s="4" t="s">
        <v>3966</v>
      </c>
      <c r="E1418" s="4" t="s">
        <v>443</v>
      </c>
      <c r="F1418" s="1" t="s">
        <v>508</v>
      </c>
    </row>
    <row r="1419" spans="1:6" ht="15.75" customHeight="1">
      <c r="A1419" s="4" t="s">
        <v>3967</v>
      </c>
      <c r="B1419" s="4">
        <v>2016</v>
      </c>
      <c r="C1419" s="4" t="s">
        <v>3968</v>
      </c>
      <c r="D1419" s="4" t="s">
        <v>3969</v>
      </c>
      <c r="E1419" s="4" t="s">
        <v>443</v>
      </c>
      <c r="F1419" s="1" t="s">
        <v>508</v>
      </c>
    </row>
    <row r="1420" spans="1:6" ht="15.75" customHeight="1">
      <c r="A1420" s="4" t="s">
        <v>3970</v>
      </c>
      <c r="B1420" s="4">
        <v>2014</v>
      </c>
      <c r="C1420" s="4" t="s">
        <v>3971</v>
      </c>
      <c r="D1420" s="4" t="s">
        <v>3972</v>
      </c>
      <c r="E1420" s="4" t="s">
        <v>443</v>
      </c>
      <c r="F1420" s="1" t="s">
        <v>508</v>
      </c>
    </row>
    <row r="1421" spans="1:6" ht="15.75" customHeight="1">
      <c r="A1421" s="4" t="s">
        <v>3973</v>
      </c>
      <c r="B1421" s="4">
        <v>2010</v>
      </c>
      <c r="C1421" s="4" t="s">
        <v>3974</v>
      </c>
      <c r="D1421" s="4" t="s">
        <v>3975</v>
      </c>
      <c r="E1421" s="4" t="s">
        <v>443</v>
      </c>
      <c r="F1421" s="1" t="s">
        <v>508</v>
      </c>
    </row>
    <row r="1422" spans="1:6" ht="15.75" customHeight="1">
      <c r="A1422" s="4" t="s">
        <v>3973</v>
      </c>
      <c r="B1422" s="4">
        <v>2011</v>
      </c>
      <c r="C1422" s="4" t="s">
        <v>3976</v>
      </c>
      <c r="D1422" s="4" t="s">
        <v>3977</v>
      </c>
      <c r="E1422" s="4" t="s">
        <v>443</v>
      </c>
      <c r="F1422" s="1" t="s">
        <v>508</v>
      </c>
    </row>
    <row r="1423" spans="1:6" ht="15.75" customHeight="1">
      <c r="A1423" s="4" t="s">
        <v>3978</v>
      </c>
      <c r="B1423" s="4">
        <v>2011</v>
      </c>
      <c r="C1423" s="4" t="s">
        <v>3979</v>
      </c>
      <c r="D1423" s="4" t="s">
        <v>3980</v>
      </c>
      <c r="E1423" s="4" t="s">
        <v>443</v>
      </c>
      <c r="F1423" s="1" t="s">
        <v>508</v>
      </c>
    </row>
    <row r="1424" spans="1:6" ht="15.75" customHeight="1">
      <c r="A1424" s="4" t="s">
        <v>3978</v>
      </c>
      <c r="B1424" s="4">
        <v>2013</v>
      </c>
      <c r="C1424" s="4" t="s">
        <v>3981</v>
      </c>
      <c r="D1424" s="4" t="s">
        <v>3982</v>
      </c>
      <c r="E1424" s="4" t="s">
        <v>443</v>
      </c>
      <c r="F1424" s="1" t="s">
        <v>508</v>
      </c>
    </row>
    <row r="1425" spans="1:6" ht="15.75" customHeight="1">
      <c r="A1425" s="4" t="s">
        <v>3983</v>
      </c>
      <c r="B1425" s="4">
        <v>2010</v>
      </c>
      <c r="C1425" s="4" t="s">
        <v>3984</v>
      </c>
      <c r="D1425" s="4" t="s">
        <v>3985</v>
      </c>
      <c r="E1425" s="4" t="s">
        <v>443</v>
      </c>
      <c r="F1425" s="1" t="s">
        <v>508</v>
      </c>
    </row>
    <row r="1426" spans="1:6" ht="15.75" customHeight="1">
      <c r="A1426" s="4" t="s">
        <v>3986</v>
      </c>
      <c r="B1426" s="4">
        <v>2018</v>
      </c>
      <c r="C1426" s="4" t="s">
        <v>3987</v>
      </c>
      <c r="D1426" s="4" t="s">
        <v>3988</v>
      </c>
      <c r="E1426" s="4" t="s">
        <v>443</v>
      </c>
      <c r="F1426" s="1" t="s">
        <v>508</v>
      </c>
    </row>
    <row r="1427" spans="1:6" ht="15.75" customHeight="1">
      <c r="A1427" s="4" t="s">
        <v>3989</v>
      </c>
      <c r="B1427" s="4">
        <v>2006</v>
      </c>
      <c r="C1427" s="4" t="s">
        <v>3990</v>
      </c>
      <c r="D1427" s="4" t="s">
        <v>3991</v>
      </c>
      <c r="E1427" s="4" t="s">
        <v>443</v>
      </c>
      <c r="F1427" s="1" t="s">
        <v>508</v>
      </c>
    </row>
    <row r="1428" spans="1:6" ht="15.75" customHeight="1">
      <c r="A1428" s="4" t="s">
        <v>3989</v>
      </c>
      <c r="B1428" s="4">
        <v>2007</v>
      </c>
      <c r="C1428" s="4" t="s">
        <v>3992</v>
      </c>
      <c r="D1428" s="4" t="s">
        <v>3993</v>
      </c>
      <c r="E1428" s="4" t="s">
        <v>443</v>
      </c>
      <c r="F1428" s="1" t="s">
        <v>508</v>
      </c>
    </row>
    <row r="1429" spans="1:6" ht="15.75" customHeight="1">
      <c r="A1429" s="4" t="s">
        <v>3989</v>
      </c>
      <c r="B1429" s="4">
        <v>2002</v>
      </c>
      <c r="D1429" s="4" t="s">
        <v>3994</v>
      </c>
      <c r="E1429" s="4" t="s">
        <v>443</v>
      </c>
      <c r="F1429" s="1" t="s">
        <v>1047</v>
      </c>
    </row>
    <row r="1430" spans="1:6" ht="15.75" customHeight="1">
      <c r="A1430" s="4" t="s">
        <v>3995</v>
      </c>
      <c r="B1430" s="4">
        <v>1991</v>
      </c>
      <c r="C1430" s="4" t="s">
        <v>3996</v>
      </c>
      <c r="D1430" s="4" t="s">
        <v>3997</v>
      </c>
      <c r="E1430" s="4" t="s">
        <v>443</v>
      </c>
      <c r="F1430" s="1" t="s">
        <v>508</v>
      </c>
    </row>
    <row r="1431" spans="1:6" ht="15.75" customHeight="1">
      <c r="A1431" s="4" t="s">
        <v>3995</v>
      </c>
      <c r="B1431" s="4">
        <v>1989</v>
      </c>
      <c r="C1431" s="4" t="s">
        <v>3998</v>
      </c>
      <c r="D1431" s="4" t="s">
        <v>3999</v>
      </c>
      <c r="E1431" s="4" t="s">
        <v>443</v>
      </c>
      <c r="F1431" s="1" t="s">
        <v>508</v>
      </c>
    </row>
    <row r="1432" spans="1:6" ht="15.75" customHeight="1">
      <c r="A1432" s="4" t="s">
        <v>4000</v>
      </c>
      <c r="B1432" s="4">
        <v>2005</v>
      </c>
      <c r="C1432" s="4" t="s">
        <v>4001</v>
      </c>
      <c r="D1432" s="4" t="s">
        <v>4002</v>
      </c>
      <c r="E1432" s="4" t="s">
        <v>443</v>
      </c>
      <c r="F1432" s="1" t="s">
        <v>508</v>
      </c>
    </row>
    <row r="1433" spans="1:6" ht="15.75" customHeight="1">
      <c r="A1433" s="4" t="s">
        <v>4003</v>
      </c>
      <c r="B1433" s="4">
        <v>1995</v>
      </c>
      <c r="C1433" s="4" t="s">
        <v>4004</v>
      </c>
      <c r="D1433" s="4" t="s">
        <v>4005</v>
      </c>
      <c r="E1433" s="4" t="s">
        <v>443</v>
      </c>
      <c r="F1433" s="1" t="s">
        <v>508</v>
      </c>
    </row>
    <row r="1434" spans="1:6" ht="15.75" customHeight="1">
      <c r="A1434" s="4" t="s">
        <v>4006</v>
      </c>
      <c r="B1434" s="4">
        <v>2010</v>
      </c>
      <c r="C1434" s="4" t="s">
        <v>4007</v>
      </c>
      <c r="D1434" s="4" t="s">
        <v>4008</v>
      </c>
      <c r="E1434" s="4" t="s">
        <v>443</v>
      </c>
      <c r="F1434" s="1" t="s">
        <v>508</v>
      </c>
    </row>
    <row r="1435" spans="1:6" ht="15.75" customHeight="1">
      <c r="A1435" s="4" t="s">
        <v>4009</v>
      </c>
      <c r="B1435" s="4">
        <v>2020</v>
      </c>
      <c r="C1435" s="4" t="s">
        <v>4010</v>
      </c>
      <c r="D1435" s="4" t="s">
        <v>4011</v>
      </c>
      <c r="E1435" s="4" t="s">
        <v>443</v>
      </c>
      <c r="F1435" s="1" t="s">
        <v>508</v>
      </c>
    </row>
    <row r="1436" spans="1:6" ht="15.75" customHeight="1">
      <c r="A1436" s="4" t="s">
        <v>4012</v>
      </c>
      <c r="B1436" s="4">
        <v>2003</v>
      </c>
      <c r="D1436" s="4" t="s">
        <v>4013</v>
      </c>
      <c r="E1436" s="4" t="s">
        <v>443</v>
      </c>
      <c r="F1436" s="1" t="s">
        <v>1047</v>
      </c>
    </row>
    <row r="1437" spans="1:6" ht="15.75" customHeight="1">
      <c r="A1437" s="4" t="s">
        <v>4014</v>
      </c>
      <c r="B1437" s="4">
        <v>2016</v>
      </c>
      <c r="C1437" s="4" t="s">
        <v>4015</v>
      </c>
      <c r="D1437" s="4" t="s">
        <v>4016</v>
      </c>
      <c r="E1437" s="4" t="s">
        <v>443</v>
      </c>
      <c r="F1437" s="1" t="s">
        <v>508</v>
      </c>
    </row>
    <row r="1438" spans="1:6" ht="15.75" customHeight="1">
      <c r="A1438" s="4" t="s">
        <v>4017</v>
      </c>
      <c r="B1438" s="4">
        <v>1996</v>
      </c>
      <c r="C1438" s="4" t="s">
        <v>4018</v>
      </c>
      <c r="D1438" s="4" t="s">
        <v>4019</v>
      </c>
      <c r="E1438" s="4" t="s">
        <v>443</v>
      </c>
      <c r="F1438" s="1" t="s">
        <v>508</v>
      </c>
    </row>
    <row r="1439" spans="1:6" ht="15.75" customHeight="1">
      <c r="A1439" s="4" t="s">
        <v>4017</v>
      </c>
      <c r="B1439" s="4">
        <v>1997</v>
      </c>
      <c r="C1439" s="4" t="s">
        <v>4020</v>
      </c>
      <c r="D1439" s="4" t="s">
        <v>4021</v>
      </c>
      <c r="E1439" s="4" t="s">
        <v>443</v>
      </c>
      <c r="F1439" s="1" t="s">
        <v>508</v>
      </c>
    </row>
    <row r="1440" spans="1:6" ht="15.75" customHeight="1">
      <c r="A1440" s="4" t="s">
        <v>4017</v>
      </c>
      <c r="B1440" s="4">
        <v>1995</v>
      </c>
      <c r="D1440" s="4" t="s">
        <v>4022</v>
      </c>
      <c r="E1440" s="4" t="s">
        <v>443</v>
      </c>
      <c r="F1440" s="1" t="s">
        <v>508</v>
      </c>
    </row>
    <row r="1441" spans="1:6" ht="15.75" customHeight="1">
      <c r="A1441" s="4" t="s">
        <v>4017</v>
      </c>
      <c r="B1441" s="4">
        <v>2000</v>
      </c>
      <c r="C1441" s="4" t="s">
        <v>4023</v>
      </c>
      <c r="D1441" s="4" t="s">
        <v>4024</v>
      </c>
      <c r="E1441" s="4" t="s">
        <v>443</v>
      </c>
      <c r="F1441" s="1" t="s">
        <v>508</v>
      </c>
    </row>
    <row r="1442" spans="1:6" ht="15.75" customHeight="1">
      <c r="A1442" s="4" t="s">
        <v>4017</v>
      </c>
      <c r="B1442" s="4">
        <v>2000</v>
      </c>
      <c r="C1442" s="4" t="s">
        <v>4025</v>
      </c>
      <c r="D1442" s="4" t="s">
        <v>4026</v>
      </c>
      <c r="E1442" s="4" t="s">
        <v>443</v>
      </c>
      <c r="F1442" s="1" t="s">
        <v>508</v>
      </c>
    </row>
    <row r="1443" spans="1:6" ht="15.75" customHeight="1">
      <c r="A1443" s="4" t="s">
        <v>4017</v>
      </c>
      <c r="B1443" s="4">
        <v>2002</v>
      </c>
      <c r="C1443" s="4" t="s">
        <v>4027</v>
      </c>
      <c r="D1443" s="4" t="s">
        <v>4028</v>
      </c>
      <c r="E1443" s="4" t="s">
        <v>443</v>
      </c>
      <c r="F1443" s="1" t="s">
        <v>508</v>
      </c>
    </row>
    <row r="1444" spans="1:6" ht="15.75" customHeight="1">
      <c r="A1444" s="4" t="s">
        <v>4017</v>
      </c>
      <c r="B1444" s="4">
        <v>2002</v>
      </c>
      <c r="C1444" s="4" t="s">
        <v>4029</v>
      </c>
      <c r="D1444" s="4" t="s">
        <v>4030</v>
      </c>
      <c r="E1444" s="4" t="s">
        <v>443</v>
      </c>
      <c r="F1444" s="1" t="s">
        <v>508</v>
      </c>
    </row>
    <row r="1445" spans="1:6" ht="15.75" customHeight="1">
      <c r="A1445" s="4" t="s">
        <v>4017</v>
      </c>
      <c r="B1445" s="4">
        <v>2021</v>
      </c>
      <c r="C1445" s="4" t="s">
        <v>4031</v>
      </c>
      <c r="D1445" s="4" t="s">
        <v>4032</v>
      </c>
      <c r="E1445" s="4" t="s">
        <v>443</v>
      </c>
      <c r="F1445" s="1" t="s">
        <v>508</v>
      </c>
    </row>
    <row r="1446" spans="1:6" ht="15.75" customHeight="1">
      <c r="A1446" s="4" t="s">
        <v>4017</v>
      </c>
      <c r="B1446" s="4">
        <v>2000</v>
      </c>
      <c r="C1446" s="4" t="s">
        <v>4033</v>
      </c>
      <c r="D1446" s="4" t="s">
        <v>4034</v>
      </c>
      <c r="E1446" s="4" t="s">
        <v>443</v>
      </c>
      <c r="F1446" s="1" t="s">
        <v>508</v>
      </c>
    </row>
    <row r="1447" spans="1:6" ht="15.75" customHeight="1">
      <c r="A1447" s="4" t="s">
        <v>4017</v>
      </c>
      <c r="B1447" s="4">
        <v>1998</v>
      </c>
      <c r="C1447" s="4" t="s">
        <v>4035</v>
      </c>
      <c r="D1447" s="4" t="s">
        <v>4036</v>
      </c>
      <c r="E1447" s="4" t="s">
        <v>443</v>
      </c>
      <c r="F1447" s="1" t="s">
        <v>508</v>
      </c>
    </row>
    <row r="1448" spans="1:6" ht="15.75" customHeight="1">
      <c r="A1448" s="4" t="s">
        <v>4017</v>
      </c>
      <c r="B1448" s="4">
        <v>1999</v>
      </c>
      <c r="C1448" s="4" t="s">
        <v>4037</v>
      </c>
      <c r="D1448" s="4" t="s">
        <v>4038</v>
      </c>
      <c r="E1448" s="4" t="s">
        <v>443</v>
      </c>
      <c r="F1448" s="1" t="s">
        <v>508</v>
      </c>
    </row>
    <row r="1449" spans="1:6" ht="15.75" customHeight="1">
      <c r="A1449" s="4" t="s">
        <v>4017</v>
      </c>
      <c r="B1449" s="4">
        <v>1998</v>
      </c>
      <c r="D1449" s="4" t="s">
        <v>4039</v>
      </c>
      <c r="E1449" s="4" t="s">
        <v>443</v>
      </c>
      <c r="F1449" s="1" t="s">
        <v>508</v>
      </c>
    </row>
    <row r="1450" spans="1:6" ht="15.75" customHeight="1">
      <c r="A1450" s="4" t="s">
        <v>4040</v>
      </c>
      <c r="B1450" s="4">
        <v>2021</v>
      </c>
      <c r="C1450" s="4" t="s">
        <v>4041</v>
      </c>
      <c r="D1450" s="4" t="s">
        <v>4042</v>
      </c>
      <c r="E1450" s="4" t="s">
        <v>443</v>
      </c>
      <c r="F1450" s="1" t="s">
        <v>508</v>
      </c>
    </row>
    <row r="1451" spans="1:6" ht="15.75" customHeight="1">
      <c r="A1451" s="4" t="s">
        <v>4043</v>
      </c>
      <c r="B1451" s="4">
        <v>2015</v>
      </c>
      <c r="C1451" s="4" t="s">
        <v>4044</v>
      </c>
      <c r="D1451" s="4" t="s">
        <v>4045</v>
      </c>
      <c r="E1451" s="4" t="s">
        <v>443</v>
      </c>
      <c r="F1451" s="1" t="s">
        <v>508</v>
      </c>
    </row>
    <row r="1452" spans="1:6" ht="15.75" customHeight="1">
      <c r="A1452" s="4" t="s">
        <v>4046</v>
      </c>
      <c r="B1452" s="4">
        <v>2009</v>
      </c>
      <c r="C1452" s="4" t="s">
        <v>4047</v>
      </c>
      <c r="D1452" s="4" t="s">
        <v>4048</v>
      </c>
      <c r="E1452" s="4" t="s">
        <v>443</v>
      </c>
      <c r="F1452" s="1" t="s">
        <v>508</v>
      </c>
    </row>
    <row r="1453" spans="1:6" ht="15.75" customHeight="1">
      <c r="A1453" s="4" t="s">
        <v>4049</v>
      </c>
      <c r="B1453" s="4">
        <v>2002</v>
      </c>
      <c r="C1453" s="4" t="s">
        <v>4050</v>
      </c>
      <c r="D1453" s="4" t="s">
        <v>4051</v>
      </c>
      <c r="E1453" s="4" t="s">
        <v>443</v>
      </c>
      <c r="F1453" s="1" t="s">
        <v>508</v>
      </c>
    </row>
    <row r="1454" spans="1:6" ht="15.75" customHeight="1">
      <c r="A1454" s="4" t="s">
        <v>4052</v>
      </c>
      <c r="B1454" s="4">
        <v>2021</v>
      </c>
      <c r="C1454" s="4" t="s">
        <v>4053</v>
      </c>
      <c r="D1454" s="4" t="s">
        <v>4054</v>
      </c>
      <c r="E1454" s="4" t="s">
        <v>443</v>
      </c>
      <c r="F1454" s="1" t="s">
        <v>1047</v>
      </c>
    </row>
    <row r="1455" spans="1:6" ht="15.75" customHeight="1">
      <c r="A1455" s="4" t="s">
        <v>4055</v>
      </c>
      <c r="B1455" s="4">
        <v>2022</v>
      </c>
      <c r="C1455" s="4" t="s">
        <v>4056</v>
      </c>
      <c r="D1455" s="4" t="s">
        <v>4057</v>
      </c>
      <c r="E1455" s="4" t="s">
        <v>443</v>
      </c>
      <c r="F1455" s="1" t="s">
        <v>508</v>
      </c>
    </row>
    <row r="1456" spans="1:6" ht="15.75" customHeight="1">
      <c r="A1456" s="4" t="s">
        <v>4058</v>
      </c>
      <c r="B1456" s="4">
        <v>2022</v>
      </c>
      <c r="C1456" s="4" t="s">
        <v>4059</v>
      </c>
      <c r="D1456" s="4" t="s">
        <v>4060</v>
      </c>
      <c r="E1456" s="4" t="s">
        <v>443</v>
      </c>
      <c r="F1456" s="1" t="s">
        <v>508</v>
      </c>
    </row>
    <row r="1457" spans="1:6" ht="15.75" customHeight="1">
      <c r="A1457" s="4" t="s">
        <v>4061</v>
      </c>
      <c r="B1457" s="4">
        <v>1996</v>
      </c>
      <c r="C1457" s="4" t="s">
        <v>4062</v>
      </c>
      <c r="D1457" s="4" t="s">
        <v>4063</v>
      </c>
      <c r="E1457" s="4" t="s">
        <v>443</v>
      </c>
      <c r="F1457" s="1" t="s">
        <v>508</v>
      </c>
    </row>
    <row r="1458" spans="1:6" ht="15.75" customHeight="1">
      <c r="A1458" s="4" t="s">
        <v>4064</v>
      </c>
      <c r="B1458" s="4">
        <v>2003</v>
      </c>
      <c r="C1458" s="4" t="s">
        <v>4065</v>
      </c>
      <c r="D1458" s="4" t="s">
        <v>4066</v>
      </c>
      <c r="E1458" s="4" t="s">
        <v>443</v>
      </c>
      <c r="F1458" s="1" t="s">
        <v>508</v>
      </c>
    </row>
    <row r="1459" spans="1:6" ht="15.75" customHeight="1">
      <c r="A1459" s="4" t="s">
        <v>4067</v>
      </c>
      <c r="B1459" s="4">
        <v>2005</v>
      </c>
      <c r="C1459" s="4" t="s">
        <v>4068</v>
      </c>
      <c r="D1459" s="4" t="s">
        <v>4069</v>
      </c>
      <c r="E1459" s="4" t="s">
        <v>443</v>
      </c>
      <c r="F1459" s="1" t="s">
        <v>508</v>
      </c>
    </row>
    <row r="1460" spans="1:6" ht="15.75" customHeight="1">
      <c r="A1460" s="4" t="s">
        <v>4070</v>
      </c>
      <c r="B1460" s="4">
        <v>2013</v>
      </c>
      <c r="C1460" s="4" t="s">
        <v>4071</v>
      </c>
      <c r="D1460" s="4" t="s">
        <v>4072</v>
      </c>
      <c r="E1460" s="4" t="s">
        <v>443</v>
      </c>
      <c r="F1460" s="1" t="s">
        <v>508</v>
      </c>
    </row>
    <row r="1461" spans="1:6" ht="15.75" customHeight="1">
      <c r="A1461" s="4" t="s">
        <v>4073</v>
      </c>
      <c r="B1461" s="4">
        <v>2006</v>
      </c>
      <c r="C1461" s="4" t="s">
        <v>4074</v>
      </c>
      <c r="D1461" s="4" t="s">
        <v>4075</v>
      </c>
      <c r="E1461" s="4" t="s">
        <v>443</v>
      </c>
      <c r="F1461" s="1" t="s">
        <v>508</v>
      </c>
    </row>
    <row r="1462" spans="1:6" ht="15.75" customHeight="1">
      <c r="A1462" s="4" t="s">
        <v>4076</v>
      </c>
      <c r="B1462" s="4">
        <v>2008</v>
      </c>
      <c r="C1462" s="4" t="s">
        <v>4077</v>
      </c>
      <c r="D1462" s="4" t="s">
        <v>4078</v>
      </c>
      <c r="E1462" s="4" t="s">
        <v>443</v>
      </c>
      <c r="F1462" s="1" t="s">
        <v>508</v>
      </c>
    </row>
    <row r="1463" spans="1:6" ht="15.75" customHeight="1">
      <c r="A1463" s="4" t="s">
        <v>4079</v>
      </c>
      <c r="B1463" s="4">
        <v>2014</v>
      </c>
      <c r="C1463" s="4" t="s">
        <v>4080</v>
      </c>
      <c r="D1463" s="4" t="s">
        <v>4081</v>
      </c>
      <c r="E1463" s="4" t="s">
        <v>443</v>
      </c>
      <c r="F1463" s="1" t="s">
        <v>508</v>
      </c>
    </row>
    <row r="1464" spans="1:6" ht="15.75" customHeight="1">
      <c r="A1464" s="4" t="s">
        <v>4082</v>
      </c>
      <c r="B1464" s="4">
        <v>2003</v>
      </c>
      <c r="C1464" s="4" t="s">
        <v>4083</v>
      </c>
      <c r="D1464" s="4" t="s">
        <v>4084</v>
      </c>
      <c r="E1464" s="4" t="s">
        <v>443</v>
      </c>
      <c r="F1464" s="1" t="s">
        <v>508</v>
      </c>
    </row>
    <row r="1465" spans="1:6" ht="15.75" customHeight="1">
      <c r="A1465" s="4" t="s">
        <v>4085</v>
      </c>
      <c r="B1465" s="4">
        <v>1997</v>
      </c>
      <c r="C1465" s="4" t="s">
        <v>4086</v>
      </c>
      <c r="D1465" s="4" t="s">
        <v>4087</v>
      </c>
      <c r="E1465" s="4" t="s">
        <v>443</v>
      </c>
      <c r="F1465" s="1" t="s">
        <v>508</v>
      </c>
    </row>
    <row r="1466" spans="1:6" ht="15.75" customHeight="1">
      <c r="A1466" s="4" t="s">
        <v>4088</v>
      </c>
      <c r="B1466" s="4">
        <v>2016</v>
      </c>
      <c r="C1466" s="4" t="s">
        <v>4089</v>
      </c>
      <c r="D1466" s="4" t="s">
        <v>4090</v>
      </c>
      <c r="E1466" s="4" t="s">
        <v>443</v>
      </c>
      <c r="F1466" s="1" t="s">
        <v>508</v>
      </c>
    </row>
    <row r="1467" spans="1:6" ht="15.75" customHeight="1">
      <c r="A1467" s="4" t="s">
        <v>4091</v>
      </c>
      <c r="B1467" s="4">
        <v>1993</v>
      </c>
      <c r="D1467" s="4" t="s">
        <v>4092</v>
      </c>
      <c r="E1467" s="4" t="s">
        <v>443</v>
      </c>
      <c r="F1467" s="1" t="s">
        <v>1047</v>
      </c>
    </row>
    <row r="1468" spans="1:6" ht="15.75" customHeight="1">
      <c r="A1468" s="4" t="s">
        <v>4093</v>
      </c>
      <c r="B1468" s="4">
        <v>2013</v>
      </c>
      <c r="C1468" s="4" t="s">
        <v>4094</v>
      </c>
      <c r="D1468" s="4" t="s">
        <v>4095</v>
      </c>
      <c r="E1468" s="4" t="s">
        <v>443</v>
      </c>
      <c r="F1468" s="1" t="s">
        <v>508</v>
      </c>
    </row>
    <row r="1469" spans="1:6" ht="15.75" customHeight="1">
      <c r="A1469" s="4" t="s">
        <v>4096</v>
      </c>
      <c r="B1469" s="4">
        <v>2007</v>
      </c>
      <c r="D1469" s="4" t="s">
        <v>4097</v>
      </c>
      <c r="E1469" s="4" t="s">
        <v>443</v>
      </c>
      <c r="F1469" s="1" t="s">
        <v>508</v>
      </c>
    </row>
    <row r="1470" spans="1:6" ht="15.75" customHeight="1">
      <c r="A1470" s="4" t="s">
        <v>4098</v>
      </c>
      <c r="B1470" s="4">
        <v>2007</v>
      </c>
      <c r="C1470" s="4" t="s">
        <v>4099</v>
      </c>
      <c r="D1470" s="4" t="s">
        <v>4100</v>
      </c>
      <c r="E1470" s="4" t="s">
        <v>443</v>
      </c>
      <c r="F1470" s="1" t="s">
        <v>508</v>
      </c>
    </row>
    <row r="1471" spans="1:6" ht="15.75" customHeight="1">
      <c r="A1471" s="4" t="s">
        <v>4101</v>
      </c>
      <c r="B1471" s="4">
        <v>2011</v>
      </c>
      <c r="C1471" s="4" t="s">
        <v>4102</v>
      </c>
      <c r="D1471" s="4" t="s">
        <v>4103</v>
      </c>
      <c r="E1471" s="4" t="s">
        <v>443</v>
      </c>
      <c r="F1471" s="1" t="s">
        <v>508</v>
      </c>
    </row>
    <row r="1472" spans="1:6" ht="15.75" customHeight="1">
      <c r="A1472" s="4" t="s">
        <v>4101</v>
      </c>
      <c r="B1472" s="4">
        <v>2016</v>
      </c>
      <c r="C1472" s="4" t="s">
        <v>4104</v>
      </c>
      <c r="D1472" s="4" t="s">
        <v>4105</v>
      </c>
      <c r="E1472" s="4" t="s">
        <v>443</v>
      </c>
      <c r="F1472" s="1" t="s">
        <v>508</v>
      </c>
    </row>
    <row r="1473" spans="1:6" ht="15.75" customHeight="1">
      <c r="A1473" s="4" t="s">
        <v>4106</v>
      </c>
      <c r="B1473" s="4">
        <v>2016</v>
      </c>
      <c r="C1473" s="4" t="s">
        <v>4107</v>
      </c>
      <c r="D1473" s="4" t="s">
        <v>4108</v>
      </c>
      <c r="E1473" s="4" t="s">
        <v>443</v>
      </c>
      <c r="F1473" s="1" t="s">
        <v>508</v>
      </c>
    </row>
    <row r="1474" spans="1:6" ht="15.75" customHeight="1">
      <c r="A1474" s="4" t="s">
        <v>4109</v>
      </c>
      <c r="B1474" s="4">
        <v>2020</v>
      </c>
      <c r="C1474" s="4" t="s">
        <v>4110</v>
      </c>
      <c r="D1474" s="4" t="s">
        <v>4111</v>
      </c>
      <c r="E1474" s="4" t="s">
        <v>443</v>
      </c>
      <c r="F1474" s="1" t="s">
        <v>508</v>
      </c>
    </row>
    <row r="1475" spans="1:6" ht="15.75" customHeight="1">
      <c r="A1475" s="4" t="s">
        <v>4112</v>
      </c>
      <c r="B1475" s="4">
        <v>2013</v>
      </c>
      <c r="C1475" s="4" t="s">
        <v>4113</v>
      </c>
      <c r="D1475" s="4" t="s">
        <v>4114</v>
      </c>
      <c r="E1475" s="4" t="s">
        <v>443</v>
      </c>
      <c r="F1475" s="1" t="s">
        <v>1047</v>
      </c>
    </row>
    <row r="1476" spans="1:6" ht="15.75" customHeight="1">
      <c r="A1476" s="4" t="s">
        <v>4115</v>
      </c>
      <c r="B1476" s="4">
        <v>1998</v>
      </c>
      <c r="D1476" s="4" t="s">
        <v>4116</v>
      </c>
      <c r="E1476" s="4" t="s">
        <v>443</v>
      </c>
      <c r="F1476" s="1" t="s">
        <v>1047</v>
      </c>
    </row>
    <row r="1477" spans="1:6" ht="15.75" customHeight="1">
      <c r="A1477" s="4" t="s">
        <v>4115</v>
      </c>
      <c r="B1477" s="4">
        <v>1992</v>
      </c>
      <c r="C1477" s="4" t="s">
        <v>4117</v>
      </c>
      <c r="D1477" s="4" t="s">
        <v>4118</v>
      </c>
      <c r="E1477" s="4" t="s">
        <v>443</v>
      </c>
      <c r="F1477" s="1" t="s">
        <v>508</v>
      </c>
    </row>
    <row r="1478" spans="1:6" ht="15.75" customHeight="1">
      <c r="A1478" s="4" t="s">
        <v>4115</v>
      </c>
      <c r="B1478" s="4">
        <v>1990</v>
      </c>
      <c r="C1478" s="4" t="s">
        <v>4119</v>
      </c>
      <c r="D1478" s="4" t="s">
        <v>4120</v>
      </c>
      <c r="E1478" s="4" t="s">
        <v>443</v>
      </c>
      <c r="F1478" s="1" t="s">
        <v>508</v>
      </c>
    </row>
    <row r="1479" spans="1:6" ht="15.75" customHeight="1">
      <c r="A1479" s="4" t="s">
        <v>4115</v>
      </c>
      <c r="B1479" s="4">
        <v>1990</v>
      </c>
      <c r="C1479" s="4" t="s">
        <v>4121</v>
      </c>
      <c r="D1479" s="4" t="s">
        <v>4122</v>
      </c>
      <c r="E1479" s="4" t="s">
        <v>443</v>
      </c>
      <c r="F1479" s="1" t="s">
        <v>508</v>
      </c>
    </row>
    <row r="1480" spans="1:6" ht="15.75" customHeight="1">
      <c r="A1480" s="4" t="s">
        <v>4123</v>
      </c>
      <c r="B1480" s="4">
        <v>1998</v>
      </c>
      <c r="D1480" s="4" t="s">
        <v>4124</v>
      </c>
      <c r="E1480" s="4" t="s">
        <v>443</v>
      </c>
      <c r="F1480" s="1" t="s">
        <v>508</v>
      </c>
    </row>
    <row r="1481" spans="1:6" ht="15.75" customHeight="1">
      <c r="A1481" s="4" t="s">
        <v>4125</v>
      </c>
      <c r="B1481" s="4">
        <v>2008</v>
      </c>
      <c r="C1481" s="4" t="s">
        <v>4126</v>
      </c>
      <c r="D1481" s="4" t="s">
        <v>4127</v>
      </c>
      <c r="E1481" s="4" t="s">
        <v>443</v>
      </c>
      <c r="F1481" s="1" t="s">
        <v>508</v>
      </c>
    </row>
    <row r="1482" spans="1:6" ht="15.75" customHeight="1">
      <c r="A1482" s="4" t="s">
        <v>4125</v>
      </c>
      <c r="B1482" s="4">
        <v>2010</v>
      </c>
      <c r="C1482" s="4" t="s">
        <v>4128</v>
      </c>
      <c r="D1482" s="4" t="s">
        <v>4129</v>
      </c>
      <c r="E1482" s="4" t="s">
        <v>443</v>
      </c>
      <c r="F1482" s="1" t="s">
        <v>508</v>
      </c>
    </row>
    <row r="1483" spans="1:6" ht="15.75" customHeight="1">
      <c r="A1483" s="4" t="s">
        <v>4130</v>
      </c>
      <c r="B1483" s="4">
        <v>2020</v>
      </c>
      <c r="C1483" s="4" t="s">
        <v>4131</v>
      </c>
      <c r="D1483" s="4" t="s">
        <v>4132</v>
      </c>
      <c r="E1483" s="4" t="s">
        <v>443</v>
      </c>
      <c r="F1483" s="1" t="s">
        <v>508</v>
      </c>
    </row>
    <row r="1484" spans="1:6" ht="15.75" customHeight="1">
      <c r="A1484" s="4" t="s">
        <v>4133</v>
      </c>
      <c r="B1484" s="4">
        <v>2007</v>
      </c>
      <c r="C1484" s="4" t="s">
        <v>4134</v>
      </c>
      <c r="D1484" s="4" t="s">
        <v>4135</v>
      </c>
      <c r="E1484" s="4" t="s">
        <v>443</v>
      </c>
      <c r="F1484" s="1" t="s">
        <v>508</v>
      </c>
    </row>
    <row r="1485" spans="1:6" ht="15.75" customHeight="1">
      <c r="A1485" s="4" t="s">
        <v>4136</v>
      </c>
      <c r="B1485" s="4">
        <v>2018</v>
      </c>
      <c r="C1485" s="4" t="s">
        <v>4137</v>
      </c>
      <c r="D1485" s="4" t="s">
        <v>4138</v>
      </c>
      <c r="E1485" s="4" t="s">
        <v>443</v>
      </c>
      <c r="F1485" s="1" t="s">
        <v>508</v>
      </c>
    </row>
    <row r="1486" spans="1:6" ht="15.75" customHeight="1">
      <c r="A1486" s="4" t="s">
        <v>4139</v>
      </c>
      <c r="B1486" s="4">
        <v>1991</v>
      </c>
      <c r="C1486" s="4" t="s">
        <v>4140</v>
      </c>
      <c r="D1486" s="4" t="s">
        <v>4141</v>
      </c>
      <c r="E1486" s="4" t="s">
        <v>443</v>
      </c>
      <c r="F1486" s="1" t="s">
        <v>508</v>
      </c>
    </row>
    <row r="1487" spans="1:6" ht="15.75" customHeight="1">
      <c r="A1487" s="4" t="s">
        <v>4142</v>
      </c>
      <c r="B1487" s="4">
        <v>2008</v>
      </c>
      <c r="C1487" s="4" t="s">
        <v>4143</v>
      </c>
      <c r="D1487" s="4" t="s">
        <v>4144</v>
      </c>
      <c r="E1487" s="4" t="s">
        <v>443</v>
      </c>
      <c r="F1487" s="1" t="s">
        <v>508</v>
      </c>
    </row>
    <row r="1488" spans="1:6" ht="15.75" customHeight="1">
      <c r="A1488" s="4" t="s">
        <v>4145</v>
      </c>
      <c r="B1488" s="4">
        <v>2006</v>
      </c>
      <c r="C1488" s="4" t="s">
        <v>4146</v>
      </c>
      <c r="D1488" s="4" t="s">
        <v>4147</v>
      </c>
      <c r="E1488" s="4" t="s">
        <v>443</v>
      </c>
      <c r="F1488" s="1" t="s">
        <v>508</v>
      </c>
    </row>
    <row r="1489" spans="1:6" ht="15.75" customHeight="1">
      <c r="A1489" s="4" t="s">
        <v>4148</v>
      </c>
      <c r="B1489" s="4">
        <v>1996</v>
      </c>
      <c r="C1489" s="4" t="s">
        <v>4149</v>
      </c>
      <c r="D1489" s="4" t="s">
        <v>4150</v>
      </c>
      <c r="E1489" s="4" t="s">
        <v>443</v>
      </c>
      <c r="F1489" s="1" t="s">
        <v>508</v>
      </c>
    </row>
    <row r="1490" spans="1:6" ht="15.75" customHeight="1">
      <c r="A1490" s="4" t="s">
        <v>4151</v>
      </c>
      <c r="B1490" s="4">
        <v>2018</v>
      </c>
      <c r="C1490" s="4" t="s">
        <v>4152</v>
      </c>
      <c r="D1490" s="4" t="s">
        <v>4153</v>
      </c>
      <c r="E1490" s="4" t="s">
        <v>443</v>
      </c>
      <c r="F1490" s="1" t="s">
        <v>508</v>
      </c>
    </row>
    <row r="1491" spans="1:6" ht="15.75" customHeight="1">
      <c r="A1491" s="4" t="s">
        <v>4154</v>
      </c>
      <c r="B1491" s="4">
        <v>2010</v>
      </c>
      <c r="C1491" s="4" t="s">
        <v>4155</v>
      </c>
      <c r="D1491" s="4" t="s">
        <v>4156</v>
      </c>
      <c r="E1491" s="4" t="s">
        <v>443</v>
      </c>
      <c r="F1491" s="1" t="s">
        <v>508</v>
      </c>
    </row>
    <row r="1492" spans="1:6" ht="15.75" customHeight="1">
      <c r="A1492" s="4" t="s">
        <v>4157</v>
      </c>
      <c r="B1492" s="4">
        <v>1992</v>
      </c>
      <c r="D1492" s="4" t="s">
        <v>4158</v>
      </c>
      <c r="E1492" s="4" t="s">
        <v>443</v>
      </c>
      <c r="F1492" s="1" t="s">
        <v>508</v>
      </c>
    </row>
    <row r="1493" spans="1:6" ht="15.75" customHeight="1">
      <c r="A1493" s="4" t="s">
        <v>4159</v>
      </c>
      <c r="B1493" s="4">
        <v>1992</v>
      </c>
      <c r="C1493" s="4" t="s">
        <v>4160</v>
      </c>
      <c r="D1493" s="4" t="s">
        <v>4161</v>
      </c>
      <c r="E1493" s="4" t="s">
        <v>443</v>
      </c>
      <c r="F1493" s="1" t="s">
        <v>508</v>
      </c>
    </row>
    <row r="1494" spans="1:6" ht="15.75" customHeight="1">
      <c r="A1494" s="4" t="s">
        <v>4159</v>
      </c>
      <c r="B1494" s="4">
        <v>1989</v>
      </c>
      <c r="C1494" s="4" t="s">
        <v>4162</v>
      </c>
      <c r="D1494" s="4" t="s">
        <v>4163</v>
      </c>
      <c r="E1494" s="4" t="s">
        <v>443</v>
      </c>
      <c r="F1494" s="1" t="s">
        <v>508</v>
      </c>
    </row>
    <row r="1495" spans="1:6" ht="15.75" customHeight="1">
      <c r="A1495" s="4" t="s">
        <v>4164</v>
      </c>
      <c r="B1495" s="4">
        <v>2005</v>
      </c>
      <c r="C1495" s="4" t="s">
        <v>4165</v>
      </c>
      <c r="D1495" s="4" t="s">
        <v>4166</v>
      </c>
      <c r="E1495" s="4" t="s">
        <v>443</v>
      </c>
      <c r="F1495" s="1" t="s">
        <v>508</v>
      </c>
    </row>
    <row r="1496" spans="1:6" ht="15.75" customHeight="1">
      <c r="A1496" s="4" t="s">
        <v>4167</v>
      </c>
      <c r="B1496" s="4">
        <v>1997</v>
      </c>
      <c r="D1496" s="4" t="s">
        <v>4168</v>
      </c>
      <c r="E1496" s="4" t="s">
        <v>443</v>
      </c>
      <c r="F1496" s="1" t="s">
        <v>508</v>
      </c>
    </row>
    <row r="1497" spans="1:6" ht="15.75" customHeight="1">
      <c r="A1497" s="4" t="s">
        <v>4169</v>
      </c>
      <c r="B1497" s="4">
        <v>1996</v>
      </c>
      <c r="C1497" s="4" t="s">
        <v>4170</v>
      </c>
      <c r="D1497" s="4" t="s">
        <v>4171</v>
      </c>
      <c r="E1497" s="4" t="s">
        <v>443</v>
      </c>
      <c r="F1497" s="1" t="s">
        <v>508</v>
      </c>
    </row>
    <row r="1498" spans="1:6" ht="15.75" customHeight="1">
      <c r="A1498" s="4" t="s">
        <v>4172</v>
      </c>
      <c r="B1498" s="4">
        <v>2016</v>
      </c>
      <c r="C1498" s="4" t="s">
        <v>4173</v>
      </c>
      <c r="D1498" s="4" t="s">
        <v>4174</v>
      </c>
      <c r="E1498" s="4" t="s">
        <v>443</v>
      </c>
      <c r="F1498" s="1" t="s">
        <v>508</v>
      </c>
    </row>
    <row r="1499" spans="1:6" ht="15.75" customHeight="1">
      <c r="A1499" s="4" t="s">
        <v>4175</v>
      </c>
      <c r="B1499" s="4">
        <v>2009</v>
      </c>
      <c r="C1499" s="4" t="s">
        <v>4176</v>
      </c>
      <c r="D1499" s="4" t="s">
        <v>4177</v>
      </c>
      <c r="E1499" s="4" t="s">
        <v>443</v>
      </c>
      <c r="F1499" s="1" t="s">
        <v>508</v>
      </c>
    </row>
    <row r="1500" spans="1:6" ht="15.75" customHeight="1">
      <c r="A1500" s="4" t="s">
        <v>4175</v>
      </c>
      <c r="B1500" s="4">
        <v>2007</v>
      </c>
      <c r="C1500" s="4" t="s">
        <v>4178</v>
      </c>
      <c r="D1500" s="4" t="s">
        <v>4179</v>
      </c>
      <c r="E1500" s="4" t="s">
        <v>443</v>
      </c>
      <c r="F1500" s="1" t="s">
        <v>508</v>
      </c>
    </row>
    <row r="1501" spans="1:6" ht="15.75" customHeight="1">
      <c r="A1501" s="4" t="s">
        <v>4180</v>
      </c>
      <c r="B1501" s="4">
        <v>2006</v>
      </c>
      <c r="C1501" s="4" t="s">
        <v>4181</v>
      </c>
      <c r="D1501" s="4" t="s">
        <v>4182</v>
      </c>
      <c r="E1501" s="4" t="s">
        <v>443</v>
      </c>
      <c r="F1501" s="1" t="s">
        <v>508</v>
      </c>
    </row>
    <row r="1502" spans="1:6" ht="15.75" customHeight="1">
      <c r="A1502" s="4" t="s">
        <v>4183</v>
      </c>
      <c r="B1502" s="4">
        <v>2005</v>
      </c>
      <c r="C1502" s="4" t="s">
        <v>4184</v>
      </c>
      <c r="D1502" s="4" t="s">
        <v>4185</v>
      </c>
      <c r="E1502" s="4" t="s">
        <v>443</v>
      </c>
      <c r="F1502" s="1" t="s">
        <v>508</v>
      </c>
    </row>
    <row r="1503" spans="1:6" ht="15.75" customHeight="1">
      <c r="A1503" s="4" t="s">
        <v>4186</v>
      </c>
      <c r="B1503" s="4">
        <v>2000</v>
      </c>
      <c r="C1503" s="4" t="s">
        <v>4187</v>
      </c>
      <c r="D1503" s="4" t="s">
        <v>4188</v>
      </c>
      <c r="E1503" s="4" t="s">
        <v>443</v>
      </c>
      <c r="F1503" s="1" t="s">
        <v>508</v>
      </c>
    </row>
    <row r="1504" spans="1:6" ht="15.75" customHeight="1">
      <c r="A1504" s="4" t="s">
        <v>4189</v>
      </c>
      <c r="B1504" s="4">
        <v>1998</v>
      </c>
      <c r="D1504" s="4" t="s">
        <v>4190</v>
      </c>
      <c r="E1504" s="4" t="s">
        <v>443</v>
      </c>
      <c r="F1504" s="1" t="s">
        <v>1047</v>
      </c>
    </row>
    <row r="1505" spans="1:6" ht="15.75" customHeight="1">
      <c r="A1505" s="4" t="s">
        <v>4191</v>
      </c>
      <c r="B1505" s="4">
        <v>2010</v>
      </c>
      <c r="C1505" s="4" t="s">
        <v>4192</v>
      </c>
      <c r="D1505" s="4" t="s">
        <v>4193</v>
      </c>
      <c r="E1505" s="4" t="s">
        <v>443</v>
      </c>
      <c r="F1505" s="1" t="s">
        <v>1047</v>
      </c>
    </row>
    <row r="1506" spans="1:6" ht="15.75" customHeight="1">
      <c r="A1506" s="4" t="s">
        <v>4191</v>
      </c>
      <c r="B1506" s="4">
        <v>2011</v>
      </c>
      <c r="C1506" s="4" t="s">
        <v>4194</v>
      </c>
      <c r="D1506" s="4" t="s">
        <v>4195</v>
      </c>
      <c r="E1506" s="4" t="s">
        <v>443</v>
      </c>
      <c r="F1506" s="1" t="s">
        <v>508</v>
      </c>
    </row>
    <row r="1507" spans="1:6" ht="15.75" customHeight="1">
      <c r="A1507" s="4" t="s">
        <v>4191</v>
      </c>
      <c r="B1507" s="4">
        <v>2008</v>
      </c>
      <c r="C1507" s="4" t="s">
        <v>4196</v>
      </c>
      <c r="D1507" s="4" t="s">
        <v>4197</v>
      </c>
      <c r="E1507" s="4" t="s">
        <v>443</v>
      </c>
      <c r="F1507" s="1" t="s">
        <v>508</v>
      </c>
    </row>
    <row r="1508" spans="1:6" ht="15.75" customHeight="1">
      <c r="A1508" s="4" t="s">
        <v>4191</v>
      </c>
      <c r="B1508" s="4">
        <v>2010</v>
      </c>
      <c r="C1508" s="4" t="s">
        <v>4198</v>
      </c>
      <c r="D1508" s="4" t="s">
        <v>4199</v>
      </c>
      <c r="E1508" s="4" t="s">
        <v>443</v>
      </c>
      <c r="F1508" s="1" t="s">
        <v>508</v>
      </c>
    </row>
    <row r="1509" spans="1:6" ht="15.75" customHeight="1">
      <c r="A1509" s="4" t="s">
        <v>4191</v>
      </c>
      <c r="B1509" s="4">
        <v>2015</v>
      </c>
      <c r="C1509" s="4" t="s">
        <v>4200</v>
      </c>
      <c r="D1509" s="4" t="s">
        <v>4201</v>
      </c>
      <c r="E1509" s="4" t="s">
        <v>443</v>
      </c>
      <c r="F1509" s="1" t="s">
        <v>508</v>
      </c>
    </row>
    <row r="1510" spans="1:6" ht="15.75" customHeight="1">
      <c r="A1510" s="4" t="s">
        <v>4191</v>
      </c>
      <c r="B1510" s="4">
        <v>2013</v>
      </c>
      <c r="C1510" s="4" t="s">
        <v>4202</v>
      </c>
      <c r="D1510" s="4" t="s">
        <v>4203</v>
      </c>
      <c r="E1510" s="4" t="s">
        <v>443</v>
      </c>
      <c r="F1510" s="1" t="s">
        <v>508</v>
      </c>
    </row>
    <row r="1511" spans="1:6" ht="15.75" customHeight="1">
      <c r="A1511" s="4" t="s">
        <v>4204</v>
      </c>
      <c r="B1511" s="4">
        <v>2021</v>
      </c>
      <c r="C1511" s="4" t="s">
        <v>4205</v>
      </c>
      <c r="D1511" s="4" t="s">
        <v>4206</v>
      </c>
      <c r="E1511" s="4" t="s">
        <v>443</v>
      </c>
      <c r="F1511" s="1" t="s">
        <v>508</v>
      </c>
    </row>
    <row r="1512" spans="1:6" ht="15.75" customHeight="1">
      <c r="A1512" s="4" t="s">
        <v>4207</v>
      </c>
      <c r="B1512" s="4">
        <v>2013</v>
      </c>
      <c r="C1512" s="4" t="s">
        <v>4208</v>
      </c>
      <c r="D1512" s="4" t="s">
        <v>4209</v>
      </c>
      <c r="E1512" s="4" t="s">
        <v>443</v>
      </c>
      <c r="F1512" s="1" t="s">
        <v>508</v>
      </c>
    </row>
    <row r="1513" spans="1:6" ht="15.75" customHeight="1">
      <c r="A1513" s="4" t="s">
        <v>4210</v>
      </c>
      <c r="B1513" s="4">
        <v>2002</v>
      </c>
      <c r="C1513" s="4" t="s">
        <v>4211</v>
      </c>
      <c r="D1513" s="4" t="s">
        <v>4212</v>
      </c>
      <c r="E1513" s="4" t="s">
        <v>443</v>
      </c>
      <c r="F1513" s="1" t="s">
        <v>508</v>
      </c>
    </row>
    <row r="1514" spans="1:6" ht="15.75" customHeight="1">
      <c r="A1514" s="4" t="s">
        <v>4213</v>
      </c>
      <c r="B1514" s="4">
        <v>2009</v>
      </c>
      <c r="C1514" s="4" t="s">
        <v>4214</v>
      </c>
      <c r="D1514" s="4" t="s">
        <v>4215</v>
      </c>
      <c r="E1514" s="4" t="s">
        <v>443</v>
      </c>
      <c r="F1514" s="1" t="s">
        <v>508</v>
      </c>
    </row>
    <row r="1515" spans="1:6" ht="15.75" customHeight="1">
      <c r="A1515" s="4" t="s">
        <v>4213</v>
      </c>
      <c r="B1515" s="4">
        <v>2000</v>
      </c>
      <c r="D1515" s="4" t="s">
        <v>4216</v>
      </c>
      <c r="E1515" s="4" t="s">
        <v>443</v>
      </c>
      <c r="F1515" s="1" t="s">
        <v>1047</v>
      </c>
    </row>
    <row r="1516" spans="1:6" ht="15.75" customHeight="1">
      <c r="A1516" s="4" t="s">
        <v>4217</v>
      </c>
      <c r="B1516" s="4">
        <v>2019</v>
      </c>
      <c r="C1516" s="4" t="s">
        <v>4218</v>
      </c>
      <c r="D1516" s="4" t="s">
        <v>4219</v>
      </c>
      <c r="E1516" s="4" t="s">
        <v>443</v>
      </c>
      <c r="F1516" s="1" t="s">
        <v>508</v>
      </c>
    </row>
    <row r="1517" spans="1:6" ht="15.75" customHeight="1">
      <c r="A1517" s="4" t="s">
        <v>4220</v>
      </c>
      <c r="B1517" s="4">
        <v>2011</v>
      </c>
      <c r="C1517" s="4" t="s">
        <v>4221</v>
      </c>
      <c r="D1517" s="4" t="s">
        <v>4222</v>
      </c>
      <c r="E1517" s="4" t="s">
        <v>443</v>
      </c>
      <c r="F1517" s="1" t="s">
        <v>508</v>
      </c>
    </row>
    <row r="1518" spans="1:6" ht="15.75" customHeight="1">
      <c r="A1518" s="4" t="s">
        <v>4223</v>
      </c>
      <c r="B1518" s="4">
        <v>2013</v>
      </c>
      <c r="C1518" s="4" t="s">
        <v>4224</v>
      </c>
      <c r="D1518" s="4" t="s">
        <v>4225</v>
      </c>
      <c r="E1518" s="4" t="s">
        <v>443</v>
      </c>
      <c r="F1518" s="1" t="s">
        <v>508</v>
      </c>
    </row>
    <row r="1519" spans="1:6" ht="15.75" customHeight="1">
      <c r="A1519" s="4" t="s">
        <v>4226</v>
      </c>
      <c r="B1519" s="4">
        <v>2002</v>
      </c>
      <c r="C1519" s="4" t="s">
        <v>4227</v>
      </c>
      <c r="D1519" s="4" t="s">
        <v>4228</v>
      </c>
      <c r="E1519" s="4" t="s">
        <v>443</v>
      </c>
      <c r="F1519" s="1" t="s">
        <v>508</v>
      </c>
    </row>
    <row r="1520" spans="1:6" ht="15.75" customHeight="1">
      <c r="A1520" s="4" t="s">
        <v>4226</v>
      </c>
      <c r="B1520" s="4">
        <v>2003</v>
      </c>
      <c r="C1520" s="4" t="s">
        <v>4229</v>
      </c>
      <c r="D1520" s="4" t="s">
        <v>4230</v>
      </c>
      <c r="E1520" s="4" t="s">
        <v>443</v>
      </c>
      <c r="F1520" s="1" t="s">
        <v>508</v>
      </c>
    </row>
    <row r="1521" spans="1:6" ht="15.75" customHeight="1">
      <c r="A1521" s="4" t="s">
        <v>4231</v>
      </c>
      <c r="B1521" s="4">
        <v>2009</v>
      </c>
      <c r="D1521" s="4" t="s">
        <v>4232</v>
      </c>
      <c r="E1521" s="4" t="s">
        <v>443</v>
      </c>
      <c r="F1521" s="1" t="s">
        <v>1047</v>
      </c>
    </row>
    <row r="1522" spans="1:6" ht="15.75" customHeight="1">
      <c r="A1522" s="4" t="s">
        <v>4233</v>
      </c>
      <c r="B1522" s="4">
        <v>2014</v>
      </c>
      <c r="C1522" s="4" t="s">
        <v>4234</v>
      </c>
      <c r="D1522" s="4" t="s">
        <v>4235</v>
      </c>
      <c r="E1522" s="4" t="s">
        <v>443</v>
      </c>
      <c r="F1522" s="1" t="s">
        <v>508</v>
      </c>
    </row>
    <row r="1523" spans="1:6" ht="15.75" customHeight="1">
      <c r="A1523" s="4" t="s">
        <v>4236</v>
      </c>
      <c r="B1523" s="4">
        <v>2022</v>
      </c>
      <c r="C1523" s="4" t="s">
        <v>4237</v>
      </c>
      <c r="D1523" s="4" t="s">
        <v>4238</v>
      </c>
      <c r="E1523" s="4" t="s">
        <v>443</v>
      </c>
      <c r="F1523" s="1" t="s">
        <v>508</v>
      </c>
    </row>
    <row r="1524" spans="1:6" ht="15.75" customHeight="1">
      <c r="A1524" s="4" t="s">
        <v>4239</v>
      </c>
      <c r="B1524" s="4">
        <v>2004</v>
      </c>
      <c r="C1524" s="4" t="s">
        <v>4240</v>
      </c>
      <c r="D1524" s="4" t="s">
        <v>4241</v>
      </c>
      <c r="E1524" s="4" t="s">
        <v>443</v>
      </c>
      <c r="F1524" s="1" t="s">
        <v>508</v>
      </c>
    </row>
    <row r="1525" spans="1:6" ht="15.75" customHeight="1">
      <c r="A1525" s="4" t="s">
        <v>4242</v>
      </c>
      <c r="B1525" s="4">
        <v>2012</v>
      </c>
      <c r="C1525" s="4" t="s">
        <v>4243</v>
      </c>
      <c r="D1525" s="4" t="s">
        <v>4244</v>
      </c>
      <c r="E1525" s="4" t="s">
        <v>443</v>
      </c>
      <c r="F1525" s="1" t="s">
        <v>508</v>
      </c>
    </row>
    <row r="1526" spans="1:6" ht="15.75" customHeight="1">
      <c r="A1526" s="4" t="s">
        <v>4242</v>
      </c>
      <c r="B1526" s="4">
        <v>2007</v>
      </c>
      <c r="C1526" s="4" t="s">
        <v>4245</v>
      </c>
      <c r="D1526" s="4" t="s">
        <v>4246</v>
      </c>
      <c r="E1526" s="4" t="s">
        <v>443</v>
      </c>
      <c r="F1526" s="1" t="s">
        <v>508</v>
      </c>
    </row>
    <row r="1527" spans="1:6" ht="15.75" customHeight="1">
      <c r="A1527" s="4" t="s">
        <v>4247</v>
      </c>
      <c r="B1527" s="4">
        <v>1994</v>
      </c>
      <c r="C1527" s="4" t="s">
        <v>4248</v>
      </c>
      <c r="D1527" s="4" t="s">
        <v>4249</v>
      </c>
      <c r="E1527" s="4" t="s">
        <v>443</v>
      </c>
      <c r="F1527" s="1" t="s">
        <v>508</v>
      </c>
    </row>
    <row r="1528" spans="1:6" ht="15.75" customHeight="1">
      <c r="A1528" s="4" t="s">
        <v>4250</v>
      </c>
      <c r="B1528" s="4">
        <v>2006</v>
      </c>
      <c r="C1528" s="4" t="s">
        <v>4251</v>
      </c>
      <c r="D1528" s="4" t="s">
        <v>4252</v>
      </c>
      <c r="E1528" s="4" t="s">
        <v>443</v>
      </c>
      <c r="F1528" s="1" t="s">
        <v>508</v>
      </c>
    </row>
    <row r="1529" spans="1:6" ht="15.75" customHeight="1">
      <c r="A1529" s="4" t="s">
        <v>4253</v>
      </c>
      <c r="B1529" s="4">
        <v>2022</v>
      </c>
      <c r="C1529" s="4" t="s">
        <v>4254</v>
      </c>
      <c r="D1529" s="4" t="s">
        <v>4255</v>
      </c>
      <c r="E1529" s="4" t="s">
        <v>443</v>
      </c>
      <c r="F1529" s="1" t="s">
        <v>508</v>
      </c>
    </row>
    <row r="1530" spans="1:6" ht="15.75" customHeight="1">
      <c r="A1530" s="4" t="s">
        <v>4256</v>
      </c>
      <c r="B1530" s="4">
        <v>2000</v>
      </c>
      <c r="D1530" s="4" t="s">
        <v>4257</v>
      </c>
      <c r="E1530" s="4" t="s">
        <v>443</v>
      </c>
      <c r="F1530" s="1" t="s">
        <v>508</v>
      </c>
    </row>
    <row r="1531" spans="1:6" ht="15.75" customHeight="1">
      <c r="A1531" s="4" t="s">
        <v>4258</v>
      </c>
      <c r="B1531" s="4">
        <v>2014</v>
      </c>
      <c r="C1531" s="4" t="s">
        <v>4259</v>
      </c>
      <c r="D1531" s="4" t="s">
        <v>4260</v>
      </c>
      <c r="E1531" s="4" t="s">
        <v>443</v>
      </c>
      <c r="F1531" s="1" t="s">
        <v>508</v>
      </c>
    </row>
    <row r="1532" spans="1:6" ht="15.75" customHeight="1">
      <c r="A1532" s="4" t="s">
        <v>4261</v>
      </c>
      <c r="B1532" s="4">
        <v>2020</v>
      </c>
      <c r="C1532" s="4" t="s">
        <v>4262</v>
      </c>
      <c r="D1532" s="4" t="s">
        <v>4263</v>
      </c>
      <c r="E1532" s="4" t="s">
        <v>443</v>
      </c>
      <c r="F1532" s="1" t="s">
        <v>508</v>
      </c>
    </row>
    <row r="1533" spans="1:6" ht="15.75" customHeight="1">
      <c r="A1533" s="4" t="s">
        <v>4264</v>
      </c>
      <c r="B1533" s="4">
        <v>2006</v>
      </c>
      <c r="D1533" s="4" t="s">
        <v>4265</v>
      </c>
      <c r="E1533" s="4" t="s">
        <v>443</v>
      </c>
      <c r="F1533" s="1" t="s">
        <v>1047</v>
      </c>
    </row>
    <row r="1534" spans="1:6" ht="15.75" customHeight="1">
      <c r="A1534" s="4" t="s">
        <v>4264</v>
      </c>
      <c r="B1534" s="4">
        <v>2020</v>
      </c>
      <c r="C1534" s="4" t="s">
        <v>4266</v>
      </c>
      <c r="D1534" s="4" t="s">
        <v>4267</v>
      </c>
      <c r="E1534" s="4" t="s">
        <v>443</v>
      </c>
      <c r="F1534" s="1" t="s">
        <v>508</v>
      </c>
    </row>
    <row r="1535" spans="1:6" ht="15.75" customHeight="1">
      <c r="A1535" s="4" t="s">
        <v>4264</v>
      </c>
      <c r="B1535" s="4">
        <v>2007</v>
      </c>
      <c r="D1535" s="4" t="s">
        <v>4268</v>
      </c>
      <c r="E1535" s="4" t="s">
        <v>443</v>
      </c>
      <c r="F1535" s="1" t="s">
        <v>1047</v>
      </c>
    </row>
    <row r="1536" spans="1:6" ht="15.75" customHeight="1">
      <c r="A1536" s="4" t="s">
        <v>4269</v>
      </c>
      <c r="B1536" s="4">
        <v>2010</v>
      </c>
      <c r="C1536" s="4" t="s">
        <v>4270</v>
      </c>
      <c r="D1536" s="4" t="s">
        <v>4271</v>
      </c>
      <c r="E1536" s="4" t="s">
        <v>443</v>
      </c>
      <c r="F1536" s="1" t="s">
        <v>508</v>
      </c>
    </row>
    <row r="1537" spans="1:6" ht="15.75" customHeight="1">
      <c r="A1537" s="4" t="s">
        <v>4272</v>
      </c>
      <c r="B1537" s="4">
        <v>2006</v>
      </c>
      <c r="C1537" s="4" t="s">
        <v>4273</v>
      </c>
      <c r="D1537" s="4" t="s">
        <v>4274</v>
      </c>
      <c r="E1537" s="4" t="s">
        <v>443</v>
      </c>
      <c r="F1537" s="1" t="s">
        <v>508</v>
      </c>
    </row>
    <row r="1538" spans="1:6" ht="15.75" customHeight="1">
      <c r="A1538" s="4" t="s">
        <v>924</v>
      </c>
      <c r="B1538" s="4">
        <v>2005</v>
      </c>
      <c r="C1538" s="4" t="s">
        <v>4275</v>
      </c>
      <c r="D1538" s="4" t="s">
        <v>4276</v>
      </c>
      <c r="E1538" s="4" t="s">
        <v>443</v>
      </c>
      <c r="F1538" s="1" t="s">
        <v>508</v>
      </c>
    </row>
    <row r="1539" spans="1:6" ht="15.75" customHeight="1">
      <c r="A1539" s="4" t="s">
        <v>4277</v>
      </c>
      <c r="B1539" s="4">
        <v>2000</v>
      </c>
      <c r="D1539" s="4" t="s">
        <v>4278</v>
      </c>
      <c r="E1539" s="4" t="s">
        <v>443</v>
      </c>
      <c r="F1539" s="1" t="s">
        <v>508</v>
      </c>
    </row>
    <row r="1540" spans="1:6" ht="15.75" customHeight="1">
      <c r="A1540" s="4" t="s">
        <v>4277</v>
      </c>
      <c r="B1540" s="4">
        <v>2002</v>
      </c>
      <c r="C1540" s="4" t="s">
        <v>4279</v>
      </c>
      <c r="D1540" s="4" t="s">
        <v>4280</v>
      </c>
      <c r="E1540" s="4" t="s">
        <v>443</v>
      </c>
      <c r="F1540" s="1" t="s">
        <v>508</v>
      </c>
    </row>
    <row r="1541" spans="1:6" ht="15.75" customHeight="1">
      <c r="A1541" s="4" t="s">
        <v>4277</v>
      </c>
      <c r="B1541" s="4">
        <v>2001</v>
      </c>
      <c r="C1541" s="4" t="s">
        <v>4281</v>
      </c>
      <c r="D1541" s="4" t="s">
        <v>4282</v>
      </c>
      <c r="E1541" s="4" t="s">
        <v>443</v>
      </c>
      <c r="F1541" s="1" t="s">
        <v>508</v>
      </c>
    </row>
    <row r="1542" spans="1:6" ht="15.75" customHeight="1">
      <c r="A1542" s="4" t="s">
        <v>4283</v>
      </c>
      <c r="B1542" s="4">
        <v>2015</v>
      </c>
      <c r="C1542" s="4" t="s">
        <v>4284</v>
      </c>
      <c r="D1542" s="4" t="s">
        <v>4285</v>
      </c>
      <c r="E1542" s="4" t="s">
        <v>443</v>
      </c>
      <c r="F1542" s="1" t="s">
        <v>508</v>
      </c>
    </row>
    <row r="1543" spans="1:6" ht="15.75" customHeight="1">
      <c r="A1543" s="4" t="s">
        <v>4286</v>
      </c>
      <c r="B1543" s="4">
        <v>2021</v>
      </c>
      <c r="C1543" s="4" t="s">
        <v>4287</v>
      </c>
      <c r="D1543" s="4" t="s">
        <v>4288</v>
      </c>
      <c r="E1543" s="4" t="s">
        <v>443</v>
      </c>
      <c r="F1543" s="1" t="s">
        <v>508</v>
      </c>
    </row>
    <row r="1544" spans="1:6" ht="15.75" customHeight="1">
      <c r="A1544" s="4" t="s">
        <v>4286</v>
      </c>
      <c r="B1544" s="4">
        <v>2023</v>
      </c>
      <c r="C1544" s="4" t="s">
        <v>4289</v>
      </c>
      <c r="D1544" s="4" t="s">
        <v>4290</v>
      </c>
      <c r="E1544" s="4" t="s">
        <v>443</v>
      </c>
      <c r="F1544" s="1" t="s">
        <v>508</v>
      </c>
    </row>
    <row r="1545" spans="1:6" ht="15.75" customHeight="1">
      <c r="A1545" s="4" t="s">
        <v>4291</v>
      </c>
      <c r="B1545" s="4">
        <v>1997</v>
      </c>
      <c r="C1545" s="4" t="s">
        <v>4292</v>
      </c>
      <c r="D1545" s="4" t="s">
        <v>4293</v>
      </c>
      <c r="E1545" s="4" t="s">
        <v>443</v>
      </c>
      <c r="F1545" s="1" t="s">
        <v>508</v>
      </c>
    </row>
    <row r="1546" spans="1:6" ht="15.75" customHeight="1">
      <c r="A1546" s="4" t="s">
        <v>4294</v>
      </c>
      <c r="B1546" s="4">
        <v>2016</v>
      </c>
      <c r="D1546" s="4" t="s">
        <v>4295</v>
      </c>
      <c r="E1546" s="4" t="s">
        <v>443</v>
      </c>
      <c r="F1546" s="1" t="s">
        <v>1047</v>
      </c>
    </row>
    <row r="1547" spans="1:6" ht="15.75" customHeight="1">
      <c r="A1547" s="4" t="s">
        <v>4296</v>
      </c>
      <c r="B1547" s="4">
        <v>2008</v>
      </c>
      <c r="D1547" s="4" t="s">
        <v>4297</v>
      </c>
      <c r="E1547" s="4" t="s">
        <v>443</v>
      </c>
      <c r="F1547" s="1" t="s">
        <v>508</v>
      </c>
    </row>
    <row r="1548" spans="1:6" ht="15.75" customHeight="1">
      <c r="A1548" s="4" t="s">
        <v>4298</v>
      </c>
      <c r="B1548" s="4">
        <v>2003</v>
      </c>
      <c r="C1548" s="4" t="s">
        <v>4299</v>
      </c>
      <c r="D1548" s="4" t="s">
        <v>4300</v>
      </c>
      <c r="E1548" s="4" t="s">
        <v>443</v>
      </c>
      <c r="F1548" s="1" t="s">
        <v>508</v>
      </c>
    </row>
    <row r="1549" spans="1:6" ht="15.75" customHeight="1">
      <c r="A1549" s="4" t="s">
        <v>4301</v>
      </c>
      <c r="B1549" s="4">
        <v>2017</v>
      </c>
      <c r="C1549" s="4" t="s">
        <v>4302</v>
      </c>
      <c r="D1549" s="4" t="s">
        <v>4303</v>
      </c>
      <c r="E1549" s="4" t="s">
        <v>443</v>
      </c>
      <c r="F1549" s="1" t="s">
        <v>508</v>
      </c>
    </row>
    <row r="1550" spans="1:6" ht="15.75" customHeight="1">
      <c r="A1550" s="4" t="s">
        <v>4304</v>
      </c>
      <c r="B1550" s="4">
        <v>2012</v>
      </c>
      <c r="C1550" s="4" t="s">
        <v>4305</v>
      </c>
      <c r="D1550" s="4" t="s">
        <v>4306</v>
      </c>
      <c r="E1550" s="4" t="s">
        <v>443</v>
      </c>
      <c r="F1550" s="1" t="s">
        <v>1047</v>
      </c>
    </row>
    <row r="1551" spans="1:6" ht="15.75" customHeight="1">
      <c r="A1551" s="4" t="s">
        <v>4307</v>
      </c>
      <c r="B1551" s="4">
        <v>2016</v>
      </c>
      <c r="C1551" s="4" t="s">
        <v>4308</v>
      </c>
      <c r="D1551" s="4" t="s">
        <v>4309</v>
      </c>
      <c r="E1551" s="4" t="s">
        <v>443</v>
      </c>
      <c r="F1551" s="1" t="s">
        <v>508</v>
      </c>
    </row>
    <row r="1552" spans="1:6" ht="15.75" customHeight="1">
      <c r="A1552" s="4" t="s">
        <v>4310</v>
      </c>
      <c r="B1552" s="4">
        <v>1998</v>
      </c>
      <c r="C1552" s="4" t="s">
        <v>4311</v>
      </c>
      <c r="D1552" s="4" t="s">
        <v>4312</v>
      </c>
      <c r="E1552" s="4" t="s">
        <v>443</v>
      </c>
      <c r="F1552" s="1" t="s">
        <v>508</v>
      </c>
    </row>
    <row r="1553" spans="1:6" ht="15.75" customHeight="1">
      <c r="A1553" s="4" t="s">
        <v>4313</v>
      </c>
      <c r="B1553" s="4">
        <v>2002</v>
      </c>
      <c r="C1553" s="4" t="s">
        <v>4314</v>
      </c>
      <c r="D1553" s="4" t="s">
        <v>4315</v>
      </c>
      <c r="E1553" s="4" t="s">
        <v>443</v>
      </c>
      <c r="F1553" s="1" t="s">
        <v>508</v>
      </c>
    </row>
    <row r="1554" spans="1:6" ht="15.75" customHeight="1">
      <c r="A1554" s="4" t="s">
        <v>4316</v>
      </c>
      <c r="B1554" s="4">
        <v>2009</v>
      </c>
      <c r="C1554" s="4" t="s">
        <v>4317</v>
      </c>
      <c r="D1554" s="4" t="s">
        <v>4318</v>
      </c>
      <c r="E1554" s="4" t="s">
        <v>443</v>
      </c>
      <c r="F1554" s="1" t="s">
        <v>508</v>
      </c>
    </row>
    <row r="1555" spans="1:6" ht="15.75" customHeight="1">
      <c r="A1555" s="4" t="s">
        <v>4316</v>
      </c>
      <c r="B1555" s="4">
        <v>2009</v>
      </c>
      <c r="C1555" s="4" t="s">
        <v>4319</v>
      </c>
      <c r="D1555" s="4" t="s">
        <v>4320</v>
      </c>
      <c r="E1555" s="4" t="s">
        <v>443</v>
      </c>
      <c r="F1555" s="1" t="s">
        <v>508</v>
      </c>
    </row>
    <row r="1556" spans="1:6" ht="15.75" customHeight="1">
      <c r="A1556" s="4" t="s">
        <v>4321</v>
      </c>
      <c r="B1556" s="4">
        <v>2016</v>
      </c>
      <c r="C1556" s="4" t="s">
        <v>4322</v>
      </c>
      <c r="D1556" s="4" t="s">
        <v>4323</v>
      </c>
      <c r="E1556" s="4" t="s">
        <v>443</v>
      </c>
      <c r="F1556" s="1" t="s">
        <v>1047</v>
      </c>
    </row>
    <row r="1557" spans="1:6" ht="15.75" customHeight="1">
      <c r="A1557" s="4" t="s">
        <v>4324</v>
      </c>
      <c r="B1557" s="4">
        <v>2015</v>
      </c>
      <c r="C1557" s="4" t="s">
        <v>4325</v>
      </c>
      <c r="D1557" s="4" t="s">
        <v>4326</v>
      </c>
      <c r="E1557" s="4" t="s">
        <v>443</v>
      </c>
      <c r="F1557" s="1" t="s">
        <v>508</v>
      </c>
    </row>
    <row r="1558" spans="1:6" ht="15.75" customHeight="1">
      <c r="A1558" s="4" t="s">
        <v>4327</v>
      </c>
      <c r="B1558" s="4">
        <v>2014</v>
      </c>
      <c r="C1558" s="4" t="s">
        <v>4328</v>
      </c>
      <c r="D1558" s="4" t="s">
        <v>4329</v>
      </c>
      <c r="E1558" s="4" t="s">
        <v>443</v>
      </c>
      <c r="F1558" s="1" t="s">
        <v>508</v>
      </c>
    </row>
    <row r="1559" spans="1:6" ht="15.75" customHeight="1">
      <c r="A1559" s="4" t="s">
        <v>4330</v>
      </c>
      <c r="B1559" s="4">
        <v>2019</v>
      </c>
      <c r="D1559" s="4" t="s">
        <v>4331</v>
      </c>
      <c r="E1559" s="4" t="s">
        <v>443</v>
      </c>
      <c r="F1559" s="1" t="s">
        <v>508</v>
      </c>
    </row>
    <row r="1560" spans="1:6" ht="15.75" customHeight="1">
      <c r="A1560" s="4" t="s">
        <v>4332</v>
      </c>
      <c r="B1560" s="4">
        <v>2019</v>
      </c>
      <c r="C1560" s="4" t="s">
        <v>4333</v>
      </c>
      <c r="D1560" s="4" t="s">
        <v>4334</v>
      </c>
      <c r="E1560" s="4" t="s">
        <v>443</v>
      </c>
      <c r="F1560" s="1" t="s">
        <v>508</v>
      </c>
    </row>
    <row r="1561" spans="1:6" ht="15.75" customHeight="1">
      <c r="A1561" s="4" t="s">
        <v>4335</v>
      </c>
      <c r="B1561" s="4">
        <v>2013</v>
      </c>
      <c r="C1561" s="4" t="s">
        <v>4336</v>
      </c>
      <c r="D1561" s="4" t="s">
        <v>4337</v>
      </c>
      <c r="E1561" s="4" t="s">
        <v>443</v>
      </c>
      <c r="F1561" s="1" t="s">
        <v>508</v>
      </c>
    </row>
    <row r="1562" spans="1:6" ht="15.75" customHeight="1">
      <c r="A1562" s="4" t="s">
        <v>4338</v>
      </c>
      <c r="B1562" s="4">
        <v>1997</v>
      </c>
      <c r="C1562" s="4" t="s">
        <v>4339</v>
      </c>
      <c r="D1562" s="4" t="s">
        <v>4340</v>
      </c>
      <c r="E1562" s="4" t="s">
        <v>443</v>
      </c>
      <c r="F1562" s="1" t="s">
        <v>508</v>
      </c>
    </row>
    <row r="1563" spans="1:6" ht="15.75" customHeight="1">
      <c r="A1563" s="4" t="s">
        <v>4341</v>
      </c>
      <c r="B1563" s="4">
        <v>1999</v>
      </c>
      <c r="D1563" s="4" t="s">
        <v>4342</v>
      </c>
      <c r="E1563" s="4" t="s">
        <v>443</v>
      </c>
      <c r="F1563" s="1" t="s">
        <v>508</v>
      </c>
    </row>
    <row r="1564" spans="1:6" ht="15.75" customHeight="1">
      <c r="A1564" s="4" t="s">
        <v>4343</v>
      </c>
      <c r="B1564" s="4">
        <v>2022</v>
      </c>
      <c r="C1564" s="4" t="s">
        <v>4344</v>
      </c>
      <c r="D1564" s="4" t="s">
        <v>4345</v>
      </c>
      <c r="E1564" s="4" t="s">
        <v>443</v>
      </c>
      <c r="F1564" s="1" t="s">
        <v>508</v>
      </c>
    </row>
    <row r="1565" spans="1:6" ht="15.75" customHeight="1">
      <c r="A1565" s="4" t="s">
        <v>4346</v>
      </c>
      <c r="B1565" s="4">
        <v>2000</v>
      </c>
      <c r="C1565" s="4" t="s">
        <v>4347</v>
      </c>
      <c r="D1565" s="4" t="s">
        <v>4348</v>
      </c>
      <c r="E1565" s="4" t="s">
        <v>443</v>
      </c>
      <c r="F1565" s="1" t="s">
        <v>508</v>
      </c>
    </row>
    <row r="1566" spans="1:6" ht="15.75" customHeight="1">
      <c r="A1566" s="4" t="s">
        <v>4349</v>
      </c>
      <c r="B1566" s="4">
        <v>2020</v>
      </c>
      <c r="C1566" s="4" t="s">
        <v>4350</v>
      </c>
      <c r="D1566" s="4" t="s">
        <v>4351</v>
      </c>
      <c r="E1566" s="4" t="s">
        <v>443</v>
      </c>
      <c r="F1566" s="1" t="s">
        <v>508</v>
      </c>
    </row>
    <row r="1567" spans="1:6" ht="15.75" customHeight="1">
      <c r="A1567" s="4" t="s">
        <v>4352</v>
      </c>
      <c r="B1567" s="4">
        <v>2017</v>
      </c>
      <c r="C1567" s="4" t="s">
        <v>4353</v>
      </c>
      <c r="D1567" s="4" t="s">
        <v>4354</v>
      </c>
      <c r="E1567" s="4" t="s">
        <v>443</v>
      </c>
      <c r="F1567" s="1" t="s">
        <v>508</v>
      </c>
    </row>
    <row r="1568" spans="1:6" ht="15.75" customHeight="1">
      <c r="A1568" s="4" t="s">
        <v>4355</v>
      </c>
      <c r="B1568" s="4">
        <v>2000</v>
      </c>
      <c r="C1568" s="4" t="s">
        <v>4356</v>
      </c>
      <c r="D1568" s="4" t="s">
        <v>4357</v>
      </c>
      <c r="E1568" s="4" t="s">
        <v>443</v>
      </c>
      <c r="F1568" s="1" t="s">
        <v>508</v>
      </c>
    </row>
    <row r="1569" spans="1:6" ht="15.75" customHeight="1">
      <c r="A1569" s="4" t="s">
        <v>4358</v>
      </c>
      <c r="B1569" s="4">
        <v>2008</v>
      </c>
      <c r="C1569" s="4" t="s">
        <v>4359</v>
      </c>
      <c r="D1569" s="4" t="s">
        <v>4360</v>
      </c>
      <c r="E1569" s="4" t="s">
        <v>443</v>
      </c>
      <c r="F1569" s="1" t="s">
        <v>508</v>
      </c>
    </row>
    <row r="1570" spans="1:6" ht="15.75" customHeight="1">
      <c r="A1570" s="4" t="s">
        <v>4361</v>
      </c>
      <c r="B1570" s="4">
        <v>2014</v>
      </c>
      <c r="D1570" s="4" t="s">
        <v>4362</v>
      </c>
      <c r="E1570" s="4" t="s">
        <v>443</v>
      </c>
      <c r="F1570" s="1" t="s">
        <v>1047</v>
      </c>
    </row>
    <row r="1571" spans="1:6" ht="15.75" customHeight="1">
      <c r="A1571" s="4" t="s">
        <v>4363</v>
      </c>
      <c r="B1571" s="4">
        <v>2009</v>
      </c>
      <c r="C1571" s="4" t="s">
        <v>4364</v>
      </c>
      <c r="D1571" s="4" t="s">
        <v>4365</v>
      </c>
      <c r="E1571" s="4" t="s">
        <v>443</v>
      </c>
      <c r="F1571" s="1" t="s">
        <v>508</v>
      </c>
    </row>
    <row r="1572" spans="1:6" ht="15.75" customHeight="1">
      <c r="A1572" s="4" t="s">
        <v>4363</v>
      </c>
      <c r="B1572" s="4">
        <v>2009</v>
      </c>
      <c r="C1572" s="4" t="s">
        <v>4366</v>
      </c>
      <c r="D1572" s="4" t="s">
        <v>4367</v>
      </c>
      <c r="E1572" s="4" t="s">
        <v>443</v>
      </c>
      <c r="F1572" s="1" t="s">
        <v>508</v>
      </c>
    </row>
    <row r="1573" spans="1:6" ht="15.75" customHeight="1">
      <c r="A1573" s="4" t="s">
        <v>4368</v>
      </c>
      <c r="B1573" s="4">
        <v>2005</v>
      </c>
      <c r="C1573" s="4" t="s">
        <v>4369</v>
      </c>
      <c r="D1573" s="4" t="s">
        <v>4370</v>
      </c>
      <c r="E1573" s="4" t="s">
        <v>443</v>
      </c>
      <c r="F1573" s="1" t="s">
        <v>508</v>
      </c>
    </row>
    <row r="1574" spans="1:6" ht="15.75" customHeight="1">
      <c r="A1574" s="4" t="s">
        <v>4371</v>
      </c>
      <c r="B1574" s="4">
        <v>2021</v>
      </c>
      <c r="C1574" s="4" t="s">
        <v>4372</v>
      </c>
      <c r="D1574" s="4" t="s">
        <v>4373</v>
      </c>
      <c r="E1574" s="4" t="s">
        <v>443</v>
      </c>
      <c r="F1574" s="1" t="s">
        <v>508</v>
      </c>
    </row>
    <row r="1575" spans="1:6" ht="15.75" customHeight="1">
      <c r="A1575" s="4" t="s">
        <v>4374</v>
      </c>
      <c r="B1575" s="4">
        <v>2004</v>
      </c>
      <c r="C1575" s="4" t="s">
        <v>4375</v>
      </c>
      <c r="D1575" s="4" t="s">
        <v>4376</v>
      </c>
      <c r="E1575" s="4" t="s">
        <v>443</v>
      </c>
      <c r="F1575" s="1" t="s">
        <v>508</v>
      </c>
    </row>
    <row r="1576" spans="1:6" ht="15.75" customHeight="1">
      <c r="A1576" s="4" t="s">
        <v>4377</v>
      </c>
      <c r="B1576" s="4">
        <v>2004</v>
      </c>
      <c r="C1576" s="4" t="s">
        <v>4378</v>
      </c>
      <c r="D1576" s="4" t="s">
        <v>4379</v>
      </c>
      <c r="E1576" s="4" t="s">
        <v>443</v>
      </c>
      <c r="F1576" s="1" t="s">
        <v>508</v>
      </c>
    </row>
    <row r="1577" spans="1:6" ht="15.75" customHeight="1">
      <c r="A1577" s="4" t="s">
        <v>4380</v>
      </c>
      <c r="B1577" s="4">
        <v>2018</v>
      </c>
      <c r="C1577" s="4" t="s">
        <v>4381</v>
      </c>
      <c r="D1577" s="4" t="s">
        <v>4382</v>
      </c>
      <c r="E1577" s="4" t="s">
        <v>443</v>
      </c>
      <c r="F1577" s="1" t="s">
        <v>508</v>
      </c>
    </row>
    <row r="1578" spans="1:6" ht="15.75" customHeight="1">
      <c r="A1578" s="4" t="s">
        <v>4383</v>
      </c>
      <c r="B1578" s="4">
        <v>2007</v>
      </c>
      <c r="C1578" s="4" t="s">
        <v>4384</v>
      </c>
      <c r="D1578" s="4" t="s">
        <v>4385</v>
      </c>
      <c r="E1578" s="4" t="s">
        <v>443</v>
      </c>
      <c r="F1578" s="1" t="s">
        <v>508</v>
      </c>
    </row>
    <row r="1579" spans="1:6" ht="15.75" customHeight="1">
      <c r="A1579" s="4" t="s">
        <v>4386</v>
      </c>
      <c r="B1579" s="4">
        <v>2006</v>
      </c>
      <c r="C1579" s="4" t="s">
        <v>4387</v>
      </c>
      <c r="D1579" s="4" t="s">
        <v>4388</v>
      </c>
      <c r="E1579" s="4" t="s">
        <v>443</v>
      </c>
      <c r="F1579" s="1" t="s">
        <v>508</v>
      </c>
    </row>
    <row r="1580" spans="1:6" ht="15.75" customHeight="1">
      <c r="A1580" s="4" t="s">
        <v>4389</v>
      </c>
      <c r="B1580" s="4">
        <v>1998</v>
      </c>
      <c r="C1580" s="4" t="s">
        <v>4390</v>
      </c>
      <c r="D1580" s="4" t="s">
        <v>4391</v>
      </c>
      <c r="E1580" s="4" t="s">
        <v>443</v>
      </c>
      <c r="F1580" s="1" t="s">
        <v>508</v>
      </c>
    </row>
    <row r="1581" spans="1:6" ht="15.75" customHeight="1">
      <c r="A1581" s="4" t="s">
        <v>4392</v>
      </c>
      <c r="B1581" s="4">
        <v>1994</v>
      </c>
      <c r="C1581" s="4" t="s">
        <v>4393</v>
      </c>
      <c r="D1581" s="4" t="s">
        <v>4394</v>
      </c>
      <c r="E1581" s="4" t="s">
        <v>443</v>
      </c>
      <c r="F1581" s="1" t="s">
        <v>508</v>
      </c>
    </row>
    <row r="1582" spans="1:6" ht="15.75" customHeight="1">
      <c r="A1582" s="4" t="s">
        <v>4395</v>
      </c>
      <c r="B1582" s="4">
        <v>2001</v>
      </c>
      <c r="C1582" s="4" t="s">
        <v>4396</v>
      </c>
      <c r="D1582" s="4" t="s">
        <v>4397</v>
      </c>
      <c r="E1582" s="4" t="s">
        <v>443</v>
      </c>
      <c r="F1582" s="1" t="s">
        <v>508</v>
      </c>
    </row>
    <row r="1583" spans="1:6" ht="15.75" customHeight="1">
      <c r="A1583" s="4" t="s">
        <v>4398</v>
      </c>
      <c r="B1583" s="4">
        <v>2018</v>
      </c>
      <c r="C1583" s="4" t="s">
        <v>4399</v>
      </c>
      <c r="D1583" s="4" t="s">
        <v>4400</v>
      </c>
      <c r="E1583" s="4" t="s">
        <v>443</v>
      </c>
      <c r="F1583" s="1" t="s">
        <v>508</v>
      </c>
    </row>
    <row r="1584" spans="1:6" ht="15.75" customHeight="1">
      <c r="A1584" s="4" t="s">
        <v>4401</v>
      </c>
      <c r="B1584" s="4">
        <v>2016</v>
      </c>
      <c r="C1584" s="4" t="s">
        <v>4402</v>
      </c>
      <c r="D1584" s="4" t="s">
        <v>4403</v>
      </c>
      <c r="E1584" s="4" t="s">
        <v>443</v>
      </c>
      <c r="F1584" s="1" t="s">
        <v>508</v>
      </c>
    </row>
    <row r="1585" spans="1:6" ht="15.75" customHeight="1">
      <c r="A1585" s="4" t="s">
        <v>4404</v>
      </c>
      <c r="B1585" s="4">
        <v>2014</v>
      </c>
      <c r="C1585" s="4" t="s">
        <v>4405</v>
      </c>
      <c r="D1585" s="4" t="s">
        <v>4406</v>
      </c>
      <c r="E1585" s="4" t="s">
        <v>443</v>
      </c>
      <c r="F1585" s="1" t="s">
        <v>508</v>
      </c>
    </row>
    <row r="1586" spans="1:6" ht="15.75" customHeight="1">
      <c r="A1586" s="4" t="s">
        <v>4407</v>
      </c>
      <c r="B1586" s="4">
        <v>2019</v>
      </c>
      <c r="C1586" s="4" t="s">
        <v>4408</v>
      </c>
      <c r="D1586" s="4" t="s">
        <v>4409</v>
      </c>
      <c r="E1586" s="4" t="s">
        <v>443</v>
      </c>
      <c r="F1586" s="1" t="s">
        <v>508</v>
      </c>
    </row>
    <row r="1587" spans="1:6" ht="15.75" customHeight="1">
      <c r="A1587" s="4" t="s">
        <v>4407</v>
      </c>
      <c r="B1587" s="4">
        <v>2020</v>
      </c>
      <c r="C1587" s="4" t="s">
        <v>4410</v>
      </c>
      <c r="D1587" s="4" t="s">
        <v>4411</v>
      </c>
      <c r="E1587" s="4" t="s">
        <v>443</v>
      </c>
      <c r="F1587" s="1" t="s">
        <v>508</v>
      </c>
    </row>
    <row r="1588" spans="1:6" ht="15.75" customHeight="1">
      <c r="A1588" s="4" t="s">
        <v>4412</v>
      </c>
      <c r="B1588" s="4">
        <v>1999</v>
      </c>
      <c r="D1588" s="4" t="s">
        <v>4413</v>
      </c>
      <c r="E1588" s="4" t="s">
        <v>443</v>
      </c>
      <c r="F1588" s="1" t="s">
        <v>1047</v>
      </c>
    </row>
    <row r="1589" spans="1:6" ht="15.75" customHeight="1">
      <c r="A1589" s="4" t="s">
        <v>4414</v>
      </c>
      <c r="B1589" s="4">
        <v>2014</v>
      </c>
      <c r="C1589" s="4" t="s">
        <v>4415</v>
      </c>
      <c r="D1589" s="4" t="s">
        <v>4416</v>
      </c>
      <c r="E1589" s="4" t="s">
        <v>443</v>
      </c>
      <c r="F1589" s="1" t="s">
        <v>508</v>
      </c>
    </row>
    <row r="1590" spans="1:6" ht="15.75" customHeight="1">
      <c r="A1590" s="4" t="s">
        <v>4414</v>
      </c>
      <c r="B1590" s="4">
        <v>2006</v>
      </c>
      <c r="C1590" s="4" t="s">
        <v>4417</v>
      </c>
      <c r="D1590" s="4" t="s">
        <v>4418</v>
      </c>
      <c r="E1590" s="4" t="s">
        <v>443</v>
      </c>
      <c r="F1590" s="1" t="s">
        <v>508</v>
      </c>
    </row>
    <row r="1591" spans="1:6" ht="15.75" customHeight="1">
      <c r="A1591" s="4" t="s">
        <v>175</v>
      </c>
      <c r="B1591" s="4">
        <v>2007</v>
      </c>
      <c r="D1591" s="4" t="s">
        <v>4419</v>
      </c>
      <c r="E1591" s="4" t="s">
        <v>443</v>
      </c>
      <c r="F1591" s="1" t="s">
        <v>508</v>
      </c>
    </row>
    <row r="1592" spans="1:6" ht="15.75" customHeight="1">
      <c r="A1592" s="4" t="s">
        <v>4420</v>
      </c>
      <c r="B1592" s="4">
        <v>2003</v>
      </c>
      <c r="C1592" s="4" t="s">
        <v>4421</v>
      </c>
      <c r="D1592" s="4" t="s">
        <v>4422</v>
      </c>
      <c r="E1592" s="4" t="s">
        <v>443</v>
      </c>
      <c r="F1592" s="1" t="s">
        <v>508</v>
      </c>
    </row>
    <row r="1593" spans="1:6" ht="15.75" customHeight="1">
      <c r="A1593" s="4" t="s">
        <v>177</v>
      </c>
      <c r="B1593" s="4">
        <v>2006</v>
      </c>
      <c r="D1593" s="4" t="s">
        <v>4423</v>
      </c>
      <c r="E1593" s="4" t="s">
        <v>443</v>
      </c>
      <c r="F1593" s="1" t="s">
        <v>1047</v>
      </c>
    </row>
    <row r="1594" spans="1:6" ht="15.75" customHeight="1">
      <c r="A1594" s="4" t="s">
        <v>177</v>
      </c>
      <c r="B1594" s="4">
        <v>2006</v>
      </c>
      <c r="D1594" s="4" t="s">
        <v>4424</v>
      </c>
      <c r="E1594" s="4" t="s">
        <v>443</v>
      </c>
      <c r="F1594" s="1" t="s">
        <v>1047</v>
      </c>
    </row>
    <row r="1595" spans="1:6" ht="15.75" customHeight="1">
      <c r="A1595" s="4" t="s">
        <v>177</v>
      </c>
      <c r="B1595" s="4">
        <v>2007</v>
      </c>
      <c r="D1595" s="4" t="s">
        <v>4425</v>
      </c>
      <c r="E1595" s="4" t="s">
        <v>443</v>
      </c>
      <c r="F1595" s="1" t="s">
        <v>1047</v>
      </c>
    </row>
    <row r="1596" spans="1:6" ht="15.75" customHeight="1">
      <c r="A1596" s="4" t="s">
        <v>4426</v>
      </c>
      <c r="B1596" s="4">
        <v>2001</v>
      </c>
      <c r="C1596" s="4" t="s">
        <v>4427</v>
      </c>
      <c r="D1596" s="4" t="s">
        <v>4428</v>
      </c>
      <c r="E1596" s="4" t="s">
        <v>443</v>
      </c>
      <c r="F1596" s="1" t="s">
        <v>508</v>
      </c>
    </row>
    <row r="1597" spans="1:6" ht="15.75" customHeight="1">
      <c r="A1597" s="4" t="s">
        <v>4429</v>
      </c>
      <c r="B1597" s="4">
        <v>2021</v>
      </c>
      <c r="C1597" s="4" t="s">
        <v>4430</v>
      </c>
      <c r="D1597" s="4" t="s">
        <v>4431</v>
      </c>
      <c r="E1597" s="4" t="s">
        <v>443</v>
      </c>
      <c r="F1597" s="1" t="s">
        <v>508</v>
      </c>
    </row>
    <row r="1598" spans="1:6" ht="15.75" customHeight="1">
      <c r="A1598" s="4" t="s">
        <v>4432</v>
      </c>
      <c r="B1598" s="4">
        <v>2022</v>
      </c>
      <c r="C1598" s="4" t="s">
        <v>4433</v>
      </c>
      <c r="D1598" s="4" t="s">
        <v>4434</v>
      </c>
      <c r="E1598" s="4" t="s">
        <v>443</v>
      </c>
      <c r="F1598" s="1" t="s">
        <v>508</v>
      </c>
    </row>
    <row r="1599" spans="1:6" ht="15.75" customHeight="1">
      <c r="A1599" s="4" t="s">
        <v>4435</v>
      </c>
      <c r="B1599" s="4">
        <v>2014</v>
      </c>
      <c r="C1599" s="4" t="s">
        <v>4436</v>
      </c>
      <c r="D1599" s="4" t="s">
        <v>4437</v>
      </c>
      <c r="E1599" s="4" t="s">
        <v>443</v>
      </c>
      <c r="F1599" s="1" t="s">
        <v>508</v>
      </c>
    </row>
    <row r="1600" spans="1:6" ht="15.75" customHeight="1">
      <c r="A1600" s="4" t="s">
        <v>4435</v>
      </c>
      <c r="B1600" s="4">
        <v>2005</v>
      </c>
      <c r="C1600" s="4" t="s">
        <v>4438</v>
      </c>
      <c r="D1600" s="4" t="s">
        <v>4439</v>
      </c>
      <c r="E1600" s="4" t="s">
        <v>443</v>
      </c>
      <c r="F1600" s="1" t="s">
        <v>508</v>
      </c>
    </row>
    <row r="1601" spans="1:6" ht="15.75" customHeight="1">
      <c r="A1601" s="4" t="s">
        <v>4435</v>
      </c>
      <c r="B1601" s="4">
        <v>1991</v>
      </c>
      <c r="C1601" s="4" t="s">
        <v>4440</v>
      </c>
      <c r="D1601" s="4" t="s">
        <v>4441</v>
      </c>
      <c r="E1601" s="4" t="s">
        <v>443</v>
      </c>
      <c r="F1601" s="1" t="s">
        <v>508</v>
      </c>
    </row>
    <row r="1602" spans="1:6" ht="15.75" customHeight="1">
      <c r="A1602" s="4" t="s">
        <v>4435</v>
      </c>
      <c r="B1602" s="4">
        <v>2019</v>
      </c>
      <c r="C1602" s="4" t="s">
        <v>4442</v>
      </c>
      <c r="D1602" s="4" t="s">
        <v>4443</v>
      </c>
      <c r="E1602" s="4" t="s">
        <v>443</v>
      </c>
      <c r="F1602" s="1" t="s">
        <v>508</v>
      </c>
    </row>
    <row r="1603" spans="1:6" ht="15.75" customHeight="1">
      <c r="A1603" s="4" t="s">
        <v>4435</v>
      </c>
      <c r="B1603" s="4">
        <v>1993</v>
      </c>
      <c r="C1603" s="4" t="s">
        <v>4444</v>
      </c>
      <c r="D1603" s="4" t="s">
        <v>4445</v>
      </c>
      <c r="E1603" s="4" t="s">
        <v>443</v>
      </c>
      <c r="F1603" s="1" t="s">
        <v>508</v>
      </c>
    </row>
    <row r="1604" spans="1:6" ht="15.75" customHeight="1">
      <c r="A1604" s="4" t="s">
        <v>4435</v>
      </c>
      <c r="B1604" s="4">
        <v>1989</v>
      </c>
      <c r="C1604" s="4" t="s">
        <v>4446</v>
      </c>
      <c r="D1604" s="4" t="s">
        <v>4447</v>
      </c>
      <c r="E1604" s="4" t="s">
        <v>443</v>
      </c>
      <c r="F1604" s="1" t="s">
        <v>508</v>
      </c>
    </row>
    <row r="1605" spans="1:6" ht="15.75" customHeight="1">
      <c r="A1605" s="4" t="s">
        <v>4435</v>
      </c>
      <c r="B1605" s="4">
        <v>2002</v>
      </c>
      <c r="C1605" s="4" t="s">
        <v>4448</v>
      </c>
      <c r="D1605" s="4" t="s">
        <v>4449</v>
      </c>
      <c r="E1605" s="4" t="s">
        <v>443</v>
      </c>
      <c r="F1605" s="1" t="s">
        <v>508</v>
      </c>
    </row>
    <row r="1606" spans="1:6" ht="15.75" customHeight="1">
      <c r="A1606" s="4" t="s">
        <v>4450</v>
      </c>
      <c r="B1606" s="4">
        <v>2023</v>
      </c>
      <c r="C1606" s="4" t="s">
        <v>4451</v>
      </c>
      <c r="D1606" s="4" t="s">
        <v>4452</v>
      </c>
      <c r="E1606" s="4" t="s">
        <v>443</v>
      </c>
      <c r="F1606" s="1" t="s">
        <v>508</v>
      </c>
    </row>
    <row r="1607" spans="1:6" ht="15.75" customHeight="1">
      <c r="A1607" s="4" t="s">
        <v>4453</v>
      </c>
      <c r="B1607" s="4">
        <v>2007</v>
      </c>
      <c r="C1607" s="4" t="s">
        <v>4454</v>
      </c>
      <c r="D1607" s="4" t="s">
        <v>4455</v>
      </c>
      <c r="E1607" s="4" t="s">
        <v>443</v>
      </c>
      <c r="F1607" s="1" t="s">
        <v>508</v>
      </c>
    </row>
    <row r="1608" spans="1:6" ht="15.75" customHeight="1">
      <c r="A1608" s="4" t="s">
        <v>4456</v>
      </c>
      <c r="B1608" s="4">
        <v>2018</v>
      </c>
      <c r="C1608" s="4" t="s">
        <v>4457</v>
      </c>
      <c r="D1608" s="4" t="s">
        <v>4458</v>
      </c>
      <c r="E1608" s="4" t="s">
        <v>443</v>
      </c>
      <c r="F1608" s="1" t="s">
        <v>508</v>
      </c>
    </row>
    <row r="1609" spans="1:6" ht="15.75" customHeight="1">
      <c r="A1609" s="4" t="s">
        <v>4459</v>
      </c>
      <c r="B1609" s="4">
        <v>2005</v>
      </c>
      <c r="C1609" s="4" t="s">
        <v>4460</v>
      </c>
      <c r="D1609" s="4" t="s">
        <v>4461</v>
      </c>
      <c r="E1609" s="4" t="s">
        <v>443</v>
      </c>
      <c r="F1609" s="1" t="s">
        <v>1047</v>
      </c>
    </row>
    <row r="1610" spans="1:6" ht="15.75" customHeight="1">
      <c r="A1610" s="4" t="s">
        <v>4462</v>
      </c>
      <c r="B1610" s="4">
        <v>1996</v>
      </c>
      <c r="D1610" s="4" t="s">
        <v>4463</v>
      </c>
      <c r="E1610" s="4" t="s">
        <v>443</v>
      </c>
      <c r="F1610" s="1" t="s">
        <v>1047</v>
      </c>
    </row>
    <row r="1611" spans="1:6" ht="15.75" customHeight="1">
      <c r="A1611" s="4" t="s">
        <v>4464</v>
      </c>
      <c r="B1611" s="4">
        <v>2022</v>
      </c>
      <c r="C1611" s="4" t="s">
        <v>4465</v>
      </c>
      <c r="D1611" s="4" t="s">
        <v>4466</v>
      </c>
      <c r="E1611" s="4" t="s">
        <v>443</v>
      </c>
      <c r="F1611" s="1" t="s">
        <v>508</v>
      </c>
    </row>
    <row r="1612" spans="1:6" ht="15.75" customHeight="1">
      <c r="A1612" s="4" t="s">
        <v>4464</v>
      </c>
      <c r="B1612" s="4">
        <v>2022</v>
      </c>
      <c r="C1612" s="4" t="s">
        <v>4467</v>
      </c>
      <c r="D1612" s="4" t="s">
        <v>4468</v>
      </c>
      <c r="E1612" s="4" t="s">
        <v>443</v>
      </c>
      <c r="F1612" s="1" t="s">
        <v>508</v>
      </c>
    </row>
    <row r="1613" spans="1:6" ht="15.75" customHeight="1">
      <c r="A1613" s="4" t="s">
        <v>973</v>
      </c>
      <c r="B1613" s="4">
        <v>2010</v>
      </c>
      <c r="C1613" s="4" t="s">
        <v>4469</v>
      </c>
      <c r="D1613" s="4" t="s">
        <v>4470</v>
      </c>
      <c r="E1613" s="4" t="s">
        <v>443</v>
      </c>
      <c r="F1613" s="1" t="s">
        <v>508</v>
      </c>
    </row>
    <row r="1614" spans="1:6" ht="15.75" customHeight="1">
      <c r="A1614" s="4" t="s">
        <v>4471</v>
      </c>
      <c r="B1614" s="4">
        <v>2005</v>
      </c>
      <c r="C1614" s="4" t="s">
        <v>4472</v>
      </c>
      <c r="D1614" s="4" t="s">
        <v>4473</v>
      </c>
      <c r="E1614" s="4" t="s">
        <v>443</v>
      </c>
      <c r="F1614" s="1" t="s">
        <v>508</v>
      </c>
    </row>
    <row r="1615" spans="1:6" ht="15.75" customHeight="1">
      <c r="A1615" s="4" t="s">
        <v>4474</v>
      </c>
      <c r="B1615" s="4">
        <v>2005</v>
      </c>
      <c r="C1615" s="4" t="s">
        <v>4475</v>
      </c>
      <c r="D1615" s="4" t="s">
        <v>4476</v>
      </c>
      <c r="E1615" s="4" t="s">
        <v>443</v>
      </c>
      <c r="F1615" s="1" t="s">
        <v>508</v>
      </c>
    </row>
    <row r="1616" spans="1:6" ht="15.75" customHeight="1">
      <c r="A1616" s="4" t="s">
        <v>4477</v>
      </c>
      <c r="B1616" s="4">
        <v>2021</v>
      </c>
      <c r="C1616" s="4" t="s">
        <v>4478</v>
      </c>
      <c r="D1616" s="4" t="s">
        <v>4479</v>
      </c>
      <c r="E1616" s="4" t="s">
        <v>443</v>
      </c>
      <c r="F1616" s="1" t="s">
        <v>508</v>
      </c>
    </row>
    <row r="1617" spans="1:6" ht="15.75" customHeight="1">
      <c r="A1617" s="4" t="s">
        <v>4480</v>
      </c>
      <c r="B1617" s="4">
        <v>1991</v>
      </c>
      <c r="D1617" s="4" t="s">
        <v>4481</v>
      </c>
      <c r="E1617" s="4" t="s">
        <v>443</v>
      </c>
      <c r="F1617" s="1" t="s">
        <v>1047</v>
      </c>
    </row>
    <row r="1618" spans="1:6" ht="15.75" customHeight="1">
      <c r="A1618" s="4" t="s">
        <v>4480</v>
      </c>
      <c r="B1618" s="4">
        <v>1991</v>
      </c>
      <c r="D1618" s="4" t="s">
        <v>4482</v>
      </c>
      <c r="E1618" s="4" t="s">
        <v>443</v>
      </c>
      <c r="F1618" s="1" t="s">
        <v>1047</v>
      </c>
    </row>
    <row r="1619" spans="1:6" ht="15.75" customHeight="1">
      <c r="A1619" s="4" t="s">
        <v>979</v>
      </c>
      <c r="B1619" s="4">
        <v>1998</v>
      </c>
      <c r="C1619" s="4" t="s">
        <v>4483</v>
      </c>
      <c r="D1619" s="4" t="s">
        <v>4484</v>
      </c>
      <c r="E1619" s="4" t="s">
        <v>443</v>
      </c>
      <c r="F1619" s="1" t="s">
        <v>508</v>
      </c>
    </row>
    <row r="1620" spans="1:6" ht="15.75" customHeight="1">
      <c r="A1620" s="4" t="s">
        <v>4485</v>
      </c>
      <c r="B1620" s="4">
        <v>1998</v>
      </c>
      <c r="C1620" s="4" t="s">
        <v>4486</v>
      </c>
      <c r="D1620" s="4" t="s">
        <v>4487</v>
      </c>
      <c r="E1620" s="4" t="s">
        <v>443</v>
      </c>
      <c r="F1620" s="1" t="s">
        <v>508</v>
      </c>
    </row>
    <row r="1621" spans="1:6" ht="15.75" customHeight="1">
      <c r="A1621" s="4" t="s">
        <v>4488</v>
      </c>
      <c r="B1621" s="4">
        <v>2023</v>
      </c>
      <c r="C1621" s="4" t="s">
        <v>4489</v>
      </c>
      <c r="D1621" s="4" t="s">
        <v>4490</v>
      </c>
      <c r="E1621" s="4" t="s">
        <v>443</v>
      </c>
      <c r="F1621" s="1" t="s">
        <v>508</v>
      </c>
    </row>
    <row r="1622" spans="1:6" ht="15.75" customHeight="1">
      <c r="A1622" s="4" t="s">
        <v>4491</v>
      </c>
      <c r="B1622" s="4">
        <v>1990</v>
      </c>
      <c r="C1622" s="4" t="s">
        <v>4492</v>
      </c>
      <c r="D1622" s="4" t="s">
        <v>4493</v>
      </c>
      <c r="E1622" s="4" t="s">
        <v>443</v>
      </c>
      <c r="F1622" s="1" t="s">
        <v>508</v>
      </c>
    </row>
    <row r="1623" spans="1:6" ht="15.75" customHeight="1">
      <c r="A1623" s="4" t="s">
        <v>4494</v>
      </c>
      <c r="B1623" s="4">
        <v>1998</v>
      </c>
      <c r="C1623" s="4" t="s">
        <v>4495</v>
      </c>
      <c r="D1623" s="4" t="s">
        <v>4496</v>
      </c>
      <c r="E1623" s="4" t="s">
        <v>443</v>
      </c>
      <c r="F1623" s="1" t="s">
        <v>508</v>
      </c>
    </row>
    <row r="1624" spans="1:6" ht="15.75" customHeight="1">
      <c r="A1624" s="4" t="s">
        <v>4497</v>
      </c>
      <c r="B1624" s="4">
        <v>2020</v>
      </c>
      <c r="C1624" s="4" t="s">
        <v>4498</v>
      </c>
      <c r="D1624" s="4" t="s">
        <v>4499</v>
      </c>
      <c r="E1624" s="4" t="s">
        <v>443</v>
      </c>
      <c r="F1624" s="1" t="s">
        <v>508</v>
      </c>
    </row>
    <row r="1625" spans="1:6" ht="15.75" customHeight="1">
      <c r="A1625" s="4" t="s">
        <v>4500</v>
      </c>
      <c r="B1625" s="4">
        <v>1991</v>
      </c>
      <c r="C1625" s="4" t="s">
        <v>4501</v>
      </c>
      <c r="D1625" s="4" t="s">
        <v>4502</v>
      </c>
      <c r="E1625" s="4" t="s">
        <v>443</v>
      </c>
      <c r="F1625" s="1" t="s">
        <v>508</v>
      </c>
    </row>
    <row r="1626" spans="1:6" ht="15.75" customHeight="1">
      <c r="A1626" s="4" t="s">
        <v>4500</v>
      </c>
      <c r="B1626" s="4">
        <v>1990</v>
      </c>
      <c r="C1626" s="4" t="s">
        <v>4503</v>
      </c>
      <c r="D1626" s="4" t="s">
        <v>4504</v>
      </c>
      <c r="E1626" s="4" t="s">
        <v>443</v>
      </c>
      <c r="F1626" s="1" t="s">
        <v>508</v>
      </c>
    </row>
    <row r="1627" spans="1:6" ht="15.75" customHeight="1">
      <c r="A1627" s="4" t="s">
        <v>4505</v>
      </c>
      <c r="B1627" s="4">
        <v>2023</v>
      </c>
      <c r="C1627" s="4" t="s">
        <v>4506</v>
      </c>
      <c r="D1627" s="4" t="s">
        <v>4507</v>
      </c>
      <c r="E1627" s="4" t="s">
        <v>443</v>
      </c>
      <c r="F1627" s="1" t="s">
        <v>508</v>
      </c>
    </row>
    <row r="1628" spans="1:6" ht="15.75" customHeight="1">
      <c r="A1628" s="4" t="s">
        <v>4508</v>
      </c>
      <c r="B1628" s="4">
        <v>2015</v>
      </c>
      <c r="C1628" s="4" t="s">
        <v>4509</v>
      </c>
      <c r="D1628" s="4" t="s">
        <v>4510</v>
      </c>
      <c r="E1628" s="4" t="s">
        <v>443</v>
      </c>
      <c r="F1628" s="1" t="s">
        <v>508</v>
      </c>
    </row>
    <row r="1629" spans="1:6" ht="15.75" customHeight="1">
      <c r="A1629" s="4" t="s">
        <v>4511</v>
      </c>
      <c r="B1629" s="4">
        <v>2019</v>
      </c>
      <c r="C1629" s="4" t="s">
        <v>4512</v>
      </c>
      <c r="D1629" s="4" t="s">
        <v>4513</v>
      </c>
      <c r="E1629" s="4" t="s">
        <v>443</v>
      </c>
      <c r="F1629" s="1" t="s">
        <v>508</v>
      </c>
    </row>
    <row r="1630" spans="1:6" ht="15.75" customHeight="1">
      <c r="A1630" s="4" t="s">
        <v>4514</v>
      </c>
      <c r="B1630" s="4">
        <v>1991</v>
      </c>
      <c r="C1630" s="4" t="s">
        <v>4515</v>
      </c>
      <c r="D1630" s="4" t="s">
        <v>4516</v>
      </c>
      <c r="E1630" s="4" t="s">
        <v>443</v>
      </c>
      <c r="F1630" s="1" t="s">
        <v>508</v>
      </c>
    </row>
    <row r="1631" spans="1:6" ht="15.75" customHeight="1">
      <c r="A1631" s="4" t="s">
        <v>4514</v>
      </c>
      <c r="B1631" s="4">
        <v>1992</v>
      </c>
      <c r="C1631" s="4" t="s">
        <v>4517</v>
      </c>
      <c r="D1631" s="4" t="s">
        <v>4518</v>
      </c>
      <c r="E1631" s="4" t="s">
        <v>443</v>
      </c>
      <c r="F1631" s="1" t="s">
        <v>508</v>
      </c>
    </row>
    <row r="1632" spans="1:6" ht="15.75" customHeight="1">
      <c r="A1632" s="4" t="s">
        <v>4519</v>
      </c>
      <c r="B1632" s="4">
        <v>1994</v>
      </c>
      <c r="C1632" s="4" t="s">
        <v>4520</v>
      </c>
      <c r="D1632" s="4" t="s">
        <v>4521</v>
      </c>
      <c r="E1632" s="4" t="s">
        <v>443</v>
      </c>
      <c r="F1632" s="1" t="s">
        <v>508</v>
      </c>
    </row>
    <row r="1633" spans="1:6" ht="15.75" customHeight="1">
      <c r="A1633" s="4" t="s">
        <v>4522</v>
      </c>
      <c r="B1633" s="4">
        <v>2022</v>
      </c>
      <c r="C1633" s="4" t="s">
        <v>4523</v>
      </c>
      <c r="D1633" s="4" t="s">
        <v>4524</v>
      </c>
      <c r="E1633" s="4" t="s">
        <v>443</v>
      </c>
      <c r="F1633" s="1" t="s">
        <v>508</v>
      </c>
    </row>
    <row r="1634" spans="1:6" ht="15.75" customHeight="1">
      <c r="A1634" s="4" t="s">
        <v>4522</v>
      </c>
      <c r="B1634" s="4">
        <v>1992</v>
      </c>
      <c r="C1634" s="4" t="s">
        <v>4525</v>
      </c>
      <c r="D1634" s="4" t="s">
        <v>4526</v>
      </c>
      <c r="E1634" s="4" t="s">
        <v>443</v>
      </c>
      <c r="F1634" s="1" t="s">
        <v>508</v>
      </c>
    </row>
    <row r="1635" spans="1:6" ht="15.75" customHeight="1">
      <c r="A1635" s="4" t="s">
        <v>4527</v>
      </c>
      <c r="B1635" s="4">
        <v>2001</v>
      </c>
      <c r="D1635" s="4" t="s">
        <v>4528</v>
      </c>
      <c r="E1635" s="4" t="s">
        <v>443</v>
      </c>
      <c r="F1635" s="1" t="s">
        <v>508</v>
      </c>
    </row>
    <row r="1636" spans="1:6" ht="15.75" customHeight="1">
      <c r="A1636" s="4" t="s">
        <v>4527</v>
      </c>
      <c r="B1636" s="4">
        <v>1998</v>
      </c>
      <c r="C1636" s="4" t="s">
        <v>4529</v>
      </c>
      <c r="D1636" s="4" t="s">
        <v>4530</v>
      </c>
      <c r="E1636" s="4" t="s">
        <v>443</v>
      </c>
      <c r="F1636" s="1" t="s">
        <v>1047</v>
      </c>
    </row>
    <row r="1637" spans="1:6" ht="15.75" customHeight="1">
      <c r="A1637" s="4" t="s">
        <v>4527</v>
      </c>
      <c r="B1637" s="4">
        <v>2021</v>
      </c>
      <c r="C1637" s="4" t="s">
        <v>4531</v>
      </c>
      <c r="D1637" s="4" t="s">
        <v>4532</v>
      </c>
      <c r="E1637" s="4" t="s">
        <v>443</v>
      </c>
      <c r="F1637" s="1" t="s">
        <v>508</v>
      </c>
    </row>
    <row r="1638" spans="1:6" ht="15.75" customHeight="1">
      <c r="A1638" s="4" t="s">
        <v>4533</v>
      </c>
      <c r="B1638" s="4">
        <v>2001</v>
      </c>
      <c r="C1638" s="4" t="s">
        <v>4534</v>
      </c>
      <c r="D1638" s="4" t="s">
        <v>4535</v>
      </c>
      <c r="E1638" s="4" t="s">
        <v>443</v>
      </c>
      <c r="F1638" s="1" t="s">
        <v>508</v>
      </c>
    </row>
    <row r="1639" spans="1:6" ht="15.75" customHeight="1">
      <c r="A1639" s="4" t="s">
        <v>4536</v>
      </c>
      <c r="B1639" s="4">
        <v>2017</v>
      </c>
      <c r="C1639" s="4" t="s">
        <v>4537</v>
      </c>
      <c r="D1639" s="4" t="s">
        <v>4538</v>
      </c>
      <c r="E1639" s="4" t="s">
        <v>443</v>
      </c>
      <c r="F1639" s="1" t="s">
        <v>508</v>
      </c>
    </row>
    <row r="1640" spans="1:6" ht="15.75" customHeight="1">
      <c r="A1640" s="4" t="s">
        <v>4539</v>
      </c>
      <c r="B1640" s="4">
        <v>2003</v>
      </c>
      <c r="C1640" s="4" t="s">
        <v>4540</v>
      </c>
      <c r="D1640" s="4" t="s">
        <v>4541</v>
      </c>
      <c r="E1640" s="4" t="s">
        <v>443</v>
      </c>
      <c r="F1640" s="1" t="s">
        <v>508</v>
      </c>
    </row>
    <row r="1641" spans="1:6" ht="15.75" customHeight="1">
      <c r="A1641" s="4" t="s">
        <v>4542</v>
      </c>
      <c r="B1641" s="4">
        <v>2005</v>
      </c>
      <c r="C1641" s="4" t="s">
        <v>4543</v>
      </c>
      <c r="D1641" s="4" t="s">
        <v>4544</v>
      </c>
      <c r="E1641" s="4" t="s">
        <v>443</v>
      </c>
      <c r="F1641" s="1" t="s">
        <v>508</v>
      </c>
    </row>
    <row r="1642" spans="1:6" ht="15.75" customHeight="1">
      <c r="A1642" s="4" t="s">
        <v>4545</v>
      </c>
      <c r="B1642" s="4">
        <v>1990</v>
      </c>
      <c r="C1642" s="4" t="s">
        <v>4546</v>
      </c>
      <c r="D1642" s="4" t="s">
        <v>4547</v>
      </c>
      <c r="E1642" s="4" t="s">
        <v>443</v>
      </c>
      <c r="F1642" s="1" t="s">
        <v>508</v>
      </c>
    </row>
    <row r="1643" spans="1:6" ht="15.75" customHeight="1">
      <c r="A1643" s="4" t="s">
        <v>4548</v>
      </c>
      <c r="B1643" s="4">
        <v>2014</v>
      </c>
      <c r="C1643" s="4" t="s">
        <v>4549</v>
      </c>
      <c r="D1643" s="4" t="s">
        <v>4550</v>
      </c>
      <c r="E1643" s="4" t="s">
        <v>443</v>
      </c>
      <c r="F1643" s="1" t="s">
        <v>508</v>
      </c>
    </row>
    <row r="1644" spans="1:6" ht="15.75" customHeight="1">
      <c r="A1644" s="4" t="s">
        <v>4551</v>
      </c>
      <c r="B1644" s="4">
        <v>1992</v>
      </c>
      <c r="D1644" s="4" t="s">
        <v>4552</v>
      </c>
      <c r="E1644" s="4" t="s">
        <v>443</v>
      </c>
      <c r="F1644" s="1" t="s">
        <v>508</v>
      </c>
    </row>
    <row r="1645" spans="1:6" ht="15.75" customHeight="1">
      <c r="A1645" s="4" t="s">
        <v>4551</v>
      </c>
      <c r="B1645" s="4">
        <v>2000</v>
      </c>
      <c r="D1645" s="4" t="s">
        <v>4553</v>
      </c>
      <c r="E1645" s="4" t="s">
        <v>443</v>
      </c>
      <c r="F1645" s="1" t="s">
        <v>508</v>
      </c>
    </row>
    <row r="1646" spans="1:6" ht="15.75" customHeight="1">
      <c r="A1646" s="4" t="s">
        <v>4551</v>
      </c>
      <c r="B1646" s="4">
        <v>1988</v>
      </c>
      <c r="C1646" s="4" t="s">
        <v>4554</v>
      </c>
      <c r="D1646" s="4" t="s">
        <v>4555</v>
      </c>
      <c r="E1646" s="4" t="s">
        <v>443</v>
      </c>
      <c r="F1646" s="1" t="s">
        <v>508</v>
      </c>
    </row>
    <row r="1647" spans="1:6" ht="15.75" customHeight="1">
      <c r="A1647" s="4" t="s">
        <v>4556</v>
      </c>
      <c r="B1647" s="4">
        <v>2019</v>
      </c>
      <c r="C1647" s="4" t="s">
        <v>4557</v>
      </c>
      <c r="D1647" s="4" t="s">
        <v>4558</v>
      </c>
      <c r="E1647" s="4" t="s">
        <v>443</v>
      </c>
      <c r="F1647" s="1" t="s">
        <v>508</v>
      </c>
    </row>
    <row r="1648" spans="1:6" ht="15.75" customHeight="1">
      <c r="A1648" s="4" t="s">
        <v>4559</v>
      </c>
      <c r="B1648" s="4">
        <v>1993</v>
      </c>
      <c r="C1648" s="4" t="s">
        <v>4560</v>
      </c>
      <c r="D1648" s="4" t="s">
        <v>4561</v>
      </c>
      <c r="E1648" s="4" t="s">
        <v>443</v>
      </c>
      <c r="F1648" s="1" t="s">
        <v>508</v>
      </c>
    </row>
    <row r="1649" spans="1:6" ht="15.75" customHeight="1">
      <c r="A1649" s="4" t="s">
        <v>4562</v>
      </c>
      <c r="B1649" s="4">
        <v>1998</v>
      </c>
      <c r="D1649" s="4" t="s">
        <v>4563</v>
      </c>
      <c r="E1649" s="4" t="s">
        <v>443</v>
      </c>
      <c r="F1649" s="1" t="s">
        <v>1047</v>
      </c>
    </row>
    <row r="1650" spans="1:6" ht="15.75" customHeight="1">
      <c r="A1650" s="4" t="s">
        <v>4564</v>
      </c>
      <c r="B1650" s="4">
        <v>1997</v>
      </c>
      <c r="D1650" s="4" t="s">
        <v>4565</v>
      </c>
      <c r="E1650" s="4" t="s">
        <v>443</v>
      </c>
      <c r="F1650" s="1" t="s">
        <v>1047</v>
      </c>
    </row>
    <row r="1651" spans="1:6" ht="15.75" customHeight="1">
      <c r="A1651" s="4" t="s">
        <v>4566</v>
      </c>
      <c r="B1651" s="4">
        <v>2006</v>
      </c>
      <c r="C1651" s="4" t="s">
        <v>4567</v>
      </c>
      <c r="D1651" s="4" t="s">
        <v>4568</v>
      </c>
      <c r="E1651" s="4" t="s">
        <v>443</v>
      </c>
      <c r="F1651" s="1" t="s">
        <v>508</v>
      </c>
    </row>
    <row r="1652" spans="1:6" ht="15.75" customHeight="1">
      <c r="A1652" s="4" t="s">
        <v>4566</v>
      </c>
      <c r="B1652" s="4">
        <v>2006</v>
      </c>
      <c r="C1652" s="4" t="s">
        <v>4569</v>
      </c>
      <c r="D1652" s="4" t="s">
        <v>4570</v>
      </c>
      <c r="E1652" s="4" t="s">
        <v>443</v>
      </c>
      <c r="F1652" s="1" t="s">
        <v>508</v>
      </c>
    </row>
    <row r="1653" spans="1:6" ht="15.75" customHeight="1">
      <c r="A1653" s="4" t="s">
        <v>4566</v>
      </c>
      <c r="B1653" s="4">
        <v>2010</v>
      </c>
      <c r="C1653" s="4" t="s">
        <v>4571</v>
      </c>
      <c r="D1653" s="4" t="s">
        <v>4572</v>
      </c>
      <c r="E1653" s="4" t="s">
        <v>443</v>
      </c>
      <c r="F1653" s="1" t="s">
        <v>508</v>
      </c>
    </row>
    <row r="1654" spans="1:6" ht="15.75" customHeight="1">
      <c r="A1654" s="4" t="s">
        <v>4573</v>
      </c>
      <c r="B1654" s="4">
        <v>2021</v>
      </c>
      <c r="C1654" s="4" t="s">
        <v>4574</v>
      </c>
      <c r="D1654" s="4" t="s">
        <v>4575</v>
      </c>
      <c r="E1654" s="4" t="s">
        <v>443</v>
      </c>
      <c r="F1654" s="1" t="s">
        <v>508</v>
      </c>
    </row>
    <row r="1655" spans="1:6" ht="15.75" customHeight="1">
      <c r="A1655" s="4" t="s">
        <v>4576</v>
      </c>
      <c r="B1655" s="4">
        <v>2018</v>
      </c>
      <c r="C1655" s="4" t="s">
        <v>4577</v>
      </c>
      <c r="D1655" s="4" t="s">
        <v>4578</v>
      </c>
      <c r="E1655" s="4" t="s">
        <v>443</v>
      </c>
      <c r="F1655" s="1" t="s">
        <v>508</v>
      </c>
    </row>
    <row r="1656" spans="1:6" ht="15.75" customHeight="1">
      <c r="A1656" s="4" t="s">
        <v>4579</v>
      </c>
      <c r="B1656" s="4">
        <v>1999</v>
      </c>
      <c r="D1656" s="4" t="s">
        <v>4580</v>
      </c>
      <c r="E1656" s="4" t="s">
        <v>443</v>
      </c>
      <c r="F1656" s="1" t="s">
        <v>508</v>
      </c>
    </row>
    <row r="1657" spans="1:6" ht="15.75" customHeight="1">
      <c r="A1657" s="4" t="s">
        <v>4579</v>
      </c>
      <c r="B1657" s="4">
        <v>1999</v>
      </c>
      <c r="D1657" s="4" t="s">
        <v>4581</v>
      </c>
      <c r="E1657" s="4" t="s">
        <v>443</v>
      </c>
      <c r="F1657" s="1" t="s">
        <v>508</v>
      </c>
    </row>
    <row r="1658" spans="1:6" ht="15.75" customHeight="1">
      <c r="A1658" s="4" t="s">
        <v>4579</v>
      </c>
      <c r="B1658" s="4">
        <v>1998</v>
      </c>
      <c r="C1658" s="4" t="s">
        <v>4582</v>
      </c>
      <c r="D1658" s="4" t="s">
        <v>4583</v>
      </c>
      <c r="E1658" s="4" t="s">
        <v>443</v>
      </c>
      <c r="F1658" s="1" t="s">
        <v>508</v>
      </c>
    </row>
    <row r="1659" spans="1:6" ht="15.75" customHeight="1">
      <c r="A1659" s="4" t="s">
        <v>4579</v>
      </c>
      <c r="B1659" s="4">
        <v>2006</v>
      </c>
      <c r="D1659" s="4" t="s">
        <v>4584</v>
      </c>
      <c r="E1659" s="4" t="s">
        <v>443</v>
      </c>
      <c r="F1659" s="1" t="s">
        <v>1047</v>
      </c>
    </row>
    <row r="1660" spans="1:6" ht="15.75" customHeight="1">
      <c r="A1660" s="4" t="s">
        <v>4579</v>
      </c>
      <c r="B1660" s="4">
        <v>1993</v>
      </c>
      <c r="C1660" s="4" t="s">
        <v>4585</v>
      </c>
      <c r="D1660" s="4" t="s">
        <v>4586</v>
      </c>
      <c r="E1660" s="4" t="s">
        <v>443</v>
      </c>
      <c r="F1660" s="1" t="s">
        <v>508</v>
      </c>
    </row>
    <row r="1661" spans="1:6" ht="15.75" customHeight="1">
      <c r="A1661" s="4" t="s">
        <v>4579</v>
      </c>
      <c r="B1661" s="4">
        <v>2005</v>
      </c>
      <c r="D1661" s="4" t="s">
        <v>4587</v>
      </c>
      <c r="E1661" s="4" t="s">
        <v>443</v>
      </c>
      <c r="F1661" s="1" t="s">
        <v>1047</v>
      </c>
    </row>
    <row r="1662" spans="1:6" ht="15.75" customHeight="1">
      <c r="A1662" s="4" t="s">
        <v>4588</v>
      </c>
      <c r="B1662" s="4">
        <v>2002</v>
      </c>
      <c r="C1662" s="4" t="s">
        <v>4589</v>
      </c>
      <c r="D1662" s="4" t="s">
        <v>4590</v>
      </c>
      <c r="E1662" s="4" t="s">
        <v>443</v>
      </c>
      <c r="F1662" s="1" t="s">
        <v>1047</v>
      </c>
    </row>
    <row r="1663" spans="1:6" ht="15.75" customHeight="1">
      <c r="A1663" s="4" t="s">
        <v>4591</v>
      </c>
      <c r="B1663" s="4">
        <v>2008</v>
      </c>
      <c r="C1663" s="4" t="s">
        <v>4592</v>
      </c>
      <c r="D1663" s="4" t="s">
        <v>4593</v>
      </c>
      <c r="E1663" s="4" t="s">
        <v>443</v>
      </c>
      <c r="F1663" s="1" t="s">
        <v>508</v>
      </c>
    </row>
    <row r="1664" spans="1:6" ht="15.75" customHeight="1">
      <c r="A1664" s="4" t="s">
        <v>4594</v>
      </c>
      <c r="B1664" s="4">
        <v>2010</v>
      </c>
      <c r="C1664" s="4" t="s">
        <v>4595</v>
      </c>
      <c r="D1664" s="4" t="s">
        <v>4596</v>
      </c>
      <c r="E1664" s="4" t="s">
        <v>443</v>
      </c>
      <c r="F1664" s="1" t="s">
        <v>508</v>
      </c>
    </row>
    <row r="1665" spans="1:6" ht="15.75" customHeight="1">
      <c r="A1665" s="4" t="s">
        <v>4597</v>
      </c>
      <c r="B1665" s="4">
        <v>2008</v>
      </c>
      <c r="C1665" s="4" t="s">
        <v>4598</v>
      </c>
      <c r="D1665" s="4" t="s">
        <v>4599</v>
      </c>
      <c r="E1665" s="4" t="s">
        <v>443</v>
      </c>
      <c r="F1665" s="1" t="s">
        <v>508</v>
      </c>
    </row>
    <row r="1666" spans="1:6" ht="15.75" customHeight="1">
      <c r="A1666" s="4" t="s">
        <v>4600</v>
      </c>
      <c r="B1666" s="4">
        <v>2018</v>
      </c>
      <c r="C1666" s="4" t="s">
        <v>4601</v>
      </c>
      <c r="D1666" s="4" t="s">
        <v>4602</v>
      </c>
      <c r="E1666" s="4" t="s">
        <v>443</v>
      </c>
      <c r="F1666" s="1" t="s">
        <v>508</v>
      </c>
    </row>
    <row r="1667" spans="1:6" ht="15.75" customHeight="1">
      <c r="A1667" s="4" t="s">
        <v>4603</v>
      </c>
      <c r="B1667" s="4">
        <v>2017</v>
      </c>
      <c r="C1667" s="4" t="s">
        <v>4604</v>
      </c>
      <c r="D1667" s="4" t="s">
        <v>4605</v>
      </c>
      <c r="E1667" s="4" t="s">
        <v>443</v>
      </c>
      <c r="F1667" s="1" t="s">
        <v>508</v>
      </c>
    </row>
    <row r="1668" spans="1:6" ht="15.75" customHeight="1">
      <c r="A1668" s="4" t="s">
        <v>4606</v>
      </c>
      <c r="B1668" s="4">
        <v>2002</v>
      </c>
      <c r="C1668" s="4" t="s">
        <v>4607</v>
      </c>
      <c r="D1668" s="4" t="s">
        <v>4608</v>
      </c>
      <c r="E1668" s="4" t="s">
        <v>443</v>
      </c>
      <c r="F1668" s="1" t="s">
        <v>508</v>
      </c>
    </row>
    <row r="1669" spans="1:6" ht="15.75" customHeight="1">
      <c r="A1669" s="4" t="s">
        <v>4609</v>
      </c>
      <c r="B1669" s="4">
        <v>2017</v>
      </c>
      <c r="C1669" s="4" t="s">
        <v>4610</v>
      </c>
      <c r="D1669" s="4" t="s">
        <v>4611</v>
      </c>
      <c r="E1669" s="4" t="s">
        <v>443</v>
      </c>
      <c r="F1669" s="1" t="s">
        <v>508</v>
      </c>
    </row>
    <row r="1670" spans="1:6" ht="15.75" customHeight="1">
      <c r="A1670" s="4" t="s">
        <v>4612</v>
      </c>
      <c r="B1670" s="4">
        <v>2009</v>
      </c>
      <c r="C1670" s="4" t="s">
        <v>4613</v>
      </c>
      <c r="D1670" s="4" t="s">
        <v>4614</v>
      </c>
      <c r="E1670" s="4" t="s">
        <v>443</v>
      </c>
      <c r="F1670" s="1" t="s">
        <v>508</v>
      </c>
    </row>
    <row r="1671" spans="1:6" ht="15.75" customHeight="1">
      <c r="A1671" s="4" t="s">
        <v>4615</v>
      </c>
      <c r="B1671" s="4">
        <v>2004</v>
      </c>
      <c r="C1671" s="4" t="s">
        <v>4616</v>
      </c>
      <c r="D1671" s="4" t="s">
        <v>4617</v>
      </c>
      <c r="E1671" s="4" t="s">
        <v>443</v>
      </c>
      <c r="F1671" s="1" t="s">
        <v>508</v>
      </c>
    </row>
    <row r="1672" spans="1:6" ht="15.75" customHeight="1">
      <c r="A1672" s="4" t="s">
        <v>4618</v>
      </c>
      <c r="B1672" s="4">
        <v>2002</v>
      </c>
      <c r="C1672" s="4" t="s">
        <v>4619</v>
      </c>
      <c r="D1672" s="4" t="s">
        <v>4620</v>
      </c>
      <c r="E1672" s="4" t="s">
        <v>443</v>
      </c>
      <c r="F1672" s="1" t="s">
        <v>508</v>
      </c>
    </row>
    <row r="1673" spans="1:6" ht="15.75" customHeight="1">
      <c r="A1673" s="4" t="s">
        <v>4621</v>
      </c>
      <c r="B1673" s="4">
        <v>2017</v>
      </c>
      <c r="C1673" s="4" t="s">
        <v>4622</v>
      </c>
      <c r="D1673" s="4" t="s">
        <v>4623</v>
      </c>
      <c r="E1673" s="4" t="s">
        <v>443</v>
      </c>
      <c r="F1673" s="1" t="s">
        <v>508</v>
      </c>
    </row>
    <row r="1674" spans="1:6" ht="15.75" customHeight="1">
      <c r="A1674" s="4" t="s">
        <v>4621</v>
      </c>
      <c r="B1674" s="4">
        <v>1998</v>
      </c>
      <c r="C1674" s="4" t="s">
        <v>4624</v>
      </c>
      <c r="D1674" s="4" t="s">
        <v>4625</v>
      </c>
      <c r="E1674" s="4" t="s">
        <v>443</v>
      </c>
      <c r="F1674" s="1" t="s">
        <v>508</v>
      </c>
    </row>
    <row r="1675" spans="1:6" ht="15.75" customHeight="1">
      <c r="A1675" s="4" t="s">
        <v>4621</v>
      </c>
      <c r="B1675" s="4">
        <v>1996</v>
      </c>
      <c r="C1675" s="4" t="s">
        <v>4626</v>
      </c>
      <c r="D1675" s="4" t="s">
        <v>4627</v>
      </c>
      <c r="E1675" s="4" t="s">
        <v>443</v>
      </c>
      <c r="F1675" s="1" t="s">
        <v>508</v>
      </c>
    </row>
    <row r="1676" spans="1:6" ht="15.75" customHeight="1">
      <c r="A1676" s="4" t="s">
        <v>4621</v>
      </c>
      <c r="B1676" s="4">
        <v>2002</v>
      </c>
      <c r="C1676" s="4" t="s">
        <v>4628</v>
      </c>
      <c r="D1676" s="4" t="s">
        <v>4629</v>
      </c>
      <c r="E1676" s="4" t="s">
        <v>443</v>
      </c>
      <c r="F1676" s="1" t="s">
        <v>508</v>
      </c>
    </row>
    <row r="1677" spans="1:6" ht="15.75" customHeight="1">
      <c r="A1677" s="4" t="s">
        <v>4630</v>
      </c>
      <c r="B1677" s="4">
        <v>1997</v>
      </c>
      <c r="C1677" s="4" t="s">
        <v>4631</v>
      </c>
      <c r="D1677" s="4" t="s">
        <v>4632</v>
      </c>
      <c r="E1677" s="4" t="s">
        <v>443</v>
      </c>
      <c r="F1677" s="1" t="s">
        <v>508</v>
      </c>
    </row>
    <row r="1678" spans="1:6" ht="15.75" customHeight="1">
      <c r="A1678" s="4" t="s">
        <v>4633</v>
      </c>
      <c r="B1678" s="4">
        <v>2004</v>
      </c>
      <c r="C1678" s="4" t="s">
        <v>4634</v>
      </c>
      <c r="D1678" s="4" t="s">
        <v>4635</v>
      </c>
      <c r="E1678" s="4" t="s">
        <v>443</v>
      </c>
      <c r="F1678" s="1" t="s">
        <v>508</v>
      </c>
    </row>
    <row r="1679" spans="1:6" ht="15.75" customHeight="1">
      <c r="A1679" s="4" t="s">
        <v>195</v>
      </c>
      <c r="B1679" s="4">
        <v>1992</v>
      </c>
      <c r="C1679" s="4" t="s">
        <v>4636</v>
      </c>
      <c r="D1679" s="4" t="s">
        <v>4637</v>
      </c>
      <c r="E1679" s="4" t="s">
        <v>443</v>
      </c>
      <c r="F1679" s="1" t="s">
        <v>508</v>
      </c>
    </row>
    <row r="1680" spans="1:6" ht="15.75" customHeight="1">
      <c r="A1680" s="4" t="s">
        <v>195</v>
      </c>
      <c r="B1680" s="4">
        <v>2001</v>
      </c>
      <c r="C1680" s="4" t="s">
        <v>4638</v>
      </c>
      <c r="D1680" s="4" t="s">
        <v>4639</v>
      </c>
      <c r="E1680" s="4" t="s">
        <v>443</v>
      </c>
      <c r="F1680" s="1" t="s">
        <v>508</v>
      </c>
    </row>
    <row r="1681" spans="1:6" ht="15.75" customHeight="1">
      <c r="A1681" s="4" t="s">
        <v>195</v>
      </c>
      <c r="B1681" s="4">
        <v>2000</v>
      </c>
      <c r="D1681" s="4" t="s">
        <v>4640</v>
      </c>
      <c r="E1681" s="4" t="s">
        <v>443</v>
      </c>
      <c r="F1681" s="1" t="s">
        <v>508</v>
      </c>
    </row>
    <row r="1682" spans="1:6" ht="15.75" customHeight="1">
      <c r="A1682" s="4" t="s">
        <v>195</v>
      </c>
      <c r="B1682" s="4">
        <v>1998</v>
      </c>
      <c r="C1682" s="4" t="s">
        <v>4641</v>
      </c>
      <c r="D1682" s="4" t="s">
        <v>4642</v>
      </c>
      <c r="E1682" s="4" t="s">
        <v>443</v>
      </c>
      <c r="F1682" s="1" t="s">
        <v>508</v>
      </c>
    </row>
    <row r="1683" spans="1:6" ht="15.75" customHeight="1">
      <c r="A1683" s="4" t="s">
        <v>195</v>
      </c>
      <c r="B1683" s="4">
        <v>1999</v>
      </c>
      <c r="C1683" s="4" t="s">
        <v>4643</v>
      </c>
      <c r="D1683" s="4" t="s">
        <v>4644</v>
      </c>
      <c r="E1683" s="4" t="s">
        <v>443</v>
      </c>
      <c r="F1683" s="1" t="s">
        <v>508</v>
      </c>
    </row>
    <row r="1684" spans="1:6" ht="15.75" customHeight="1">
      <c r="A1684" s="4" t="s">
        <v>195</v>
      </c>
      <c r="B1684" s="4">
        <v>2003</v>
      </c>
      <c r="C1684" s="4" t="s">
        <v>4645</v>
      </c>
      <c r="D1684" s="4" t="s">
        <v>4646</v>
      </c>
      <c r="E1684" s="4" t="s">
        <v>443</v>
      </c>
      <c r="F1684" s="1" t="s">
        <v>508</v>
      </c>
    </row>
    <row r="1685" spans="1:6" ht="15.75" customHeight="1">
      <c r="A1685" s="4" t="s">
        <v>195</v>
      </c>
      <c r="B1685" s="4">
        <v>2001</v>
      </c>
      <c r="D1685" s="4" t="s">
        <v>4647</v>
      </c>
      <c r="E1685" s="4" t="s">
        <v>443</v>
      </c>
      <c r="F1685" s="1" t="s">
        <v>508</v>
      </c>
    </row>
    <row r="1686" spans="1:6" ht="15.75" customHeight="1">
      <c r="A1686" s="4" t="s">
        <v>195</v>
      </c>
      <c r="B1686" s="4">
        <v>1992</v>
      </c>
      <c r="C1686" s="4" t="s">
        <v>4648</v>
      </c>
      <c r="D1686" s="4" t="s">
        <v>4649</v>
      </c>
      <c r="E1686" s="4" t="s">
        <v>443</v>
      </c>
      <c r="F1686" s="1" t="s">
        <v>508</v>
      </c>
    </row>
    <row r="1687" spans="1:6" ht="15.75" customHeight="1">
      <c r="A1687" s="4" t="s">
        <v>195</v>
      </c>
      <c r="B1687" s="4">
        <v>2010</v>
      </c>
      <c r="D1687" s="4" t="s">
        <v>4650</v>
      </c>
      <c r="E1687" s="4" t="s">
        <v>443</v>
      </c>
      <c r="F1687" s="1" t="s">
        <v>1047</v>
      </c>
    </row>
    <row r="1688" spans="1:6" ht="15.75" customHeight="1">
      <c r="A1688" s="4" t="s">
        <v>195</v>
      </c>
      <c r="B1688" s="4">
        <v>1992</v>
      </c>
      <c r="C1688" s="4" t="s">
        <v>4651</v>
      </c>
      <c r="D1688" s="4" t="s">
        <v>4652</v>
      </c>
      <c r="E1688" s="4" t="s">
        <v>443</v>
      </c>
      <c r="F1688" s="1" t="s">
        <v>508</v>
      </c>
    </row>
    <row r="1689" spans="1:6" ht="15.75" customHeight="1">
      <c r="A1689" s="4" t="s">
        <v>195</v>
      </c>
      <c r="B1689" s="4">
        <v>2012</v>
      </c>
      <c r="C1689" s="4" t="s">
        <v>4653</v>
      </c>
      <c r="D1689" s="4" t="s">
        <v>4654</v>
      </c>
      <c r="E1689" s="4" t="s">
        <v>443</v>
      </c>
      <c r="F1689" s="1" t="s">
        <v>1047</v>
      </c>
    </row>
    <row r="1690" spans="1:6" ht="15.75" customHeight="1">
      <c r="A1690" s="4" t="s">
        <v>195</v>
      </c>
      <c r="B1690" s="4">
        <v>1993</v>
      </c>
      <c r="C1690" s="4" t="s">
        <v>4655</v>
      </c>
      <c r="D1690" s="4" t="s">
        <v>4656</v>
      </c>
      <c r="E1690" s="4" t="s">
        <v>443</v>
      </c>
      <c r="F1690" s="1" t="s">
        <v>508</v>
      </c>
    </row>
    <row r="1691" spans="1:6" ht="15.75" customHeight="1">
      <c r="A1691" s="4" t="s">
        <v>195</v>
      </c>
      <c r="B1691" s="4">
        <v>2001</v>
      </c>
      <c r="C1691" s="4" t="s">
        <v>4657</v>
      </c>
      <c r="D1691" s="4" t="s">
        <v>4658</v>
      </c>
      <c r="E1691" s="4" t="s">
        <v>443</v>
      </c>
      <c r="F1691" s="1" t="s">
        <v>508</v>
      </c>
    </row>
    <row r="1692" spans="1:6" ht="15.75" customHeight="1">
      <c r="A1692" s="4" t="s">
        <v>195</v>
      </c>
      <c r="B1692" s="4">
        <v>2004</v>
      </c>
      <c r="C1692" s="4" t="s">
        <v>4659</v>
      </c>
      <c r="D1692" s="4" t="s">
        <v>4660</v>
      </c>
      <c r="E1692" s="4" t="s">
        <v>443</v>
      </c>
      <c r="F1692" s="1" t="s">
        <v>508</v>
      </c>
    </row>
    <row r="1693" spans="1:6" ht="15.75" customHeight="1">
      <c r="A1693" s="4" t="s">
        <v>195</v>
      </c>
      <c r="B1693" s="4">
        <v>2003</v>
      </c>
      <c r="C1693" s="4" t="s">
        <v>4661</v>
      </c>
      <c r="D1693" s="4" t="s">
        <v>4662</v>
      </c>
      <c r="E1693" s="4" t="s">
        <v>443</v>
      </c>
      <c r="F1693" s="1" t="s">
        <v>508</v>
      </c>
    </row>
    <row r="1694" spans="1:6" ht="15.75" customHeight="1">
      <c r="A1694" s="4" t="s">
        <v>195</v>
      </c>
      <c r="B1694" s="4">
        <v>1993</v>
      </c>
      <c r="C1694" s="4" t="s">
        <v>4663</v>
      </c>
      <c r="D1694" s="4" t="s">
        <v>4664</v>
      </c>
      <c r="E1694" s="4" t="s">
        <v>443</v>
      </c>
      <c r="F1694" s="1" t="s">
        <v>508</v>
      </c>
    </row>
    <row r="1695" spans="1:6" ht="15.75" customHeight="1">
      <c r="A1695" s="4" t="s">
        <v>195</v>
      </c>
      <c r="B1695" s="4">
        <v>1998</v>
      </c>
      <c r="C1695" s="4" t="s">
        <v>4665</v>
      </c>
      <c r="D1695" s="4" t="s">
        <v>4666</v>
      </c>
      <c r="E1695" s="4" t="s">
        <v>443</v>
      </c>
      <c r="F1695" s="1" t="s">
        <v>508</v>
      </c>
    </row>
    <row r="1696" spans="1:6" ht="15.75" customHeight="1">
      <c r="A1696" s="4" t="s">
        <v>195</v>
      </c>
      <c r="B1696" s="4">
        <v>2006</v>
      </c>
      <c r="C1696" s="4" t="s">
        <v>4667</v>
      </c>
      <c r="D1696" s="4" t="s">
        <v>4668</v>
      </c>
      <c r="E1696" s="4" t="s">
        <v>443</v>
      </c>
      <c r="F1696" s="1" t="s">
        <v>508</v>
      </c>
    </row>
    <row r="1697" spans="1:6" ht="15.75" customHeight="1">
      <c r="A1697" s="4" t="s">
        <v>195</v>
      </c>
      <c r="B1697" s="4">
        <v>2003</v>
      </c>
      <c r="C1697" s="4" t="s">
        <v>4669</v>
      </c>
      <c r="D1697" s="4" t="s">
        <v>4670</v>
      </c>
      <c r="E1697" s="4" t="s">
        <v>443</v>
      </c>
      <c r="F1697" s="1" t="s">
        <v>508</v>
      </c>
    </row>
    <row r="1698" spans="1:6" ht="15.75" customHeight="1">
      <c r="A1698" s="4" t="s">
        <v>195</v>
      </c>
      <c r="B1698" s="4">
        <v>1989</v>
      </c>
      <c r="D1698" s="4" t="s">
        <v>4671</v>
      </c>
      <c r="E1698" s="4" t="s">
        <v>443</v>
      </c>
      <c r="F1698" s="1" t="s">
        <v>508</v>
      </c>
    </row>
    <row r="1699" spans="1:6" ht="15.75" customHeight="1">
      <c r="A1699" s="4" t="s">
        <v>195</v>
      </c>
      <c r="B1699" s="4">
        <v>2018</v>
      </c>
      <c r="C1699" s="4" t="s">
        <v>4672</v>
      </c>
      <c r="D1699" s="4" t="s">
        <v>4673</v>
      </c>
      <c r="E1699" s="4" t="s">
        <v>443</v>
      </c>
      <c r="F1699" s="1" t="s">
        <v>508</v>
      </c>
    </row>
    <row r="1700" spans="1:6" ht="15.75" customHeight="1">
      <c r="A1700" s="4" t="s">
        <v>195</v>
      </c>
      <c r="B1700" s="4">
        <v>2003</v>
      </c>
      <c r="C1700" s="4" t="s">
        <v>4674</v>
      </c>
      <c r="D1700" s="4" t="s">
        <v>4675</v>
      </c>
      <c r="E1700" s="4" t="s">
        <v>443</v>
      </c>
      <c r="F1700" s="1" t="s">
        <v>508</v>
      </c>
    </row>
    <row r="1701" spans="1:6" ht="15.75" customHeight="1">
      <c r="A1701" s="4" t="s">
        <v>4676</v>
      </c>
      <c r="B1701" s="4">
        <v>1990</v>
      </c>
      <c r="C1701" s="4" t="s">
        <v>4677</v>
      </c>
      <c r="D1701" s="4" t="s">
        <v>4678</v>
      </c>
      <c r="E1701" s="4" t="s">
        <v>443</v>
      </c>
      <c r="F1701" s="1" t="s">
        <v>508</v>
      </c>
    </row>
    <row r="1702" spans="1:6" ht="15.75" customHeight="1">
      <c r="A1702" s="4" t="s">
        <v>4679</v>
      </c>
      <c r="B1702" s="4">
        <v>2020</v>
      </c>
      <c r="C1702" s="4" t="s">
        <v>4680</v>
      </c>
      <c r="D1702" s="4" t="s">
        <v>4681</v>
      </c>
      <c r="E1702" s="4" t="s">
        <v>443</v>
      </c>
      <c r="F1702" s="1" t="s">
        <v>1047</v>
      </c>
    </row>
    <row r="1703" spans="1:6" ht="15.75" customHeight="1">
      <c r="A1703" s="4" t="s">
        <v>4682</v>
      </c>
      <c r="B1703" s="4">
        <v>1997</v>
      </c>
      <c r="C1703" s="4" t="s">
        <v>4683</v>
      </c>
      <c r="D1703" s="4" t="s">
        <v>4684</v>
      </c>
      <c r="E1703" s="4" t="s">
        <v>443</v>
      </c>
      <c r="F1703" s="1" t="s">
        <v>508</v>
      </c>
    </row>
    <row r="1704" spans="1:6" ht="15.75" customHeight="1">
      <c r="A1704" s="4" t="s">
        <v>4685</v>
      </c>
      <c r="B1704" s="4">
        <v>2011</v>
      </c>
      <c r="C1704" s="4" t="s">
        <v>4686</v>
      </c>
      <c r="D1704" s="4" t="s">
        <v>4687</v>
      </c>
      <c r="E1704" s="4" t="s">
        <v>443</v>
      </c>
      <c r="F1704" s="1" t="s">
        <v>508</v>
      </c>
    </row>
    <row r="1705" spans="1:6" ht="15.75" customHeight="1">
      <c r="A1705" s="4" t="s">
        <v>4688</v>
      </c>
      <c r="B1705" s="4">
        <v>2008</v>
      </c>
      <c r="D1705" s="4" t="s">
        <v>4689</v>
      </c>
      <c r="E1705" s="4" t="s">
        <v>443</v>
      </c>
      <c r="F1705" s="1" t="s">
        <v>1047</v>
      </c>
    </row>
    <row r="1706" spans="1:6" ht="15.75" customHeight="1">
      <c r="A1706" s="4" t="s">
        <v>197</v>
      </c>
      <c r="B1706" s="4">
        <v>2006</v>
      </c>
      <c r="C1706" s="4" t="s">
        <v>4690</v>
      </c>
      <c r="D1706" s="4" t="s">
        <v>4691</v>
      </c>
      <c r="E1706" s="4" t="s">
        <v>443</v>
      </c>
      <c r="F1706" s="1" t="s">
        <v>508</v>
      </c>
    </row>
    <row r="1707" spans="1:6" ht="15.75" customHeight="1">
      <c r="A1707" s="4" t="s">
        <v>197</v>
      </c>
      <c r="B1707" s="4">
        <v>2018</v>
      </c>
      <c r="C1707" s="4" t="s">
        <v>4692</v>
      </c>
      <c r="D1707" s="4" t="s">
        <v>4693</v>
      </c>
      <c r="E1707" s="4" t="s">
        <v>443</v>
      </c>
      <c r="F1707" s="1" t="s">
        <v>508</v>
      </c>
    </row>
    <row r="1708" spans="1:6" ht="15.75" customHeight="1">
      <c r="A1708" s="4" t="s">
        <v>197</v>
      </c>
      <c r="B1708" s="4">
        <v>2012</v>
      </c>
      <c r="C1708" s="4" t="s">
        <v>4694</v>
      </c>
      <c r="D1708" s="4" t="s">
        <v>4695</v>
      </c>
      <c r="E1708" s="4" t="s">
        <v>443</v>
      </c>
      <c r="F1708" s="1" t="s">
        <v>508</v>
      </c>
    </row>
    <row r="1709" spans="1:6" ht="15.75" customHeight="1">
      <c r="A1709" s="4" t="s">
        <v>197</v>
      </c>
      <c r="B1709" s="4">
        <v>2006</v>
      </c>
      <c r="D1709" s="4" t="s">
        <v>4696</v>
      </c>
      <c r="E1709" s="4" t="s">
        <v>443</v>
      </c>
      <c r="F1709" s="1" t="s">
        <v>508</v>
      </c>
    </row>
    <row r="1710" spans="1:6" ht="15.75" customHeight="1">
      <c r="A1710" s="4" t="s">
        <v>4697</v>
      </c>
      <c r="B1710" s="4">
        <v>2021</v>
      </c>
      <c r="C1710" s="4" t="s">
        <v>4698</v>
      </c>
      <c r="D1710" s="4" t="s">
        <v>4699</v>
      </c>
      <c r="E1710" s="4" t="s">
        <v>443</v>
      </c>
      <c r="F1710" s="1" t="s">
        <v>508</v>
      </c>
    </row>
    <row r="1711" spans="1:6" ht="15.75" customHeight="1">
      <c r="A1711" s="4" t="s">
        <v>4700</v>
      </c>
      <c r="B1711" s="4">
        <v>2017</v>
      </c>
      <c r="C1711" s="4" t="s">
        <v>4701</v>
      </c>
      <c r="D1711" s="4" t="s">
        <v>4702</v>
      </c>
      <c r="E1711" s="4" t="s">
        <v>443</v>
      </c>
      <c r="F1711" s="1" t="s">
        <v>508</v>
      </c>
    </row>
    <row r="1712" spans="1:6" ht="15.75" customHeight="1">
      <c r="A1712" s="4" t="s">
        <v>4703</v>
      </c>
      <c r="B1712" s="4">
        <v>2012</v>
      </c>
      <c r="C1712" s="4" t="s">
        <v>4704</v>
      </c>
      <c r="D1712" s="4" t="s">
        <v>4705</v>
      </c>
      <c r="E1712" s="4" t="s">
        <v>443</v>
      </c>
      <c r="F1712" s="1" t="s">
        <v>508</v>
      </c>
    </row>
    <row r="1713" spans="1:7" ht="15.75" customHeight="1">
      <c r="A1713" s="4" t="s">
        <v>4706</v>
      </c>
      <c r="B1713" s="4">
        <v>1998</v>
      </c>
      <c r="C1713" s="4" t="s">
        <v>4707</v>
      </c>
      <c r="D1713" s="4" t="s">
        <v>4708</v>
      </c>
      <c r="E1713" s="4" t="s">
        <v>443</v>
      </c>
      <c r="F1713" s="1" t="s">
        <v>508</v>
      </c>
    </row>
    <row r="1714" spans="1:7" ht="15.75" customHeight="1">
      <c r="A1714" s="4" t="s">
        <v>4706</v>
      </c>
      <c r="B1714" s="4">
        <v>1999</v>
      </c>
      <c r="C1714" s="4" t="s">
        <v>4709</v>
      </c>
      <c r="D1714" s="4" t="s">
        <v>4710</v>
      </c>
      <c r="E1714" s="4" t="s">
        <v>443</v>
      </c>
      <c r="F1714" s="1" t="s">
        <v>508</v>
      </c>
    </row>
    <row r="1715" spans="1:7" ht="15.75" customHeight="1">
      <c r="A1715" s="4" t="s">
        <v>4711</v>
      </c>
      <c r="B1715" s="4">
        <v>1994</v>
      </c>
      <c r="C1715" s="4" t="s">
        <v>4712</v>
      </c>
      <c r="D1715" s="4" t="s">
        <v>4713</v>
      </c>
      <c r="E1715" s="4" t="s">
        <v>443</v>
      </c>
      <c r="F1715" s="1" t="s">
        <v>508</v>
      </c>
    </row>
    <row r="1716" spans="1:7" ht="15.75" customHeight="1">
      <c r="A1716" s="4" t="s">
        <v>4711</v>
      </c>
      <c r="B1716" s="4">
        <v>2007</v>
      </c>
      <c r="C1716" s="4" t="s">
        <v>4714</v>
      </c>
      <c r="D1716" s="4" t="s">
        <v>4715</v>
      </c>
      <c r="E1716" s="4" t="s">
        <v>443</v>
      </c>
      <c r="F1716" s="1" t="s">
        <v>508</v>
      </c>
    </row>
    <row r="1717" spans="1:7" ht="15.75" customHeight="1">
      <c r="A1717" s="4" t="s">
        <v>4716</v>
      </c>
      <c r="B1717" s="4">
        <v>2022</v>
      </c>
      <c r="C1717" s="4" t="s">
        <v>4717</v>
      </c>
      <c r="D1717" s="4" t="s">
        <v>4718</v>
      </c>
      <c r="E1717" s="4" t="s">
        <v>443</v>
      </c>
      <c r="F1717" s="1" t="s">
        <v>508</v>
      </c>
    </row>
    <row r="1718" spans="1:7" ht="15.75" customHeight="1">
      <c r="A1718" s="4" t="s">
        <v>4719</v>
      </c>
      <c r="B1718" s="4">
        <v>2020</v>
      </c>
      <c r="C1718" s="4" t="s">
        <v>4720</v>
      </c>
      <c r="D1718" s="4" t="s">
        <v>4721</v>
      </c>
      <c r="E1718" s="4" t="s">
        <v>443</v>
      </c>
      <c r="F1718" s="1" t="s">
        <v>508</v>
      </c>
    </row>
    <row r="1719" spans="1:7" ht="15.75" customHeight="1">
      <c r="A1719" s="4" t="s">
        <v>4722</v>
      </c>
      <c r="B1719" s="4">
        <v>1990</v>
      </c>
      <c r="C1719" s="4" t="s">
        <v>4723</v>
      </c>
      <c r="D1719" s="4" t="s">
        <v>4724</v>
      </c>
      <c r="E1719" s="4" t="s">
        <v>443</v>
      </c>
      <c r="F1719" s="1" t="s">
        <v>508</v>
      </c>
    </row>
    <row r="1720" spans="1:7" ht="15.75" customHeight="1">
      <c r="A1720" s="4" t="s">
        <v>4725</v>
      </c>
      <c r="B1720" s="4">
        <v>2000</v>
      </c>
      <c r="D1720" s="4" t="s">
        <v>4726</v>
      </c>
      <c r="E1720" s="4" t="s">
        <v>443</v>
      </c>
      <c r="F1720" s="1" t="s">
        <v>508</v>
      </c>
    </row>
    <row r="1721" spans="1:7" ht="15.75" customHeight="1">
      <c r="A1721" s="4" t="s">
        <v>4727</v>
      </c>
      <c r="B1721" s="4">
        <v>2024</v>
      </c>
      <c r="C1721" s="4" t="s">
        <v>4728</v>
      </c>
      <c r="D1721" s="4" t="s">
        <v>4729</v>
      </c>
      <c r="E1721" s="4" t="s">
        <v>443</v>
      </c>
      <c r="F1721" s="1" t="s">
        <v>508</v>
      </c>
      <c r="G1721" s="4" t="s">
        <v>438</v>
      </c>
    </row>
    <row r="1722" spans="1:7" ht="15.75" customHeight="1">
      <c r="A1722" s="4" t="s">
        <v>4730</v>
      </c>
      <c r="B1722" s="4">
        <v>2024</v>
      </c>
      <c r="C1722" s="4" t="s">
        <v>4731</v>
      </c>
      <c r="D1722" s="4" t="s">
        <v>4732</v>
      </c>
      <c r="E1722" s="4" t="s">
        <v>443</v>
      </c>
      <c r="F1722" s="1" t="s">
        <v>508</v>
      </c>
      <c r="G1722" s="4" t="s">
        <v>438</v>
      </c>
    </row>
    <row r="1723" spans="1:7" ht="15.75" customHeight="1">
      <c r="A1723" s="4" t="s">
        <v>2740</v>
      </c>
      <c r="B1723" s="4">
        <v>2024</v>
      </c>
      <c r="C1723" s="4" t="s">
        <v>4733</v>
      </c>
      <c r="D1723" s="4" t="s">
        <v>4734</v>
      </c>
      <c r="E1723" s="4" t="s">
        <v>443</v>
      </c>
      <c r="F1723" s="1" t="s">
        <v>508</v>
      </c>
      <c r="G1723" s="4" t="s">
        <v>438</v>
      </c>
    </row>
    <row r="1724" spans="1:7" ht="15.75" customHeight="1">
      <c r="A1724" s="4" t="s">
        <v>4735</v>
      </c>
      <c r="B1724" s="4">
        <v>2024</v>
      </c>
      <c r="C1724" s="4" t="s">
        <v>4736</v>
      </c>
      <c r="D1724" s="4" t="s">
        <v>4737</v>
      </c>
      <c r="E1724" s="4" t="s">
        <v>443</v>
      </c>
      <c r="F1724" s="1" t="s">
        <v>508</v>
      </c>
      <c r="G1724" s="4" t="s">
        <v>438</v>
      </c>
    </row>
    <row r="1725" spans="1:7" ht="15.75" customHeight="1">
      <c r="A1725" s="4" t="s">
        <v>4738</v>
      </c>
      <c r="B1725" s="4">
        <v>2024</v>
      </c>
      <c r="C1725" s="4" t="s">
        <v>4739</v>
      </c>
      <c r="D1725" s="4" t="s">
        <v>4740</v>
      </c>
      <c r="E1725" s="4" t="s">
        <v>443</v>
      </c>
      <c r="F1725" s="1" t="s">
        <v>508</v>
      </c>
      <c r="G1725" s="4" t="s">
        <v>438</v>
      </c>
    </row>
    <row r="1726" spans="1:7" ht="15.75" customHeight="1">
      <c r="A1726" s="4" t="s">
        <v>4741</v>
      </c>
      <c r="B1726" s="4">
        <v>2024</v>
      </c>
      <c r="C1726" s="4" t="s">
        <v>4742</v>
      </c>
      <c r="D1726" s="4" t="s">
        <v>4743</v>
      </c>
      <c r="E1726" s="4" t="s">
        <v>443</v>
      </c>
      <c r="F1726" s="1" t="s">
        <v>508</v>
      </c>
      <c r="G1726" s="4" t="s">
        <v>438</v>
      </c>
    </row>
    <row r="1727" spans="1:7" ht="15.75" customHeight="1">
      <c r="A1727" s="20" t="s">
        <v>4744</v>
      </c>
      <c r="B1727" s="4">
        <v>2024</v>
      </c>
      <c r="C1727" s="4" t="s">
        <v>4745</v>
      </c>
      <c r="D1727" s="4" t="s">
        <v>4746</v>
      </c>
      <c r="E1727" s="4" t="s">
        <v>443</v>
      </c>
      <c r="F1727" s="1" t="s">
        <v>508</v>
      </c>
      <c r="G1727" s="4" t="s">
        <v>438</v>
      </c>
    </row>
    <row r="1728" spans="1:7" ht="15.75" customHeight="1">
      <c r="A1728" s="4" t="s">
        <v>4747</v>
      </c>
      <c r="B1728" s="4">
        <v>2024</v>
      </c>
      <c r="C1728" s="4" t="s">
        <v>4748</v>
      </c>
      <c r="D1728" s="4" t="s">
        <v>4749</v>
      </c>
      <c r="E1728" s="4" t="s">
        <v>443</v>
      </c>
      <c r="F1728" s="1" t="s">
        <v>508</v>
      </c>
      <c r="G1728" s="4" t="s">
        <v>438</v>
      </c>
    </row>
    <row r="1729" spans="1:7" ht="15.75" customHeight="1">
      <c r="A1729" s="4" t="s">
        <v>4750</v>
      </c>
      <c r="B1729" s="4">
        <v>2024</v>
      </c>
      <c r="C1729" s="4" t="s">
        <v>4751</v>
      </c>
      <c r="D1729" s="4" t="s">
        <v>4752</v>
      </c>
      <c r="E1729" s="4" t="s">
        <v>443</v>
      </c>
      <c r="F1729" s="1" t="s">
        <v>508</v>
      </c>
      <c r="G1729" s="4" t="s">
        <v>438</v>
      </c>
    </row>
    <row r="1730" spans="1:7" ht="15.75" customHeight="1">
      <c r="A1730" s="4" t="s">
        <v>679</v>
      </c>
      <c r="B1730" s="4">
        <v>2024</v>
      </c>
      <c r="C1730" s="4" t="s">
        <v>4753</v>
      </c>
      <c r="D1730" s="4" t="s">
        <v>4754</v>
      </c>
      <c r="E1730" s="4" t="s">
        <v>443</v>
      </c>
      <c r="F1730" s="1" t="s">
        <v>508</v>
      </c>
      <c r="G1730" s="4" t="s">
        <v>438</v>
      </c>
    </row>
    <row r="1731" spans="1:7" ht="15.75" customHeight="1">
      <c r="A1731" s="4" t="s">
        <v>679</v>
      </c>
      <c r="B1731" s="4">
        <v>2024</v>
      </c>
      <c r="C1731" s="4" t="s">
        <v>4755</v>
      </c>
      <c r="D1731" s="4" t="s">
        <v>4756</v>
      </c>
      <c r="E1731" s="4" t="s">
        <v>443</v>
      </c>
      <c r="F1731" s="1" t="s">
        <v>508</v>
      </c>
      <c r="G1731" s="4" t="s">
        <v>438</v>
      </c>
    </row>
    <row r="1732" spans="1:7" ht="15.75" customHeight="1">
      <c r="A1732" s="4" t="s">
        <v>4757</v>
      </c>
      <c r="B1732" s="4">
        <v>2024</v>
      </c>
      <c r="C1732" s="4" t="s">
        <v>4758</v>
      </c>
      <c r="D1732" s="4" t="s">
        <v>4759</v>
      </c>
      <c r="E1732" s="4" t="s">
        <v>443</v>
      </c>
      <c r="F1732" s="1" t="s">
        <v>508</v>
      </c>
      <c r="G1732" s="4" t="s">
        <v>438</v>
      </c>
    </row>
    <row r="1733" spans="1:7" ht="15.75" customHeight="1">
      <c r="A1733" s="4" t="s">
        <v>4760</v>
      </c>
      <c r="B1733" s="4">
        <v>2024</v>
      </c>
      <c r="C1733" s="4" t="s">
        <v>4761</v>
      </c>
      <c r="D1733" s="4" t="s">
        <v>4762</v>
      </c>
      <c r="E1733" s="4" t="s">
        <v>443</v>
      </c>
      <c r="F1733" s="1" t="s">
        <v>508</v>
      </c>
      <c r="G1733" s="4" t="s">
        <v>438</v>
      </c>
    </row>
    <row r="1734" spans="1:7" ht="15.75" customHeight="1">
      <c r="A1734" s="4" t="s">
        <v>619</v>
      </c>
      <c r="B1734" s="4">
        <v>2024</v>
      </c>
      <c r="C1734" s="4" t="s">
        <v>4763</v>
      </c>
      <c r="D1734" s="4" t="s">
        <v>4764</v>
      </c>
      <c r="E1734" s="4" t="s">
        <v>443</v>
      </c>
      <c r="F1734" s="1" t="s">
        <v>508</v>
      </c>
      <c r="G1734" s="4" t="s">
        <v>438</v>
      </c>
    </row>
    <row r="1735" spans="1:7" ht="15.75" customHeight="1">
      <c r="A1735" s="4" t="s">
        <v>4765</v>
      </c>
      <c r="B1735" s="4">
        <v>2024</v>
      </c>
      <c r="C1735" s="4" t="s">
        <v>4766</v>
      </c>
      <c r="D1735" s="4" t="s">
        <v>4767</v>
      </c>
      <c r="E1735" s="4" t="s">
        <v>443</v>
      </c>
      <c r="F1735" s="1" t="s">
        <v>508</v>
      </c>
      <c r="G1735" s="4" t="s">
        <v>438</v>
      </c>
    </row>
    <row r="1736" spans="1:7" ht="15.75" customHeight="1">
      <c r="A1736" s="4" t="s">
        <v>4768</v>
      </c>
      <c r="B1736" s="4">
        <v>2024</v>
      </c>
      <c r="C1736" s="4" t="s">
        <v>4769</v>
      </c>
      <c r="D1736" s="4" t="s">
        <v>4770</v>
      </c>
      <c r="E1736" s="4" t="s">
        <v>443</v>
      </c>
      <c r="F1736" s="1" t="s">
        <v>508</v>
      </c>
      <c r="G1736" s="4" t="s">
        <v>438</v>
      </c>
    </row>
    <row r="1737" spans="1:7" ht="15.75" customHeight="1">
      <c r="A1737" s="4" t="s">
        <v>4771</v>
      </c>
      <c r="B1737" s="4">
        <v>2024</v>
      </c>
      <c r="C1737" s="4" t="s">
        <v>4772</v>
      </c>
      <c r="D1737" s="4" t="s">
        <v>4773</v>
      </c>
      <c r="E1737" s="4" t="s">
        <v>443</v>
      </c>
      <c r="F1737" s="1" t="s">
        <v>508</v>
      </c>
      <c r="G1737" s="4" t="s">
        <v>438</v>
      </c>
    </row>
    <row r="1738" spans="1:7" ht="15.75" customHeight="1">
      <c r="A1738" s="4" t="s">
        <v>4774</v>
      </c>
      <c r="B1738" s="4">
        <v>2024</v>
      </c>
      <c r="C1738" s="4" t="s">
        <v>4775</v>
      </c>
      <c r="D1738" s="4" t="s">
        <v>4776</v>
      </c>
      <c r="E1738" s="4" t="s">
        <v>443</v>
      </c>
      <c r="F1738" s="1" t="s">
        <v>508</v>
      </c>
      <c r="G1738" s="4" t="s">
        <v>438</v>
      </c>
    </row>
    <row r="1739" spans="1:7" ht="15.75" customHeight="1">
      <c r="A1739" s="4" t="s">
        <v>4777</v>
      </c>
      <c r="B1739" s="4">
        <v>2024</v>
      </c>
      <c r="C1739" s="4" t="s">
        <v>4778</v>
      </c>
      <c r="D1739" s="4" t="s">
        <v>4779</v>
      </c>
      <c r="E1739" s="4" t="s">
        <v>443</v>
      </c>
      <c r="F1739" s="1" t="s">
        <v>508</v>
      </c>
      <c r="G1739" s="4" t="s">
        <v>438</v>
      </c>
    </row>
    <row r="1740" spans="1:7" ht="15.75" customHeight="1">
      <c r="A1740" s="4" t="s">
        <v>4780</v>
      </c>
      <c r="B1740" s="4">
        <v>2024</v>
      </c>
      <c r="C1740" s="4" t="s">
        <v>4781</v>
      </c>
      <c r="D1740" s="4" t="s">
        <v>4782</v>
      </c>
      <c r="E1740" s="4" t="s">
        <v>443</v>
      </c>
      <c r="F1740" s="1" t="s">
        <v>508</v>
      </c>
      <c r="G1740" s="4" t="s">
        <v>438</v>
      </c>
    </row>
    <row r="1741" spans="1:7" ht="15.75" customHeight="1">
      <c r="A1741" s="4" t="s">
        <v>4783</v>
      </c>
      <c r="B1741" s="4">
        <v>2024</v>
      </c>
      <c r="C1741" s="4" t="s">
        <v>4784</v>
      </c>
      <c r="D1741" s="4" t="s">
        <v>4785</v>
      </c>
      <c r="E1741" s="4" t="s">
        <v>443</v>
      </c>
      <c r="F1741" s="1" t="s">
        <v>508</v>
      </c>
      <c r="G1741" s="4" t="s">
        <v>438</v>
      </c>
    </row>
    <row r="1742" spans="1:7" ht="15.75" customHeight="1">
      <c r="A1742" s="4" t="s">
        <v>4464</v>
      </c>
      <c r="B1742" s="4">
        <v>2024</v>
      </c>
      <c r="C1742" s="4" t="s">
        <v>4786</v>
      </c>
      <c r="D1742" s="4" t="s">
        <v>4787</v>
      </c>
      <c r="E1742" s="4" t="s">
        <v>443</v>
      </c>
      <c r="F1742" s="1" t="s">
        <v>508</v>
      </c>
      <c r="G1742" s="4" t="s">
        <v>438</v>
      </c>
    </row>
    <row r="1743" spans="1:7" ht="15.75" customHeight="1">
      <c r="A1743" s="4" t="s">
        <v>4788</v>
      </c>
      <c r="B1743" s="4">
        <v>2024</v>
      </c>
      <c r="C1743" s="4" t="s">
        <v>4789</v>
      </c>
      <c r="D1743" s="4" t="s">
        <v>4790</v>
      </c>
      <c r="E1743" s="4" t="s">
        <v>443</v>
      </c>
      <c r="F1743" s="1" t="s">
        <v>508</v>
      </c>
      <c r="G1743" s="4" t="s">
        <v>438</v>
      </c>
    </row>
    <row r="1744" spans="1:7" ht="15.75" customHeight="1">
      <c r="D1744" s="4" t="s">
        <v>302</v>
      </c>
      <c r="E1744" s="4"/>
      <c r="F1744" s="1"/>
    </row>
    <row r="1745" spans="4:6" ht="15.75" customHeight="1">
      <c r="D1745" s="4" t="s">
        <v>302</v>
      </c>
      <c r="E1745" s="4"/>
      <c r="F1745" s="1"/>
    </row>
    <row r="1746" spans="4:6" ht="15.75" customHeight="1">
      <c r="D1746" s="4" t="s">
        <v>302</v>
      </c>
      <c r="E1746" s="4"/>
      <c r="F1746" s="1"/>
    </row>
    <row r="1747" spans="4:6" ht="15.75" customHeight="1">
      <c r="D1747" s="4" t="s">
        <v>302</v>
      </c>
      <c r="E1747" s="4"/>
      <c r="F1747" s="1"/>
    </row>
    <row r="1748" spans="4:6" ht="15.75" customHeight="1">
      <c r="D1748" s="4" t="s">
        <v>302</v>
      </c>
      <c r="E1748" s="4"/>
      <c r="F1748" s="1"/>
    </row>
    <row r="1749" spans="4:6" ht="15.75" customHeight="1">
      <c r="D1749" s="4" t="s">
        <v>302</v>
      </c>
      <c r="E1749" s="4"/>
      <c r="F1749" s="1"/>
    </row>
    <row r="1750" spans="4:6" ht="15.75" customHeight="1">
      <c r="D1750" s="4" t="s">
        <v>302</v>
      </c>
      <c r="E1750" s="4"/>
      <c r="F1750" s="1"/>
    </row>
    <row r="1751" spans="4:6" ht="15.75" customHeight="1">
      <c r="D1751" s="4" t="s">
        <v>302</v>
      </c>
      <c r="E1751" s="4"/>
      <c r="F1751" s="1"/>
    </row>
    <row r="1752" spans="4:6" ht="15.75" customHeight="1">
      <c r="D1752" s="4" t="s">
        <v>302</v>
      </c>
      <c r="E1752" s="4"/>
      <c r="F1752" s="1"/>
    </row>
    <row r="1753" spans="4:6" ht="15.75" customHeight="1">
      <c r="D1753" s="4" t="s">
        <v>302</v>
      </c>
      <c r="E1753" s="4"/>
      <c r="F1753" s="1"/>
    </row>
    <row r="1754" spans="4:6" ht="15.75" customHeight="1">
      <c r="D1754" s="4" t="s">
        <v>302</v>
      </c>
      <c r="E1754" s="4"/>
      <c r="F1754" s="1"/>
    </row>
    <row r="1755" spans="4:6" ht="15.75" customHeight="1">
      <c r="D1755" s="4" t="s">
        <v>302</v>
      </c>
      <c r="E1755" s="4"/>
      <c r="F1755" s="1"/>
    </row>
    <row r="1756" spans="4:6" ht="15.75" customHeight="1">
      <c r="D1756" s="4" t="s">
        <v>302</v>
      </c>
      <c r="E1756" s="4"/>
      <c r="F1756" s="1"/>
    </row>
    <row r="1757" spans="4:6" ht="15.75" customHeight="1">
      <c r="D1757" s="4" t="s">
        <v>302</v>
      </c>
      <c r="E1757" s="4"/>
      <c r="F1757" s="1"/>
    </row>
    <row r="1758" spans="4:6" ht="15.75" customHeight="1">
      <c r="D1758" s="4" t="s">
        <v>302</v>
      </c>
      <c r="E1758" s="4"/>
      <c r="F1758" s="1"/>
    </row>
    <row r="1759" spans="4:6" ht="15.75" customHeight="1">
      <c r="D1759" s="4" t="s">
        <v>302</v>
      </c>
      <c r="E1759" s="4"/>
      <c r="F1759" s="1"/>
    </row>
    <row r="1760" spans="4:6" ht="15.75" customHeight="1">
      <c r="D1760" s="4" t="s">
        <v>302</v>
      </c>
      <c r="E1760" s="4"/>
      <c r="F1760" s="1"/>
    </row>
    <row r="1761" spans="4:6" ht="15.75" customHeight="1">
      <c r="D1761" s="4" t="s">
        <v>302</v>
      </c>
      <c r="E1761" s="4"/>
      <c r="F1761" s="1"/>
    </row>
    <row r="1762" spans="4:6" ht="15.75" customHeight="1">
      <c r="D1762" s="4" t="s">
        <v>302</v>
      </c>
      <c r="E1762" s="4"/>
      <c r="F1762" s="1"/>
    </row>
    <row r="1763" spans="4:6" ht="15.75" customHeight="1">
      <c r="D1763" s="4" t="s">
        <v>302</v>
      </c>
      <c r="E1763" s="4"/>
      <c r="F1763" s="1"/>
    </row>
    <row r="1764" spans="4:6" ht="15.75" customHeight="1">
      <c r="D1764" s="4" t="s">
        <v>302</v>
      </c>
      <c r="E1764" s="4"/>
      <c r="F1764" s="1"/>
    </row>
    <row r="1765" spans="4:6" ht="15.75" customHeight="1">
      <c r="D1765" s="4" t="s">
        <v>302</v>
      </c>
      <c r="E1765" s="4"/>
      <c r="F1765" s="1"/>
    </row>
    <row r="1766" spans="4:6" ht="15.75" customHeight="1">
      <c r="D1766" s="4" t="s">
        <v>302</v>
      </c>
      <c r="E1766" s="4"/>
      <c r="F1766" s="1"/>
    </row>
    <row r="1767" spans="4:6" ht="15.75" customHeight="1">
      <c r="D1767" s="4" t="s">
        <v>302</v>
      </c>
      <c r="E1767" s="4"/>
      <c r="F1767" s="1"/>
    </row>
    <row r="1768" spans="4:6" ht="15.75" customHeight="1">
      <c r="D1768" s="4" t="s">
        <v>302</v>
      </c>
      <c r="E1768" s="4"/>
      <c r="F1768" s="1"/>
    </row>
    <row r="1769" spans="4:6" ht="15.75" customHeight="1">
      <c r="D1769" s="4" t="s">
        <v>302</v>
      </c>
      <c r="E1769" s="4"/>
      <c r="F1769" s="1"/>
    </row>
    <row r="1770" spans="4:6" ht="15.75" customHeight="1">
      <c r="D1770" s="4" t="s">
        <v>302</v>
      </c>
      <c r="E1770" s="4"/>
      <c r="F1770" s="1"/>
    </row>
    <row r="1771" spans="4:6" ht="15.75" customHeight="1">
      <c r="D1771" s="4" t="s">
        <v>302</v>
      </c>
      <c r="E1771" s="4"/>
      <c r="F1771" s="1"/>
    </row>
    <row r="1772" spans="4:6" ht="15.75" customHeight="1">
      <c r="D1772" s="4" t="s">
        <v>302</v>
      </c>
      <c r="E1772" s="4"/>
      <c r="F1772" s="1"/>
    </row>
    <row r="1773" spans="4:6" ht="15.75" customHeight="1">
      <c r="D1773" s="4" t="s">
        <v>302</v>
      </c>
      <c r="E1773" s="4"/>
      <c r="F1773" s="1"/>
    </row>
    <row r="1774" spans="4:6" ht="15.75" customHeight="1">
      <c r="D1774" s="4" t="s">
        <v>302</v>
      </c>
      <c r="E1774" s="4"/>
      <c r="F1774" s="1"/>
    </row>
    <row r="1775" spans="4:6" ht="15.75" customHeight="1">
      <c r="D1775" s="4" t="s">
        <v>302</v>
      </c>
      <c r="E1775" s="4"/>
      <c r="F1775" s="1"/>
    </row>
    <row r="1776" spans="4:6" ht="15.75" customHeight="1">
      <c r="D1776" s="4" t="s">
        <v>302</v>
      </c>
      <c r="E1776" s="4"/>
      <c r="F1776" s="1"/>
    </row>
    <row r="1777" spans="4:6" ht="15.75" customHeight="1">
      <c r="D1777" s="4" t="s">
        <v>302</v>
      </c>
      <c r="E1777" s="4"/>
      <c r="F1777" s="1"/>
    </row>
    <row r="1778" spans="4:6" ht="15.75" customHeight="1">
      <c r="D1778" s="4" t="s">
        <v>302</v>
      </c>
      <c r="E1778" s="4"/>
      <c r="F1778" s="1"/>
    </row>
    <row r="1779" spans="4:6" ht="15.75" customHeight="1">
      <c r="D1779" s="4" t="s">
        <v>302</v>
      </c>
      <c r="E1779" s="4"/>
      <c r="F1779" s="1"/>
    </row>
    <row r="1780" spans="4:6" ht="15.75" customHeight="1">
      <c r="D1780" s="4" t="s">
        <v>302</v>
      </c>
      <c r="E1780" s="4"/>
      <c r="F1780" s="1"/>
    </row>
    <row r="1781" spans="4:6" ht="15.75" customHeight="1">
      <c r="D1781" s="4" t="s">
        <v>302</v>
      </c>
      <c r="E1781" s="4"/>
      <c r="F1781" s="1"/>
    </row>
    <row r="1782" spans="4:6" ht="15.75" customHeight="1">
      <c r="D1782" s="4" t="s">
        <v>302</v>
      </c>
      <c r="E1782" s="4"/>
      <c r="F1782" s="1"/>
    </row>
    <row r="1783" spans="4:6" ht="15.75" customHeight="1">
      <c r="D1783" s="4" t="s">
        <v>302</v>
      </c>
      <c r="E1783" s="4"/>
      <c r="F1783" s="1"/>
    </row>
    <row r="1784" spans="4:6" ht="15.75" customHeight="1">
      <c r="D1784" s="4" t="s">
        <v>302</v>
      </c>
      <c r="E1784" s="4"/>
      <c r="F1784" s="1"/>
    </row>
    <row r="1785" spans="4:6" ht="15.75" customHeight="1">
      <c r="D1785" s="4" t="s">
        <v>302</v>
      </c>
      <c r="E1785" s="4"/>
      <c r="F1785" s="1"/>
    </row>
    <row r="1786" spans="4:6" ht="15.75" customHeight="1">
      <c r="D1786" s="4" t="s">
        <v>302</v>
      </c>
      <c r="E1786" s="4"/>
      <c r="F1786" s="1"/>
    </row>
    <row r="1787" spans="4:6" ht="15.75" customHeight="1">
      <c r="D1787" s="4" t="s">
        <v>302</v>
      </c>
      <c r="E1787" s="4"/>
      <c r="F1787" s="1"/>
    </row>
    <row r="1788" spans="4:6" ht="15.75" customHeight="1">
      <c r="D1788" s="4" t="s">
        <v>302</v>
      </c>
      <c r="E1788" s="4"/>
      <c r="F1788" s="1"/>
    </row>
    <row r="1789" spans="4:6" ht="15.75" customHeight="1">
      <c r="D1789" s="4" t="s">
        <v>302</v>
      </c>
      <c r="E1789" s="4"/>
      <c r="F1789" s="1"/>
    </row>
    <row r="1790" spans="4:6" ht="15.75" customHeight="1">
      <c r="D1790" s="4" t="s">
        <v>302</v>
      </c>
      <c r="E1790" s="4"/>
      <c r="F1790" s="1"/>
    </row>
    <row r="1791" spans="4:6" ht="15.75" customHeight="1">
      <c r="D1791" s="4" t="s">
        <v>302</v>
      </c>
      <c r="E1791" s="4"/>
      <c r="F1791" s="1"/>
    </row>
    <row r="1792" spans="4:6" ht="15.75" customHeight="1">
      <c r="D1792" s="4" t="s">
        <v>302</v>
      </c>
      <c r="E1792" s="4"/>
      <c r="F1792" s="1"/>
    </row>
    <row r="1793" spans="4:6" ht="15.75" customHeight="1">
      <c r="D1793" s="4" t="s">
        <v>302</v>
      </c>
      <c r="E1793" s="4"/>
      <c r="F1793" s="1"/>
    </row>
    <row r="1794" spans="4:6" ht="15.75" customHeight="1">
      <c r="D1794" s="4" t="s">
        <v>302</v>
      </c>
      <c r="E1794" s="4"/>
      <c r="F1794" s="1"/>
    </row>
    <row r="1795" spans="4:6" ht="15.75" customHeight="1">
      <c r="D1795" s="4" t="s">
        <v>302</v>
      </c>
      <c r="E1795" s="4"/>
      <c r="F1795" s="1"/>
    </row>
    <row r="1796" spans="4:6" ht="15.75" customHeight="1">
      <c r="D1796" s="4" t="s">
        <v>302</v>
      </c>
      <c r="E1796" s="4"/>
      <c r="F1796" s="1"/>
    </row>
    <row r="1797" spans="4:6" ht="15.75" customHeight="1">
      <c r="D1797" s="4" t="s">
        <v>302</v>
      </c>
      <c r="E1797" s="4"/>
      <c r="F1797" s="1"/>
    </row>
    <row r="1798" spans="4:6" ht="15.75" customHeight="1">
      <c r="D1798" s="4" t="s">
        <v>302</v>
      </c>
      <c r="E1798" s="4"/>
      <c r="F1798" s="1"/>
    </row>
    <row r="1799" spans="4:6" ht="15.75" customHeight="1">
      <c r="D1799" s="4" t="s">
        <v>302</v>
      </c>
      <c r="E1799" s="4"/>
      <c r="F1799" s="1"/>
    </row>
    <row r="1800" spans="4:6" ht="15.75" customHeight="1">
      <c r="D1800" s="4" t="s">
        <v>302</v>
      </c>
      <c r="E1800" s="4"/>
      <c r="F1800" s="1"/>
    </row>
    <row r="1801" spans="4:6" ht="15.75" customHeight="1">
      <c r="D1801" s="4" t="s">
        <v>302</v>
      </c>
      <c r="E1801" s="4"/>
      <c r="F1801" s="1"/>
    </row>
    <row r="1802" spans="4:6" ht="15.75" customHeight="1">
      <c r="D1802" s="4" t="s">
        <v>302</v>
      </c>
      <c r="E1802" s="4"/>
      <c r="F1802" s="1"/>
    </row>
    <row r="1803" spans="4:6" ht="15.75" customHeight="1">
      <c r="D1803" s="4" t="s">
        <v>302</v>
      </c>
      <c r="E1803" s="4"/>
      <c r="F1803" s="1"/>
    </row>
    <row r="1804" spans="4:6" ht="15.75" customHeight="1">
      <c r="D1804" s="4" t="s">
        <v>302</v>
      </c>
      <c r="E1804" s="4"/>
      <c r="F1804" s="1"/>
    </row>
    <row r="1805" spans="4:6" ht="15.75" customHeight="1">
      <c r="D1805" s="4" t="s">
        <v>302</v>
      </c>
      <c r="E1805" s="4"/>
      <c r="F1805" s="1"/>
    </row>
    <row r="1806" spans="4:6" ht="15.75" customHeight="1">
      <c r="D1806" s="4" t="s">
        <v>302</v>
      </c>
      <c r="E1806" s="4"/>
      <c r="F1806" s="1"/>
    </row>
    <row r="1807" spans="4:6" ht="15.75" customHeight="1">
      <c r="D1807" s="4" t="s">
        <v>302</v>
      </c>
      <c r="E1807" s="4"/>
      <c r="F1807" s="1"/>
    </row>
    <row r="1808" spans="4:6" ht="15.75" customHeight="1">
      <c r="D1808" s="4" t="s">
        <v>302</v>
      </c>
      <c r="E1808" s="4"/>
      <c r="F1808" s="1"/>
    </row>
    <row r="1809" spans="4:6" ht="15.75" customHeight="1">
      <c r="D1809" s="4" t="s">
        <v>302</v>
      </c>
      <c r="E1809" s="4"/>
      <c r="F1809" s="1"/>
    </row>
    <row r="1810" spans="4:6" ht="15.75" customHeight="1">
      <c r="D1810" s="4" t="s">
        <v>302</v>
      </c>
      <c r="E1810" s="4"/>
      <c r="F1810" s="1"/>
    </row>
    <row r="1811" spans="4:6" ht="15.75" customHeight="1">
      <c r="D1811" s="4" t="s">
        <v>302</v>
      </c>
      <c r="E1811" s="4"/>
      <c r="F1811" s="1"/>
    </row>
    <row r="1812" spans="4:6" ht="15.75" customHeight="1">
      <c r="D1812" s="4" t="s">
        <v>302</v>
      </c>
      <c r="E1812" s="4"/>
      <c r="F1812" s="1"/>
    </row>
    <row r="1813" spans="4:6" ht="15.75" customHeight="1">
      <c r="D1813" s="4" t="s">
        <v>302</v>
      </c>
      <c r="E1813" s="4"/>
      <c r="F1813" s="1"/>
    </row>
    <row r="1814" spans="4:6" ht="15.75" customHeight="1">
      <c r="D1814" s="4" t="s">
        <v>302</v>
      </c>
      <c r="E1814" s="4"/>
      <c r="F1814" s="1"/>
    </row>
    <row r="1815" spans="4:6" ht="15.75" customHeight="1">
      <c r="D1815" s="4" t="s">
        <v>302</v>
      </c>
      <c r="E1815" s="4"/>
      <c r="F1815" s="1"/>
    </row>
    <row r="1816" spans="4:6" ht="15.75" customHeight="1">
      <c r="D1816" s="4" t="s">
        <v>302</v>
      </c>
      <c r="E1816" s="4"/>
      <c r="F1816" s="1"/>
    </row>
    <row r="1817" spans="4:6" ht="15.75" customHeight="1">
      <c r="D1817" s="4" t="s">
        <v>302</v>
      </c>
      <c r="E1817" s="4"/>
      <c r="F1817" s="1"/>
    </row>
    <row r="1818" spans="4:6" ht="15.75" customHeight="1">
      <c r="D1818" s="4" t="s">
        <v>302</v>
      </c>
      <c r="E1818" s="4"/>
      <c r="F1818" s="1"/>
    </row>
    <row r="1819" spans="4:6" ht="15.75" customHeight="1">
      <c r="D1819" s="4" t="s">
        <v>302</v>
      </c>
      <c r="E1819" s="4"/>
      <c r="F1819" s="1"/>
    </row>
    <row r="1820" spans="4:6" ht="15.75" customHeight="1">
      <c r="D1820" s="4" t="s">
        <v>302</v>
      </c>
      <c r="E1820" s="4"/>
      <c r="F1820" s="1"/>
    </row>
    <row r="1821" spans="4:6" ht="15.75" customHeight="1">
      <c r="D1821" s="4" t="s">
        <v>302</v>
      </c>
      <c r="E1821" s="4"/>
      <c r="F1821" s="1"/>
    </row>
    <row r="1822" spans="4:6" ht="15.75" customHeight="1">
      <c r="D1822" s="4" t="s">
        <v>302</v>
      </c>
      <c r="E1822" s="4"/>
      <c r="F1822" s="1"/>
    </row>
    <row r="1823" spans="4:6" ht="15.75" customHeight="1">
      <c r="D1823" s="4" t="s">
        <v>302</v>
      </c>
      <c r="E1823" s="4"/>
      <c r="F1823" s="1"/>
    </row>
    <row r="1824" spans="4:6" ht="15.75" customHeight="1">
      <c r="D1824" s="4" t="s">
        <v>302</v>
      </c>
      <c r="E1824" s="4"/>
      <c r="F1824" s="1"/>
    </row>
    <row r="1825" spans="4:6" ht="15.75" customHeight="1">
      <c r="D1825" s="4" t="s">
        <v>302</v>
      </c>
      <c r="E1825" s="4"/>
      <c r="F1825" s="1"/>
    </row>
    <row r="1826" spans="4:6" ht="15.75" customHeight="1">
      <c r="D1826" s="4" t="s">
        <v>302</v>
      </c>
      <c r="E1826" s="4"/>
      <c r="F1826" s="1"/>
    </row>
    <row r="1827" spans="4:6" ht="15.75" customHeight="1">
      <c r="D1827" s="4" t="s">
        <v>302</v>
      </c>
      <c r="E1827" s="4"/>
      <c r="F1827" s="1"/>
    </row>
    <row r="1828" spans="4:6" ht="15.75" customHeight="1">
      <c r="D1828" s="4" t="s">
        <v>302</v>
      </c>
      <c r="E1828" s="4"/>
      <c r="F1828" s="1"/>
    </row>
    <row r="1829" spans="4:6" ht="15.75" customHeight="1">
      <c r="D1829" s="4" t="s">
        <v>302</v>
      </c>
      <c r="E1829" s="4"/>
      <c r="F1829" s="1"/>
    </row>
    <row r="1830" spans="4:6" ht="15.75" customHeight="1">
      <c r="D1830" s="4" t="s">
        <v>302</v>
      </c>
      <c r="E1830" s="4"/>
      <c r="F1830" s="1"/>
    </row>
    <row r="1831" spans="4:6" ht="15.75" customHeight="1">
      <c r="D1831" s="4" t="s">
        <v>302</v>
      </c>
      <c r="E1831" s="4"/>
      <c r="F1831" s="1"/>
    </row>
    <row r="1832" spans="4:6" ht="15.75" customHeight="1">
      <c r="D1832" s="4" t="s">
        <v>302</v>
      </c>
      <c r="E1832" s="4"/>
      <c r="F1832" s="1"/>
    </row>
    <row r="1833" spans="4:6" ht="15.75" customHeight="1">
      <c r="D1833" s="4" t="s">
        <v>302</v>
      </c>
      <c r="E1833" s="4"/>
      <c r="F1833" s="1"/>
    </row>
    <row r="1834" spans="4:6" ht="15.75" customHeight="1">
      <c r="D1834" s="4" t="s">
        <v>302</v>
      </c>
      <c r="E1834" s="4"/>
      <c r="F1834" s="1"/>
    </row>
    <row r="1835" spans="4:6" ht="15.75" customHeight="1">
      <c r="D1835" s="4" t="s">
        <v>302</v>
      </c>
      <c r="E1835" s="4"/>
      <c r="F1835" s="1"/>
    </row>
    <row r="1836" spans="4:6" ht="15.75" customHeight="1">
      <c r="D1836" s="4" t="s">
        <v>302</v>
      </c>
      <c r="E1836" s="4"/>
      <c r="F1836" s="1"/>
    </row>
    <row r="1837" spans="4:6" ht="15.75" customHeight="1">
      <c r="D1837" s="4" t="s">
        <v>302</v>
      </c>
      <c r="E1837" s="4"/>
      <c r="F1837" s="1"/>
    </row>
    <row r="1838" spans="4:6" ht="15.75" customHeight="1">
      <c r="D1838" s="4" t="s">
        <v>302</v>
      </c>
      <c r="E1838" s="4"/>
      <c r="F1838" s="1"/>
    </row>
    <row r="1839" spans="4:6" ht="15.75" customHeight="1">
      <c r="D1839" s="4" t="s">
        <v>302</v>
      </c>
      <c r="E1839" s="4"/>
      <c r="F1839" s="1"/>
    </row>
    <row r="1840" spans="4:6" ht="15.75" customHeight="1">
      <c r="D1840" s="4" t="s">
        <v>302</v>
      </c>
      <c r="E1840" s="4"/>
      <c r="F1840" s="1"/>
    </row>
    <row r="1841" spans="4:6" ht="15.75" customHeight="1">
      <c r="D1841" s="4" t="s">
        <v>302</v>
      </c>
      <c r="E1841" s="4"/>
      <c r="F1841" s="1"/>
    </row>
    <row r="1842" spans="4:6" ht="15.75" customHeight="1">
      <c r="D1842" s="4" t="s">
        <v>302</v>
      </c>
      <c r="E1842" s="4"/>
      <c r="F1842" s="1"/>
    </row>
    <row r="1843" spans="4:6" ht="15.75" customHeight="1">
      <c r="D1843" s="4" t="s">
        <v>302</v>
      </c>
      <c r="E1843" s="4"/>
      <c r="F1843" s="1"/>
    </row>
    <row r="1844" spans="4:6" ht="15.75" customHeight="1">
      <c r="D1844" s="4" t="s">
        <v>302</v>
      </c>
      <c r="E1844" s="4"/>
      <c r="F1844" s="1"/>
    </row>
    <row r="1845" spans="4:6" ht="15.75" customHeight="1">
      <c r="D1845" s="4" t="s">
        <v>302</v>
      </c>
      <c r="E1845" s="4"/>
      <c r="F1845" s="1"/>
    </row>
    <row r="1846" spans="4:6" ht="15.75" customHeight="1">
      <c r="D1846" s="4" t="s">
        <v>302</v>
      </c>
      <c r="E1846" s="4"/>
      <c r="F1846" s="1"/>
    </row>
    <row r="1847" spans="4:6" ht="15.75" customHeight="1">
      <c r="D1847" s="4" t="s">
        <v>302</v>
      </c>
      <c r="E1847" s="4"/>
      <c r="F1847" s="1"/>
    </row>
    <row r="1848" spans="4:6" ht="15.75" customHeight="1">
      <c r="D1848" s="4" t="s">
        <v>302</v>
      </c>
      <c r="E1848" s="4"/>
      <c r="F1848" s="1"/>
    </row>
    <row r="1849" spans="4:6" ht="15.75" customHeight="1">
      <c r="D1849" s="4" t="s">
        <v>302</v>
      </c>
      <c r="E1849" s="4"/>
      <c r="F1849" s="1"/>
    </row>
    <row r="1850" spans="4:6" ht="15.75" customHeight="1">
      <c r="D1850" s="4" t="s">
        <v>302</v>
      </c>
      <c r="E1850" s="4"/>
      <c r="F1850" s="1"/>
    </row>
    <row r="1851" spans="4:6" ht="15.75" customHeight="1">
      <c r="D1851" s="4" t="s">
        <v>302</v>
      </c>
      <c r="E1851" s="4"/>
      <c r="F1851" s="1"/>
    </row>
    <row r="1852" spans="4:6" ht="15.75" customHeight="1">
      <c r="D1852" s="4" t="s">
        <v>302</v>
      </c>
      <c r="E1852" s="4"/>
      <c r="F1852" s="1"/>
    </row>
    <row r="1853" spans="4:6" ht="15.75" customHeight="1">
      <c r="D1853" s="4" t="s">
        <v>302</v>
      </c>
      <c r="E1853" s="4"/>
      <c r="F1853" s="1"/>
    </row>
    <row r="1854" spans="4:6" ht="15.75" customHeight="1">
      <c r="D1854" s="4" t="s">
        <v>302</v>
      </c>
      <c r="E1854" s="4"/>
      <c r="F1854" s="1"/>
    </row>
    <row r="1855" spans="4:6" ht="15.75" customHeight="1">
      <c r="D1855" s="4" t="s">
        <v>302</v>
      </c>
      <c r="E1855" s="4"/>
      <c r="F1855" s="1"/>
    </row>
    <row r="1856" spans="4:6" ht="15.75" customHeight="1">
      <c r="D1856" s="4" t="s">
        <v>302</v>
      </c>
      <c r="E1856" s="4"/>
      <c r="F1856" s="1"/>
    </row>
    <row r="1857" spans="4:6" ht="15.75" customHeight="1">
      <c r="D1857" s="4" t="s">
        <v>302</v>
      </c>
      <c r="E1857" s="4"/>
      <c r="F1857" s="1"/>
    </row>
    <row r="1858" spans="4:6" ht="15.75" customHeight="1">
      <c r="D1858" s="4" t="s">
        <v>302</v>
      </c>
      <c r="E1858" s="4"/>
      <c r="F1858" s="1"/>
    </row>
    <row r="1859" spans="4:6" ht="15.75" customHeight="1">
      <c r="D1859" s="4" t="s">
        <v>302</v>
      </c>
      <c r="E1859" s="4"/>
      <c r="F1859" s="1"/>
    </row>
    <row r="1860" spans="4:6" ht="15.75" customHeight="1">
      <c r="D1860" s="4" t="s">
        <v>302</v>
      </c>
      <c r="E1860" s="4"/>
      <c r="F1860" s="1"/>
    </row>
    <row r="1861" spans="4:6" ht="15.75" customHeight="1">
      <c r="D1861" s="4" t="s">
        <v>302</v>
      </c>
      <c r="E1861" s="4"/>
      <c r="F1861" s="1"/>
    </row>
    <row r="1862" spans="4:6" ht="15.75" customHeight="1">
      <c r="D1862" s="4" t="s">
        <v>302</v>
      </c>
      <c r="E1862" s="4"/>
      <c r="F1862" s="1"/>
    </row>
    <row r="1863" spans="4:6" ht="15.75" customHeight="1">
      <c r="D1863" s="4" t="s">
        <v>302</v>
      </c>
      <c r="E1863" s="4"/>
      <c r="F1863" s="1"/>
    </row>
    <row r="1864" spans="4:6" ht="15.75" customHeight="1">
      <c r="D1864" s="4" t="s">
        <v>302</v>
      </c>
      <c r="E1864" s="4"/>
      <c r="F1864" s="1"/>
    </row>
    <row r="1865" spans="4:6" ht="15.75" customHeight="1">
      <c r="D1865" s="4" t="s">
        <v>302</v>
      </c>
      <c r="E1865" s="4"/>
      <c r="F1865" s="1"/>
    </row>
    <row r="1866" spans="4:6" ht="15.75" customHeight="1">
      <c r="D1866" s="4" t="s">
        <v>302</v>
      </c>
      <c r="E1866" s="4"/>
      <c r="F1866" s="1"/>
    </row>
    <row r="1867" spans="4:6" ht="15.75" customHeight="1">
      <c r="D1867" s="4" t="s">
        <v>302</v>
      </c>
      <c r="E1867" s="4"/>
      <c r="F1867" s="1"/>
    </row>
    <row r="1868" spans="4:6" ht="15.75" customHeight="1">
      <c r="D1868" s="4" t="s">
        <v>302</v>
      </c>
      <c r="E1868" s="4"/>
      <c r="F1868" s="1"/>
    </row>
    <row r="1869" spans="4:6" ht="15.75" customHeight="1">
      <c r="D1869" s="4" t="s">
        <v>302</v>
      </c>
      <c r="E1869" s="4"/>
      <c r="F1869" s="1"/>
    </row>
    <row r="1870" spans="4:6" ht="15.75" customHeight="1">
      <c r="D1870" s="4" t="s">
        <v>302</v>
      </c>
      <c r="E1870" s="4"/>
      <c r="F1870" s="1"/>
    </row>
    <row r="1871" spans="4:6" ht="15.75" customHeight="1">
      <c r="D1871" s="4" t="s">
        <v>302</v>
      </c>
      <c r="E1871" s="4"/>
      <c r="F1871" s="1"/>
    </row>
    <row r="1872" spans="4:6" ht="15.75" customHeight="1">
      <c r="D1872" s="4" t="s">
        <v>302</v>
      </c>
      <c r="E1872" s="4"/>
      <c r="F1872" s="1"/>
    </row>
    <row r="1873" spans="4:6" ht="15.75" customHeight="1">
      <c r="D1873" s="4" t="s">
        <v>302</v>
      </c>
      <c r="E1873" s="4"/>
      <c r="F1873" s="1"/>
    </row>
    <row r="1874" spans="4:6" ht="15.75" customHeight="1">
      <c r="D1874" s="4" t="s">
        <v>302</v>
      </c>
      <c r="E1874" s="4"/>
      <c r="F1874" s="1"/>
    </row>
    <row r="1875" spans="4:6" ht="15.75" customHeight="1">
      <c r="D1875" s="4" t="s">
        <v>302</v>
      </c>
      <c r="E1875" s="4"/>
      <c r="F1875" s="1"/>
    </row>
    <row r="1876" spans="4:6" ht="15.75" customHeight="1">
      <c r="D1876" s="4" t="s">
        <v>302</v>
      </c>
      <c r="E1876" s="4"/>
      <c r="F1876" s="1"/>
    </row>
    <row r="1877" spans="4:6" ht="15.75" customHeight="1">
      <c r="D1877" s="4" t="s">
        <v>302</v>
      </c>
      <c r="E1877" s="4"/>
      <c r="F1877" s="1"/>
    </row>
    <row r="1878" spans="4:6" ht="15.75" customHeight="1">
      <c r="D1878" s="4" t="s">
        <v>302</v>
      </c>
      <c r="E1878" s="4"/>
      <c r="F1878" s="1"/>
    </row>
    <row r="1879" spans="4:6" ht="15.75" customHeight="1">
      <c r="D1879" s="4" t="s">
        <v>302</v>
      </c>
      <c r="E1879" s="4"/>
      <c r="F1879" s="1"/>
    </row>
    <row r="1880" spans="4:6" ht="15.75" customHeight="1">
      <c r="D1880" s="4" t="s">
        <v>302</v>
      </c>
      <c r="E1880" s="4"/>
      <c r="F1880" s="1"/>
    </row>
    <row r="1881" spans="4:6" ht="15.75" customHeight="1">
      <c r="D1881" s="4" t="s">
        <v>302</v>
      </c>
      <c r="E1881" s="4"/>
      <c r="F1881" s="1"/>
    </row>
    <row r="1882" spans="4:6" ht="15.75" customHeight="1">
      <c r="D1882" s="4" t="s">
        <v>302</v>
      </c>
      <c r="E1882" s="4"/>
      <c r="F1882" s="1"/>
    </row>
    <row r="1883" spans="4:6" ht="15.75" customHeight="1">
      <c r="D1883" s="4" t="s">
        <v>302</v>
      </c>
      <c r="E1883" s="4"/>
      <c r="F1883" s="1"/>
    </row>
    <row r="1884" spans="4:6" ht="15.75" customHeight="1">
      <c r="D1884" s="4" t="s">
        <v>302</v>
      </c>
      <c r="E1884" s="4"/>
      <c r="F1884" s="1"/>
    </row>
    <row r="1885" spans="4:6" ht="15.75" customHeight="1">
      <c r="D1885" s="4" t="s">
        <v>302</v>
      </c>
      <c r="E1885" s="4"/>
      <c r="F1885" s="1"/>
    </row>
    <row r="1886" spans="4:6" ht="15.75" customHeight="1">
      <c r="D1886" s="4" t="s">
        <v>302</v>
      </c>
      <c r="E1886" s="4"/>
      <c r="F1886" s="1"/>
    </row>
    <row r="1887" spans="4:6" ht="15.75" customHeight="1">
      <c r="D1887" s="4" t="s">
        <v>302</v>
      </c>
      <c r="E1887" s="4"/>
      <c r="F1887" s="1"/>
    </row>
    <row r="1888" spans="4:6" ht="15.75" customHeight="1">
      <c r="D1888" s="4" t="s">
        <v>302</v>
      </c>
      <c r="E1888" s="4"/>
      <c r="F1888" s="1"/>
    </row>
    <row r="1889" spans="4:6" ht="15.75" customHeight="1">
      <c r="D1889" s="4" t="s">
        <v>302</v>
      </c>
      <c r="E1889" s="4"/>
      <c r="F1889" s="1"/>
    </row>
    <row r="1890" spans="4:6" ht="15.75" customHeight="1">
      <c r="D1890" s="4" t="s">
        <v>302</v>
      </c>
      <c r="E1890" s="4"/>
      <c r="F1890" s="1"/>
    </row>
    <row r="1891" spans="4:6" ht="15.75" customHeight="1">
      <c r="D1891" s="4" t="s">
        <v>302</v>
      </c>
      <c r="E1891" s="4"/>
      <c r="F1891" s="1"/>
    </row>
    <row r="1892" spans="4:6" ht="15.75" customHeight="1">
      <c r="D1892" s="4" t="s">
        <v>302</v>
      </c>
      <c r="E1892" s="4"/>
      <c r="F1892" s="1"/>
    </row>
    <row r="1893" spans="4:6" ht="15.75" customHeight="1">
      <c r="D1893" s="4" t="s">
        <v>302</v>
      </c>
      <c r="E1893" s="4"/>
      <c r="F1893" s="1"/>
    </row>
    <row r="1894" spans="4:6" ht="15.75" customHeight="1">
      <c r="D1894" s="4" t="s">
        <v>302</v>
      </c>
      <c r="E1894" s="4"/>
      <c r="F1894" s="1"/>
    </row>
    <row r="1895" spans="4:6" ht="15.75" customHeight="1">
      <c r="D1895" s="4" t="s">
        <v>302</v>
      </c>
      <c r="E1895" s="4"/>
      <c r="F1895" s="1"/>
    </row>
    <row r="1896" spans="4:6" ht="15.75" customHeight="1">
      <c r="D1896" s="4" t="s">
        <v>302</v>
      </c>
      <c r="E1896" s="4"/>
      <c r="F1896" s="1"/>
    </row>
    <row r="1897" spans="4:6" ht="15.75" customHeight="1">
      <c r="D1897" s="4" t="s">
        <v>302</v>
      </c>
      <c r="E1897" s="4"/>
      <c r="F1897" s="1"/>
    </row>
    <row r="1898" spans="4:6" ht="15.75" customHeight="1">
      <c r="D1898" s="4" t="s">
        <v>302</v>
      </c>
      <c r="E1898" s="4"/>
      <c r="F1898" s="1"/>
    </row>
    <row r="1899" spans="4:6" ht="15.75" customHeight="1">
      <c r="D1899" s="4" t="s">
        <v>302</v>
      </c>
      <c r="E1899" s="4"/>
      <c r="F1899" s="1"/>
    </row>
    <row r="1900" spans="4:6" ht="15.75" customHeight="1">
      <c r="D1900" s="4" t="s">
        <v>302</v>
      </c>
      <c r="E1900" s="4"/>
      <c r="F1900" s="1"/>
    </row>
    <row r="1901" spans="4:6" ht="15.75" customHeight="1">
      <c r="D1901" s="4" t="s">
        <v>302</v>
      </c>
      <c r="E1901" s="4"/>
      <c r="F1901" s="1"/>
    </row>
    <row r="1902" spans="4:6" ht="15.75" customHeight="1">
      <c r="D1902" s="4" t="s">
        <v>302</v>
      </c>
      <c r="E1902" s="4"/>
      <c r="F1902" s="1"/>
    </row>
    <row r="1903" spans="4:6" ht="15.75" customHeight="1">
      <c r="D1903" s="4" t="s">
        <v>302</v>
      </c>
      <c r="E1903" s="4"/>
      <c r="F1903" s="1"/>
    </row>
    <row r="1904" spans="4:6" ht="15.75" customHeight="1">
      <c r="D1904" s="4" t="s">
        <v>302</v>
      </c>
      <c r="E1904" s="4"/>
      <c r="F1904" s="1"/>
    </row>
    <row r="1905" spans="4:6" ht="15.75" customHeight="1">
      <c r="D1905" s="4" t="s">
        <v>302</v>
      </c>
      <c r="E1905" s="4"/>
      <c r="F1905" s="1"/>
    </row>
    <row r="1906" spans="4:6" ht="15.75" customHeight="1">
      <c r="D1906" s="4" t="s">
        <v>302</v>
      </c>
      <c r="E1906" s="4"/>
      <c r="F1906" s="1"/>
    </row>
    <row r="1907" spans="4:6" ht="15.75" customHeight="1">
      <c r="D1907" s="4" t="s">
        <v>302</v>
      </c>
      <c r="E1907" s="4"/>
      <c r="F1907" s="1"/>
    </row>
    <row r="1908" spans="4:6" ht="15.75" customHeight="1">
      <c r="D1908" s="4" t="s">
        <v>302</v>
      </c>
      <c r="E1908" s="4"/>
      <c r="F1908" s="1"/>
    </row>
    <row r="1909" spans="4:6" ht="15.75" customHeight="1">
      <c r="D1909" s="4" t="s">
        <v>302</v>
      </c>
      <c r="E1909" s="4"/>
      <c r="F1909" s="1"/>
    </row>
    <row r="1910" spans="4:6" ht="15.75" customHeight="1">
      <c r="D1910" s="4" t="s">
        <v>302</v>
      </c>
      <c r="E1910" s="4"/>
      <c r="F1910" s="1"/>
    </row>
    <row r="1911" spans="4:6" ht="15.75" customHeight="1">
      <c r="D1911" s="4" t="s">
        <v>302</v>
      </c>
      <c r="E1911" s="4"/>
      <c r="F1911" s="1"/>
    </row>
    <row r="1912" spans="4:6" ht="15.75" customHeight="1">
      <c r="D1912" s="4" t="s">
        <v>302</v>
      </c>
      <c r="E1912" s="4"/>
      <c r="F1912" s="1"/>
    </row>
    <row r="1913" spans="4:6" ht="15.75" customHeight="1">
      <c r="D1913" s="4" t="s">
        <v>302</v>
      </c>
      <c r="E1913" s="4"/>
      <c r="F1913" s="1"/>
    </row>
    <row r="1914" spans="4:6" ht="15.75" customHeight="1">
      <c r="D1914" s="4" t="s">
        <v>302</v>
      </c>
      <c r="E1914" s="4"/>
      <c r="F1914" s="1"/>
    </row>
    <row r="1915" spans="4:6" ht="15.75" customHeight="1">
      <c r="D1915" s="4" t="s">
        <v>302</v>
      </c>
      <c r="E1915" s="4"/>
      <c r="F1915" s="1"/>
    </row>
    <row r="1916" spans="4:6" ht="15.75" customHeight="1">
      <c r="D1916" s="4" t="s">
        <v>302</v>
      </c>
      <c r="E1916" s="4"/>
      <c r="F1916" s="1"/>
    </row>
    <row r="1917" spans="4:6" ht="15.75" customHeight="1">
      <c r="D1917" s="4" t="s">
        <v>302</v>
      </c>
      <c r="E1917" s="4"/>
      <c r="F1917" s="1"/>
    </row>
    <row r="1918" spans="4:6" ht="15.75" customHeight="1">
      <c r="D1918" s="4" t="s">
        <v>302</v>
      </c>
      <c r="E1918" s="4"/>
      <c r="F1918" s="1"/>
    </row>
    <row r="1919" spans="4:6" ht="15.75" customHeight="1">
      <c r="D1919" s="4" t="s">
        <v>302</v>
      </c>
      <c r="E1919" s="4"/>
      <c r="F1919" s="1"/>
    </row>
    <row r="1920" spans="4:6" ht="15.75" customHeight="1">
      <c r="D1920" s="4" t="s">
        <v>302</v>
      </c>
      <c r="E1920" s="4"/>
      <c r="F1920" s="1"/>
    </row>
    <row r="1921" spans="4:6" ht="15.75" customHeight="1">
      <c r="D1921" s="4" t="s">
        <v>302</v>
      </c>
      <c r="E1921" s="4"/>
      <c r="F1921" s="1"/>
    </row>
    <row r="1922" spans="4:6" ht="15.75" customHeight="1">
      <c r="D1922" s="4" t="s">
        <v>302</v>
      </c>
      <c r="E1922" s="4"/>
      <c r="F1922" s="1"/>
    </row>
    <row r="1923" spans="4:6" ht="15.75" customHeight="1">
      <c r="D1923" s="4" t="s">
        <v>302</v>
      </c>
      <c r="E1923" s="4"/>
      <c r="F1923" s="1"/>
    </row>
    <row r="1924" spans="4:6" ht="15.75" customHeight="1">
      <c r="D1924" s="4" t="s">
        <v>302</v>
      </c>
      <c r="E1924" s="4"/>
      <c r="F1924" s="1"/>
    </row>
    <row r="1925" spans="4:6" ht="15.75" customHeight="1">
      <c r="D1925" s="4" t="s">
        <v>302</v>
      </c>
      <c r="E1925" s="4"/>
      <c r="F1925" s="1"/>
    </row>
    <row r="1926" spans="4:6" ht="15.75" customHeight="1">
      <c r="D1926" s="4" t="s">
        <v>302</v>
      </c>
      <c r="E1926" s="4"/>
      <c r="F1926" s="1"/>
    </row>
    <row r="1927" spans="4:6" ht="15.75" customHeight="1">
      <c r="D1927" s="4" t="s">
        <v>302</v>
      </c>
      <c r="E1927" s="4"/>
      <c r="F1927" s="1"/>
    </row>
    <row r="1928" spans="4:6" ht="15.75" customHeight="1">
      <c r="D1928" s="4" t="s">
        <v>302</v>
      </c>
      <c r="E1928" s="4"/>
      <c r="F1928" s="1"/>
    </row>
    <row r="1929" spans="4:6" ht="15.75" customHeight="1">
      <c r="D1929" s="4" t="s">
        <v>302</v>
      </c>
      <c r="E1929" s="4"/>
      <c r="F1929" s="1"/>
    </row>
    <row r="1930" spans="4:6" ht="15.75" customHeight="1">
      <c r="D1930" s="4" t="s">
        <v>302</v>
      </c>
      <c r="E1930" s="4"/>
      <c r="F1930" s="1"/>
    </row>
    <row r="1931" spans="4:6" ht="15.75" customHeight="1">
      <c r="D1931" s="4" t="s">
        <v>302</v>
      </c>
      <c r="E1931" s="4"/>
      <c r="F1931" s="1"/>
    </row>
    <row r="1932" spans="4:6" ht="15.75" customHeight="1">
      <c r="D1932" s="4" t="s">
        <v>302</v>
      </c>
      <c r="E1932" s="4"/>
      <c r="F1932" s="1"/>
    </row>
    <row r="1933" spans="4:6" ht="15.75" customHeight="1">
      <c r="D1933" s="4" t="s">
        <v>302</v>
      </c>
      <c r="E1933" s="4"/>
      <c r="F1933" s="1"/>
    </row>
    <row r="1934" spans="4:6" ht="15.75" customHeight="1">
      <c r="D1934" s="4" t="s">
        <v>302</v>
      </c>
      <c r="E1934" s="4"/>
      <c r="F1934" s="1"/>
    </row>
    <row r="1935" spans="4:6" ht="15.75" customHeight="1">
      <c r="D1935" s="4" t="s">
        <v>302</v>
      </c>
      <c r="E1935" s="4"/>
      <c r="F1935" s="1"/>
    </row>
    <row r="1936" spans="4:6" ht="15.75" customHeight="1">
      <c r="D1936" s="4" t="s">
        <v>302</v>
      </c>
      <c r="E1936" s="4"/>
      <c r="F1936" s="1"/>
    </row>
    <row r="1937" spans="4:6" ht="15.75" customHeight="1">
      <c r="D1937" s="4" t="s">
        <v>302</v>
      </c>
      <c r="E1937" s="4"/>
      <c r="F1937" s="1"/>
    </row>
    <row r="1938" spans="4:6" ht="15.75" customHeight="1">
      <c r="D1938" s="4" t="s">
        <v>302</v>
      </c>
      <c r="E1938" s="4"/>
      <c r="F1938" s="1"/>
    </row>
    <row r="1939" spans="4:6" ht="15.75" customHeight="1">
      <c r="D1939" s="4" t="s">
        <v>302</v>
      </c>
      <c r="E1939" s="4"/>
      <c r="F1939" s="1"/>
    </row>
    <row r="1940" spans="4:6" ht="15.75" customHeight="1">
      <c r="D1940" s="4" t="s">
        <v>302</v>
      </c>
      <c r="E1940" s="4"/>
      <c r="F1940" s="1"/>
    </row>
    <row r="1941" spans="4:6" ht="15.75" customHeight="1">
      <c r="D1941" s="4" t="s">
        <v>302</v>
      </c>
      <c r="E1941" s="4"/>
      <c r="F1941" s="1"/>
    </row>
    <row r="1942" spans="4:6" ht="15.75" customHeight="1">
      <c r="D1942" s="4" t="s">
        <v>302</v>
      </c>
      <c r="E1942" s="4"/>
      <c r="F1942" s="1"/>
    </row>
    <row r="1943" spans="4:6" ht="15.75" customHeight="1">
      <c r="D1943" s="4" t="s">
        <v>302</v>
      </c>
      <c r="E1943" s="4"/>
      <c r="F1943" s="1"/>
    </row>
    <row r="1944" spans="4:6" ht="15.75" customHeight="1">
      <c r="D1944" s="4" t="s">
        <v>302</v>
      </c>
      <c r="E1944" s="4"/>
      <c r="F1944" s="1"/>
    </row>
    <row r="1945" spans="4:6" ht="15.75" customHeight="1">
      <c r="D1945" s="4" t="s">
        <v>302</v>
      </c>
      <c r="E1945" s="4"/>
      <c r="F1945" s="1"/>
    </row>
    <row r="1946" spans="4:6" ht="15.75" customHeight="1">
      <c r="D1946" s="4" t="s">
        <v>302</v>
      </c>
      <c r="E1946" s="4"/>
      <c r="F1946" s="1"/>
    </row>
    <row r="1947" spans="4:6" ht="15.75" customHeight="1">
      <c r="D1947" s="4" t="s">
        <v>302</v>
      </c>
      <c r="E1947" s="4"/>
      <c r="F1947" s="1"/>
    </row>
    <row r="1948" spans="4:6" ht="15.75" customHeight="1">
      <c r="D1948" s="4" t="s">
        <v>302</v>
      </c>
      <c r="E1948" s="4"/>
      <c r="F1948" s="1"/>
    </row>
    <row r="1949" spans="4:6" ht="15.75" customHeight="1">
      <c r="D1949" s="4" t="s">
        <v>302</v>
      </c>
      <c r="E1949" s="4"/>
      <c r="F1949" s="1"/>
    </row>
    <row r="1950" spans="4:6" ht="15.75" customHeight="1">
      <c r="D1950" s="4" t="s">
        <v>302</v>
      </c>
      <c r="E1950" s="4"/>
      <c r="F1950" s="1"/>
    </row>
    <row r="1951" spans="4:6" ht="15.75" customHeight="1">
      <c r="D1951" s="4" t="s">
        <v>302</v>
      </c>
      <c r="E1951" s="4"/>
      <c r="F1951" s="1"/>
    </row>
    <row r="1952" spans="4:6" ht="15.75" customHeight="1">
      <c r="D1952" s="4" t="s">
        <v>302</v>
      </c>
      <c r="E1952" s="4"/>
      <c r="F1952" s="1"/>
    </row>
    <row r="1953" spans="4:6" ht="15.75" customHeight="1">
      <c r="D1953" s="4" t="s">
        <v>302</v>
      </c>
      <c r="E1953" s="4"/>
      <c r="F1953" s="1"/>
    </row>
    <row r="1954" spans="4:6" ht="15.75" customHeight="1">
      <c r="D1954" s="4" t="s">
        <v>302</v>
      </c>
      <c r="E1954" s="4"/>
      <c r="F1954" s="1"/>
    </row>
    <row r="1955" spans="4:6" ht="15.75" customHeight="1">
      <c r="D1955" s="4" t="s">
        <v>302</v>
      </c>
      <c r="E1955" s="4"/>
      <c r="F1955" s="1"/>
    </row>
    <row r="1956" spans="4:6" ht="15.75" customHeight="1">
      <c r="D1956" s="4" t="s">
        <v>302</v>
      </c>
      <c r="E1956" s="4"/>
      <c r="F1956" s="1"/>
    </row>
    <row r="1957" spans="4:6" ht="15.75" customHeight="1">
      <c r="D1957" s="4" t="s">
        <v>302</v>
      </c>
      <c r="E1957" s="4"/>
      <c r="F1957" s="1"/>
    </row>
    <row r="1958" spans="4:6" ht="15.75" customHeight="1">
      <c r="D1958" s="4" t="s">
        <v>302</v>
      </c>
      <c r="E1958" s="4"/>
      <c r="F1958" s="1"/>
    </row>
    <row r="1959" spans="4:6" ht="15.75" customHeight="1">
      <c r="D1959" s="4" t="s">
        <v>302</v>
      </c>
      <c r="E1959" s="4"/>
      <c r="F1959" s="1"/>
    </row>
    <row r="1960" spans="4:6" ht="15.75" customHeight="1">
      <c r="D1960" s="4" t="s">
        <v>302</v>
      </c>
      <c r="E1960" s="4"/>
      <c r="F1960" s="1"/>
    </row>
    <row r="1961" spans="4:6" ht="15.75" customHeight="1">
      <c r="D1961" s="4" t="s">
        <v>302</v>
      </c>
      <c r="E1961" s="4"/>
      <c r="F1961" s="1"/>
    </row>
    <row r="1962" spans="4:6" ht="15.75" customHeight="1">
      <c r="D1962" s="4" t="s">
        <v>302</v>
      </c>
      <c r="E1962" s="4"/>
      <c r="F1962" s="1"/>
    </row>
    <row r="1963" spans="4:6" ht="15.75" customHeight="1">
      <c r="D1963" s="4" t="s">
        <v>302</v>
      </c>
      <c r="E1963" s="4"/>
      <c r="F1963" s="1"/>
    </row>
    <row r="1964" spans="4:6" ht="15.75" customHeight="1">
      <c r="D1964" s="4" t="s">
        <v>302</v>
      </c>
      <c r="E1964" s="4"/>
      <c r="F1964" s="1"/>
    </row>
    <row r="1965" spans="4:6" ht="15.75" customHeight="1">
      <c r="D1965" s="4" t="s">
        <v>302</v>
      </c>
      <c r="E1965" s="4"/>
      <c r="F1965" s="1"/>
    </row>
    <row r="1966" spans="4:6" ht="15.75" customHeight="1">
      <c r="D1966" s="4" t="s">
        <v>302</v>
      </c>
      <c r="E1966" s="4"/>
      <c r="F1966" s="1"/>
    </row>
    <row r="1967" spans="4:6" ht="15.75" customHeight="1">
      <c r="D1967" s="4" t="s">
        <v>302</v>
      </c>
      <c r="E1967" s="4"/>
      <c r="F1967" s="1"/>
    </row>
    <row r="1968" spans="4:6" ht="15.75" customHeight="1">
      <c r="D1968" s="4" t="s">
        <v>302</v>
      </c>
      <c r="E1968" s="4"/>
      <c r="F1968" s="1"/>
    </row>
    <row r="1969" spans="4:6" ht="15.75" customHeight="1">
      <c r="D1969" s="4" t="s">
        <v>302</v>
      </c>
      <c r="E1969" s="4"/>
      <c r="F1969" s="1"/>
    </row>
    <row r="1970" spans="4:6" ht="15.75" customHeight="1">
      <c r="D1970" s="4" t="s">
        <v>302</v>
      </c>
      <c r="E1970" s="4"/>
      <c r="F1970" s="1"/>
    </row>
    <row r="1971" spans="4:6" ht="15.75" customHeight="1">
      <c r="D1971" s="4" t="s">
        <v>302</v>
      </c>
      <c r="E1971" s="4"/>
      <c r="F1971" s="1"/>
    </row>
    <row r="1972" spans="4:6" ht="15.75" customHeight="1">
      <c r="D1972" s="4" t="s">
        <v>302</v>
      </c>
      <c r="E1972" s="4"/>
      <c r="F1972" s="1"/>
    </row>
    <row r="1973" spans="4:6" ht="15.75" customHeight="1">
      <c r="D1973" s="4" t="s">
        <v>302</v>
      </c>
      <c r="E1973" s="4"/>
      <c r="F1973" s="1"/>
    </row>
    <row r="1974" spans="4:6" ht="15.75" customHeight="1">
      <c r="D1974" s="4" t="s">
        <v>302</v>
      </c>
      <c r="E1974" s="4"/>
      <c r="F1974" s="1"/>
    </row>
    <row r="1975" spans="4:6" ht="15.75" customHeight="1">
      <c r="D1975" s="4" t="s">
        <v>302</v>
      </c>
      <c r="E1975" s="4"/>
      <c r="F1975" s="1"/>
    </row>
    <row r="1976" spans="4:6" ht="15.75" customHeight="1">
      <c r="D1976" s="4" t="s">
        <v>302</v>
      </c>
      <c r="E1976" s="4"/>
      <c r="F1976" s="1"/>
    </row>
    <row r="1977" spans="4:6" ht="15.75" customHeight="1">
      <c r="D1977" s="4" t="s">
        <v>302</v>
      </c>
      <c r="E1977" s="4"/>
      <c r="F1977" s="1"/>
    </row>
    <row r="1978" spans="4:6" ht="15.75" customHeight="1">
      <c r="D1978" s="4" t="s">
        <v>302</v>
      </c>
      <c r="E1978" s="4"/>
      <c r="F1978" s="1"/>
    </row>
    <row r="1979" spans="4:6" ht="15.75" customHeight="1">
      <c r="D1979" s="4" t="s">
        <v>302</v>
      </c>
      <c r="E1979" s="4"/>
      <c r="F1979" s="1"/>
    </row>
    <row r="1980" spans="4:6" ht="15.75" customHeight="1">
      <c r="D1980" s="4" t="s">
        <v>302</v>
      </c>
      <c r="E1980" s="4"/>
      <c r="F1980" s="1"/>
    </row>
    <row r="1981" spans="4:6" ht="15.75" customHeight="1">
      <c r="D1981" s="4" t="s">
        <v>302</v>
      </c>
      <c r="E1981" s="4"/>
      <c r="F1981" s="1"/>
    </row>
    <row r="1982" spans="4:6" ht="15.75" customHeight="1">
      <c r="D1982" s="4" t="s">
        <v>302</v>
      </c>
      <c r="E1982" s="4"/>
      <c r="F1982" s="1"/>
    </row>
    <row r="1983" spans="4:6" ht="15.75" customHeight="1">
      <c r="D1983" s="4" t="s">
        <v>302</v>
      </c>
      <c r="E1983" s="4"/>
      <c r="F1983" s="1"/>
    </row>
    <row r="1984" spans="4:6" ht="15.75" customHeight="1">
      <c r="D1984" s="4" t="s">
        <v>302</v>
      </c>
      <c r="E1984" s="4"/>
      <c r="F1984" s="1"/>
    </row>
    <row r="1985" spans="4:6" ht="15.75" customHeight="1">
      <c r="D1985" s="4" t="s">
        <v>302</v>
      </c>
      <c r="E1985" s="4"/>
      <c r="F1985" s="1"/>
    </row>
    <row r="1986" spans="4:6" ht="15.75" customHeight="1">
      <c r="D1986" s="4" t="s">
        <v>302</v>
      </c>
      <c r="E1986" s="4"/>
      <c r="F1986" s="1"/>
    </row>
    <row r="1987" spans="4:6" ht="15.75" customHeight="1">
      <c r="D1987" s="4" t="s">
        <v>302</v>
      </c>
      <c r="E1987" s="4"/>
      <c r="F1987" s="1"/>
    </row>
    <row r="1988" spans="4:6" ht="15.75" customHeight="1">
      <c r="D1988" s="4" t="s">
        <v>302</v>
      </c>
      <c r="E1988" s="4"/>
      <c r="F1988" s="1"/>
    </row>
    <row r="1989" spans="4:6" ht="15.75" customHeight="1">
      <c r="D1989" s="4" t="s">
        <v>302</v>
      </c>
      <c r="E1989" s="4"/>
      <c r="F1989" s="1"/>
    </row>
    <row r="1990" spans="4:6" ht="15.75" customHeight="1">
      <c r="D1990" s="4" t="s">
        <v>302</v>
      </c>
      <c r="E1990" s="4"/>
      <c r="F1990" s="1"/>
    </row>
    <row r="1991" spans="4:6" ht="15.75" customHeight="1">
      <c r="D1991" s="4" t="s">
        <v>302</v>
      </c>
      <c r="E1991" s="4"/>
      <c r="F1991" s="1"/>
    </row>
    <row r="1992" spans="4:6" ht="15.75" customHeight="1">
      <c r="D1992" s="4" t="s">
        <v>302</v>
      </c>
      <c r="E1992" s="4"/>
      <c r="F1992" s="1"/>
    </row>
    <row r="1993" spans="4:6" ht="15.75" customHeight="1">
      <c r="D1993" s="4" t="s">
        <v>302</v>
      </c>
      <c r="E1993" s="4"/>
      <c r="F1993" s="1"/>
    </row>
    <row r="1994" spans="4:6" ht="15.75" customHeight="1">
      <c r="D1994" s="4" t="s">
        <v>302</v>
      </c>
      <c r="E1994" s="4"/>
      <c r="F1994" s="1"/>
    </row>
    <row r="1995" spans="4:6" ht="15.75" customHeight="1">
      <c r="D1995" s="4" t="s">
        <v>302</v>
      </c>
      <c r="E1995" s="4"/>
      <c r="F1995" s="1"/>
    </row>
    <row r="1996" spans="4:6" ht="15.75" customHeight="1">
      <c r="D1996" s="4" t="s">
        <v>302</v>
      </c>
      <c r="E1996" s="4"/>
      <c r="F1996" s="1"/>
    </row>
    <row r="1997" spans="4:6" ht="15.75" customHeight="1">
      <c r="D1997" s="4" t="s">
        <v>302</v>
      </c>
      <c r="E1997" s="4"/>
      <c r="F1997" s="1"/>
    </row>
    <row r="1998" spans="4:6" ht="15.75" customHeight="1">
      <c r="D1998" s="4" t="s">
        <v>302</v>
      </c>
      <c r="E1998" s="4"/>
      <c r="F1998" s="1"/>
    </row>
    <row r="1999" spans="4:6" ht="15.75" customHeight="1">
      <c r="D1999" s="4" t="s">
        <v>302</v>
      </c>
      <c r="E1999" s="4"/>
      <c r="F1999" s="1"/>
    </row>
    <row r="2000" spans="4:6" ht="15.75" customHeight="1">
      <c r="D2000" s="4" t="s">
        <v>302</v>
      </c>
      <c r="E2000" s="4"/>
      <c r="F2000" s="1"/>
    </row>
  </sheetData>
  <dataValidations count="2">
    <dataValidation type="list" allowBlank="1" showErrorMessage="1" sqref="F2:F2000" xr:uid="{00000000-0002-0000-0200-000000000000}">
      <formula1>$H$7:$H$11</formula1>
    </dataValidation>
    <dataValidation type="list" allowBlank="1" showErrorMessage="1" sqref="E2:E2000" xr:uid="{00000000-0002-0000-0200-000001000000}">
      <formula1>"Yes,No"</formula1>
    </dataValidation>
  </dataValidations>
  <hyperlinks>
    <hyperlink ref="D60" r:id="rId1" xr:uid="{00000000-0004-0000-0200-000000000000}"/>
    <hyperlink ref="D128"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743"/>
  <sheetViews>
    <sheetView workbookViewId="0"/>
  </sheetViews>
  <sheetFormatPr defaultColWidth="12.6328125" defaultRowHeight="15" customHeight="1"/>
  <cols>
    <col min="1" max="1" width="14.36328125" customWidth="1"/>
    <col min="2" max="2" width="14.6328125" customWidth="1"/>
    <col min="3" max="3" width="20.08984375" customWidth="1"/>
    <col min="4" max="4" width="25.36328125" customWidth="1"/>
    <col min="5" max="5" width="11.26953125" customWidth="1"/>
    <col min="6" max="6" width="8.36328125" customWidth="1"/>
    <col min="7" max="7" width="20.26953125" customWidth="1"/>
  </cols>
  <sheetData>
    <row r="1" spans="1:8" ht="15.75" customHeight="1">
      <c r="A1" s="21" t="s">
        <v>4791</v>
      </c>
      <c r="B1" s="4" t="s">
        <v>4792</v>
      </c>
      <c r="C1" s="4" t="s">
        <v>4793</v>
      </c>
      <c r="D1" s="4" t="s">
        <v>4794</v>
      </c>
      <c r="E1" s="4" t="s">
        <v>0</v>
      </c>
      <c r="F1" s="4" t="s">
        <v>1</v>
      </c>
      <c r="G1" s="4" t="s">
        <v>303</v>
      </c>
      <c r="H1" s="4" t="s">
        <v>2</v>
      </c>
    </row>
    <row r="2" spans="1:8" ht="15.75" customHeight="1">
      <c r="A2" s="22">
        <v>27337451</v>
      </c>
      <c r="B2" s="4">
        <v>27337451</v>
      </c>
      <c r="C2" s="4" t="str">
        <f t="shared" ref="C2:C256" si="0">IFERROR(IF(MATCH(A2,B:B,0)&gt;0,""),A2)</f>
        <v/>
      </c>
      <c r="D2" s="4">
        <v>38298135</v>
      </c>
      <c r="E2" s="4" t="e">
        <f t="array" aca="1" ref="E2" ca="1">_xludf.XLOOKUP(D2,'2024-07-07 pubmed search result'!A:A,'2024-07-07 pubmed search result'!E:E)</f>
        <v>#NAME?</v>
      </c>
      <c r="F2" s="4" t="e">
        <f t="array" aca="1" ref="F2" ca="1">_xludf.XLOOKUP(D2,'2024-07-07 pubmed search result'!A:A,'2024-07-07 pubmed search result'!G:G)</f>
        <v>#NAME?</v>
      </c>
      <c r="G2" s="4" t="e">
        <f t="array" aca="1" ref="G2" ca="1">_xludf.XLOOKUP(D2,'2024-07-07 pubmed search result'!A:A,'2024-07-07 pubmed search result'!K:K)</f>
        <v>#NAME?</v>
      </c>
      <c r="H2" s="18" t="str">
        <f t="shared" ref="H2:H31" si="1">"https://pubmed.ncbi.nlm.nih.gov/"&amp;D2</f>
        <v>https://pubmed.ncbi.nlm.nih.gov/38298135</v>
      </c>
    </row>
    <row r="3" spans="1:8" ht="15.75" customHeight="1">
      <c r="A3" s="22">
        <v>37938768</v>
      </c>
      <c r="B3" s="4">
        <v>33587722</v>
      </c>
      <c r="C3" s="4" t="str">
        <f t="shared" si="0"/>
        <v/>
      </c>
      <c r="D3" s="4">
        <v>38377081</v>
      </c>
      <c r="E3" s="4" t="e">
        <f t="array" aca="1" ref="E3" ca="1">_xludf.XLOOKUP(D3,'2024-07-07 pubmed search result'!A:A,'2024-07-07 pubmed search result'!E:E)</f>
        <v>#NAME?</v>
      </c>
      <c r="F3" s="4" t="e">
        <f t="array" aca="1" ref="F3" ca="1">_xludf.XLOOKUP(D3,'2024-07-07 pubmed search result'!A:A,'2024-07-07 pubmed search result'!G:G)</f>
        <v>#NAME?</v>
      </c>
      <c r="G3" s="4" t="e">
        <f t="array" aca="1" ref="G3" ca="1">_xludf.XLOOKUP(D3,'2024-07-07 pubmed search result'!A:A,'2024-07-07 pubmed search result'!K:K)</f>
        <v>#NAME?</v>
      </c>
      <c r="H3" s="18" t="str">
        <f t="shared" si="1"/>
        <v>https://pubmed.ncbi.nlm.nih.gov/38377081</v>
      </c>
    </row>
    <row r="4" spans="1:8" ht="15.75" customHeight="1">
      <c r="A4" s="22">
        <v>25762531</v>
      </c>
      <c r="B4" s="4">
        <v>25762531</v>
      </c>
      <c r="C4" s="4" t="str">
        <f t="shared" si="0"/>
        <v/>
      </c>
      <c r="D4" s="4">
        <v>38407786</v>
      </c>
      <c r="E4" s="4" t="e">
        <f t="array" aca="1" ref="E4" ca="1">_xludf.XLOOKUP(D4,'2024-07-07 pubmed search result'!A:A,'2024-07-07 pubmed search result'!E:E)</f>
        <v>#NAME?</v>
      </c>
      <c r="F4" s="4" t="e">
        <f t="array" aca="1" ref="F4" ca="1">_xludf.XLOOKUP(D4,'2024-07-07 pubmed search result'!A:A,'2024-07-07 pubmed search result'!G:G)</f>
        <v>#NAME?</v>
      </c>
      <c r="G4" s="4" t="e">
        <f t="array" aca="1" ref="G4" ca="1">_xludf.XLOOKUP(D4,'2024-07-07 pubmed search result'!A:A,'2024-07-07 pubmed search result'!K:K)</f>
        <v>#NAME?</v>
      </c>
      <c r="H4" s="18" t="str">
        <f t="shared" si="1"/>
        <v>https://pubmed.ncbi.nlm.nih.gov/38407786</v>
      </c>
    </row>
    <row r="5" spans="1:8" ht="15.75" customHeight="1">
      <c r="A5" s="22">
        <v>33587722</v>
      </c>
      <c r="B5" s="4">
        <v>37938768</v>
      </c>
      <c r="C5" s="4" t="str">
        <f t="shared" si="0"/>
        <v/>
      </c>
      <c r="D5" s="4">
        <v>38414857</v>
      </c>
      <c r="E5" s="4" t="e">
        <f t="array" aca="1" ref="E5" ca="1">_xludf.XLOOKUP(D5,'2024-07-07 pubmed search result'!A:A,'2024-07-07 pubmed search result'!E:E)</f>
        <v>#NAME?</v>
      </c>
      <c r="F5" s="4" t="e">
        <f t="array" aca="1" ref="F5" ca="1">_xludf.XLOOKUP(D5,'2024-07-07 pubmed search result'!A:A,'2024-07-07 pubmed search result'!G:G)</f>
        <v>#NAME?</v>
      </c>
      <c r="G5" s="4" t="e">
        <f t="array" aca="1" ref="G5" ca="1">_xludf.XLOOKUP(D5,'2024-07-07 pubmed search result'!A:A,'2024-07-07 pubmed search result'!K:K)</f>
        <v>#NAME?</v>
      </c>
      <c r="H5" s="18" t="str">
        <f t="shared" si="1"/>
        <v>https://pubmed.ncbi.nlm.nih.gov/38414857</v>
      </c>
    </row>
    <row r="6" spans="1:8" ht="15.75" customHeight="1">
      <c r="A6" s="22">
        <v>31439151</v>
      </c>
      <c r="B6" s="4">
        <v>29795424</v>
      </c>
      <c r="C6" s="4" t="str">
        <f t="shared" si="0"/>
        <v/>
      </c>
      <c r="D6" s="4">
        <v>38470444</v>
      </c>
      <c r="E6" s="4" t="e">
        <f t="array" aca="1" ref="E6" ca="1">_xludf.XLOOKUP(D6,'2024-07-07 pubmed search result'!A:A,'2024-07-07 pubmed search result'!E:E)</f>
        <v>#NAME?</v>
      </c>
      <c r="F6" s="4" t="e">
        <f t="array" aca="1" ref="F6" ca="1">_xludf.XLOOKUP(D6,'2024-07-07 pubmed search result'!A:A,'2024-07-07 pubmed search result'!G:G)</f>
        <v>#NAME?</v>
      </c>
      <c r="G6" s="4" t="e">
        <f t="array" aca="1" ref="G6" ca="1">_xludf.XLOOKUP(D6,'2024-07-07 pubmed search result'!A:A,'2024-07-07 pubmed search result'!K:K)</f>
        <v>#NAME?</v>
      </c>
      <c r="H6" s="18" t="str">
        <f t="shared" si="1"/>
        <v>https://pubmed.ncbi.nlm.nih.gov/38470444</v>
      </c>
    </row>
    <row r="7" spans="1:8" ht="15.75" customHeight="1">
      <c r="A7" s="22">
        <v>37067947</v>
      </c>
      <c r="B7" s="4">
        <v>31439151</v>
      </c>
      <c r="C7" s="4" t="str">
        <f t="shared" si="0"/>
        <v/>
      </c>
      <c r="D7" s="4">
        <v>38487325</v>
      </c>
      <c r="E7" s="4" t="e">
        <f t="array" aca="1" ref="E7" ca="1">_xludf.XLOOKUP(D7,'2024-07-07 pubmed search result'!A:A,'2024-07-07 pubmed search result'!E:E)</f>
        <v>#NAME?</v>
      </c>
      <c r="F7" s="4" t="e">
        <f t="array" aca="1" ref="F7" ca="1">_xludf.XLOOKUP(D7,'2024-07-07 pubmed search result'!A:A,'2024-07-07 pubmed search result'!G:G)</f>
        <v>#NAME?</v>
      </c>
      <c r="G7" s="4" t="e">
        <f t="array" aca="1" ref="G7" ca="1">_xludf.XLOOKUP(D7,'2024-07-07 pubmed search result'!A:A,'2024-07-07 pubmed search result'!K:K)</f>
        <v>#NAME?</v>
      </c>
      <c r="H7" s="18" t="str">
        <f t="shared" si="1"/>
        <v>https://pubmed.ncbi.nlm.nih.gov/38487325</v>
      </c>
    </row>
    <row r="8" spans="1:8" ht="15.75" customHeight="1">
      <c r="A8" s="22">
        <v>14979393</v>
      </c>
      <c r="B8" s="4">
        <v>10069356</v>
      </c>
      <c r="C8" s="4" t="str">
        <f t="shared" si="0"/>
        <v/>
      </c>
      <c r="D8" s="4">
        <v>38496135</v>
      </c>
      <c r="E8" s="4" t="e">
        <f t="array" aca="1" ref="E8" ca="1">_xludf.XLOOKUP(D8,'2024-07-07 pubmed search result'!A:A,'2024-07-07 pubmed search result'!E:E)</f>
        <v>#NAME?</v>
      </c>
      <c r="F8" s="4" t="e">
        <f t="array" aca="1" ref="F8" ca="1">_xludf.XLOOKUP(D8,'2024-07-07 pubmed search result'!A:A,'2024-07-07 pubmed search result'!G:G)</f>
        <v>#NAME?</v>
      </c>
      <c r="G8" s="4" t="e">
        <f t="array" aca="1" ref="G8" ca="1">_xludf.XLOOKUP(D8,'2024-07-07 pubmed search result'!A:A,'2024-07-07 pubmed search result'!K:K)</f>
        <v>#NAME?</v>
      </c>
      <c r="H8" s="18" t="str">
        <f t="shared" si="1"/>
        <v>https://pubmed.ncbi.nlm.nih.gov/38496135</v>
      </c>
    </row>
    <row r="9" spans="1:8" ht="15.75" customHeight="1">
      <c r="A9" s="22">
        <v>29194419</v>
      </c>
      <c r="B9" s="4">
        <v>7663047</v>
      </c>
      <c r="C9" s="4" t="str">
        <f t="shared" si="0"/>
        <v/>
      </c>
      <c r="D9" s="4">
        <v>38521411</v>
      </c>
      <c r="E9" s="4" t="e">
        <f t="array" aca="1" ref="E9" ca="1">_xludf.XLOOKUP(D9,'2024-07-07 pubmed search result'!A:A,'2024-07-07 pubmed search result'!E:E)</f>
        <v>#NAME?</v>
      </c>
      <c r="F9" s="4" t="e">
        <f t="array" aca="1" ref="F9" ca="1">_xludf.XLOOKUP(D9,'2024-07-07 pubmed search result'!A:A,'2024-07-07 pubmed search result'!G:G)</f>
        <v>#NAME?</v>
      </c>
      <c r="G9" s="4" t="e">
        <f t="array" aca="1" ref="G9" ca="1">_xludf.XLOOKUP(D9,'2024-07-07 pubmed search result'!A:A,'2024-07-07 pubmed search result'!K:K)</f>
        <v>#NAME?</v>
      </c>
      <c r="H9" s="18" t="str">
        <f t="shared" si="1"/>
        <v>https://pubmed.ncbi.nlm.nih.gov/38521411</v>
      </c>
    </row>
    <row r="10" spans="1:8" ht="15.75" customHeight="1">
      <c r="A10" s="22">
        <v>10069356</v>
      </c>
      <c r="B10" s="4">
        <v>20304745</v>
      </c>
      <c r="C10" s="4" t="str">
        <f t="shared" si="0"/>
        <v/>
      </c>
      <c r="D10" s="4">
        <v>38593233</v>
      </c>
      <c r="E10" s="4" t="e">
        <f t="array" aca="1" ref="E10" ca="1">_xludf.XLOOKUP(D10,'2024-07-07 pubmed search result'!A:A,'2024-07-07 pubmed search result'!E:E)</f>
        <v>#NAME?</v>
      </c>
      <c r="F10" s="4" t="e">
        <f t="array" aca="1" ref="F10" ca="1">_xludf.XLOOKUP(D10,'2024-07-07 pubmed search result'!A:A,'2024-07-07 pubmed search result'!G:G)</f>
        <v>#NAME?</v>
      </c>
      <c r="G10" s="4" t="e">
        <f t="array" aca="1" ref="G10" ca="1">_xludf.XLOOKUP(D10,'2024-07-07 pubmed search result'!A:A,'2024-07-07 pubmed search result'!K:K)</f>
        <v>#NAME?</v>
      </c>
      <c r="H10" s="18" t="str">
        <f t="shared" si="1"/>
        <v>https://pubmed.ncbi.nlm.nih.gov/38593233</v>
      </c>
    </row>
    <row r="11" spans="1:8" ht="15.75" customHeight="1">
      <c r="A11" s="22">
        <v>26802216</v>
      </c>
      <c r="B11" s="4">
        <v>27538995</v>
      </c>
      <c r="C11" s="4" t="str">
        <f t="shared" si="0"/>
        <v/>
      </c>
      <c r="D11" s="4">
        <v>38596415</v>
      </c>
      <c r="E11" s="4" t="e">
        <f t="array" aca="1" ref="E11" ca="1">_xludf.XLOOKUP(D11,'2024-07-07 pubmed search result'!A:A,'2024-07-07 pubmed search result'!E:E)</f>
        <v>#NAME?</v>
      </c>
      <c r="F11" s="4" t="e">
        <f t="array" aca="1" ref="F11" ca="1">_xludf.XLOOKUP(D11,'2024-07-07 pubmed search result'!A:A,'2024-07-07 pubmed search result'!G:G)</f>
        <v>#NAME?</v>
      </c>
      <c r="G11" s="4" t="e">
        <f t="array" aca="1" ref="G11" ca="1">_xludf.XLOOKUP(D11,'2024-07-07 pubmed search result'!A:A,'2024-07-07 pubmed search result'!K:K)</f>
        <v>#NAME?</v>
      </c>
      <c r="H11" s="18" t="str">
        <f t="shared" si="1"/>
        <v>https://pubmed.ncbi.nlm.nih.gov/38596415</v>
      </c>
    </row>
    <row r="12" spans="1:8" ht="15.75" customHeight="1">
      <c r="A12" s="22">
        <v>25462448</v>
      </c>
      <c r="B12" s="4">
        <v>28650593</v>
      </c>
      <c r="C12" s="4" t="str">
        <f t="shared" si="0"/>
        <v/>
      </c>
      <c r="D12" s="4">
        <v>38597860</v>
      </c>
      <c r="E12" s="4" t="e">
        <f t="array" aca="1" ref="E12" ca="1">_xludf.XLOOKUP(D12,'2024-07-07 pubmed search result'!A:A,'2024-07-07 pubmed search result'!E:E)</f>
        <v>#NAME?</v>
      </c>
      <c r="F12" s="4" t="e">
        <f t="array" aca="1" ref="F12" ca="1">_xludf.XLOOKUP(D12,'2024-07-07 pubmed search result'!A:A,'2024-07-07 pubmed search result'!G:G)</f>
        <v>#NAME?</v>
      </c>
      <c r="G12" s="4" t="e">
        <f t="array" aca="1" ref="G12" ca="1">_xludf.XLOOKUP(D12,'2024-07-07 pubmed search result'!A:A,'2024-07-07 pubmed search result'!K:K)</f>
        <v>#NAME?</v>
      </c>
      <c r="H12" s="18" t="str">
        <f t="shared" si="1"/>
        <v>https://pubmed.ncbi.nlm.nih.gov/38597860</v>
      </c>
    </row>
    <row r="13" spans="1:8" ht="15.75" customHeight="1">
      <c r="A13" s="22">
        <v>10815027</v>
      </c>
      <c r="B13" s="4">
        <v>8386499</v>
      </c>
      <c r="C13" s="4" t="str">
        <f t="shared" si="0"/>
        <v/>
      </c>
      <c r="D13" s="4">
        <v>38631099</v>
      </c>
      <c r="E13" s="4" t="e">
        <f t="array" aca="1" ref="E13" ca="1">_xludf.XLOOKUP(D13,'2024-07-07 pubmed search result'!A:A,'2024-07-07 pubmed search result'!E:E)</f>
        <v>#NAME?</v>
      </c>
      <c r="F13" s="4" t="e">
        <f t="array" aca="1" ref="F13" ca="1">_xludf.XLOOKUP(D13,'2024-07-07 pubmed search result'!A:A,'2024-07-07 pubmed search result'!G:G)</f>
        <v>#NAME?</v>
      </c>
      <c r="G13" s="4" t="e">
        <f t="array" aca="1" ref="G13" ca="1">_xludf.XLOOKUP(D13,'2024-07-07 pubmed search result'!A:A,'2024-07-07 pubmed search result'!K:K)</f>
        <v>#NAME?</v>
      </c>
      <c r="H13" s="18" t="str">
        <f t="shared" si="1"/>
        <v>https://pubmed.ncbi.nlm.nih.gov/38631099</v>
      </c>
    </row>
    <row r="14" spans="1:8" ht="15.75" customHeight="1">
      <c r="A14" s="22">
        <v>29795424</v>
      </c>
      <c r="B14" s="4">
        <v>10815027</v>
      </c>
      <c r="C14" s="4" t="str">
        <f t="shared" si="0"/>
        <v/>
      </c>
      <c r="D14" s="4">
        <v>38635788</v>
      </c>
      <c r="E14" s="4" t="e">
        <f t="array" aca="1" ref="E14" ca="1">_xludf.XLOOKUP(D14,'2024-07-07 pubmed search result'!A:A,'2024-07-07 pubmed search result'!E:E)</f>
        <v>#NAME?</v>
      </c>
      <c r="F14" s="4" t="e">
        <f t="array" aca="1" ref="F14" ca="1">_xludf.XLOOKUP(D14,'2024-07-07 pubmed search result'!A:A,'2024-07-07 pubmed search result'!G:G)</f>
        <v>#NAME?</v>
      </c>
      <c r="G14" s="4" t="e">
        <f t="array" aca="1" ref="G14" ca="1">_xludf.XLOOKUP(D14,'2024-07-07 pubmed search result'!A:A,'2024-07-07 pubmed search result'!K:K)</f>
        <v>#NAME?</v>
      </c>
      <c r="H14" s="18" t="str">
        <f t="shared" si="1"/>
        <v>https://pubmed.ncbi.nlm.nih.gov/38635788</v>
      </c>
    </row>
    <row r="15" spans="1:8" ht="15.75" customHeight="1">
      <c r="A15" s="22">
        <v>36739398</v>
      </c>
      <c r="B15" s="4">
        <v>29194419</v>
      </c>
      <c r="C15" s="4" t="str">
        <f t="shared" si="0"/>
        <v/>
      </c>
      <c r="D15" s="4">
        <v>38675841</v>
      </c>
      <c r="E15" s="4" t="e">
        <f t="array" aca="1" ref="E15" ca="1">_xludf.XLOOKUP(D15,'2024-07-07 pubmed search result'!A:A,'2024-07-07 pubmed search result'!E:E)</f>
        <v>#NAME?</v>
      </c>
      <c r="F15" s="4" t="e">
        <f t="array" aca="1" ref="F15" ca="1">_xludf.XLOOKUP(D15,'2024-07-07 pubmed search result'!A:A,'2024-07-07 pubmed search result'!G:G)</f>
        <v>#NAME?</v>
      </c>
      <c r="G15" s="4" t="e">
        <f t="array" aca="1" ref="G15" ca="1">_xludf.XLOOKUP(D15,'2024-07-07 pubmed search result'!A:A,'2024-07-07 pubmed search result'!K:K)</f>
        <v>#NAME?</v>
      </c>
      <c r="H15" s="18" t="str">
        <f t="shared" si="1"/>
        <v>https://pubmed.ncbi.nlm.nih.gov/38675841</v>
      </c>
    </row>
    <row r="16" spans="1:8" ht="15.75" customHeight="1">
      <c r="A16" s="22">
        <v>29304865</v>
      </c>
      <c r="B16" s="4">
        <v>27773488</v>
      </c>
      <c r="C16" s="4" t="str">
        <f t="shared" si="0"/>
        <v/>
      </c>
      <c r="D16" s="4">
        <v>38726832</v>
      </c>
      <c r="E16" s="4" t="e">
        <f t="array" aca="1" ref="E16" ca="1">_xludf.XLOOKUP(D16,'2024-07-07 pubmed search result'!A:A,'2024-07-07 pubmed search result'!E:E)</f>
        <v>#NAME?</v>
      </c>
      <c r="F16" s="4" t="e">
        <f t="array" aca="1" ref="F16" ca="1">_xludf.XLOOKUP(D16,'2024-07-07 pubmed search result'!A:A,'2024-07-07 pubmed search result'!G:G)</f>
        <v>#NAME?</v>
      </c>
      <c r="G16" s="4" t="e">
        <f t="array" aca="1" ref="G16" ca="1">_xludf.XLOOKUP(D16,'2024-07-07 pubmed search result'!A:A,'2024-07-07 pubmed search result'!K:K)</f>
        <v>#NAME?</v>
      </c>
      <c r="H16" s="18" t="str">
        <f t="shared" si="1"/>
        <v>https://pubmed.ncbi.nlm.nih.gov/38726832</v>
      </c>
    </row>
    <row r="17" spans="1:8" ht="15.75" customHeight="1">
      <c r="A17" s="22">
        <v>36878429</v>
      </c>
      <c r="B17" s="4">
        <v>32860467</v>
      </c>
      <c r="C17" s="4" t="str">
        <f t="shared" si="0"/>
        <v/>
      </c>
      <c r="D17" s="4">
        <v>38758242</v>
      </c>
      <c r="E17" s="4" t="e">
        <f t="array" aca="1" ref="E17" ca="1">_xludf.XLOOKUP(D17,'2024-07-07 pubmed search result'!A:A,'2024-07-07 pubmed search result'!E:E)</f>
        <v>#NAME?</v>
      </c>
      <c r="F17" s="4" t="e">
        <f t="array" aca="1" ref="F17" ca="1">_xludf.XLOOKUP(D17,'2024-07-07 pubmed search result'!A:A,'2024-07-07 pubmed search result'!G:G)</f>
        <v>#NAME?</v>
      </c>
      <c r="G17" s="4" t="e">
        <f t="array" aca="1" ref="G17" ca="1">_xludf.XLOOKUP(D17,'2024-07-07 pubmed search result'!A:A,'2024-07-07 pubmed search result'!K:K)</f>
        <v>#NAME?</v>
      </c>
      <c r="H17" s="18" t="str">
        <f t="shared" si="1"/>
        <v>https://pubmed.ncbi.nlm.nih.gov/38758242</v>
      </c>
    </row>
    <row r="18" spans="1:8" ht="15.75" customHeight="1">
      <c r="A18" s="22">
        <v>15480369</v>
      </c>
      <c r="B18" s="4">
        <v>21400833</v>
      </c>
      <c r="C18" s="4" t="str">
        <f t="shared" si="0"/>
        <v/>
      </c>
      <c r="D18" s="4">
        <v>38768311</v>
      </c>
      <c r="E18" s="4" t="e">
        <f t="array" aca="1" ref="E18" ca="1">_xludf.XLOOKUP(D18,'2024-07-07 pubmed search result'!A:A,'2024-07-07 pubmed search result'!E:E)</f>
        <v>#NAME?</v>
      </c>
      <c r="F18" s="4" t="e">
        <f t="array" aca="1" ref="F18" ca="1">_xludf.XLOOKUP(D18,'2024-07-07 pubmed search result'!A:A,'2024-07-07 pubmed search result'!G:G)</f>
        <v>#NAME?</v>
      </c>
      <c r="G18" s="4" t="e">
        <f t="array" aca="1" ref="G18" ca="1">_xludf.XLOOKUP(D18,'2024-07-07 pubmed search result'!A:A,'2024-07-07 pubmed search result'!K:K)</f>
        <v>#NAME?</v>
      </c>
      <c r="H18" s="18" t="str">
        <f t="shared" si="1"/>
        <v>https://pubmed.ncbi.nlm.nih.gov/38768311</v>
      </c>
    </row>
    <row r="19" spans="1:8" ht="15.75" customHeight="1">
      <c r="A19" s="22">
        <v>29512392</v>
      </c>
      <c r="B19" s="4">
        <v>38228644</v>
      </c>
      <c r="C19" s="4" t="str">
        <f t="shared" si="0"/>
        <v/>
      </c>
      <c r="D19" s="4">
        <v>38771118</v>
      </c>
      <c r="E19" s="4" t="e">
        <f t="array" aca="1" ref="E19" ca="1">_xludf.XLOOKUP(D19,'2024-07-07 pubmed search result'!A:A,'2024-07-07 pubmed search result'!E:E)</f>
        <v>#NAME?</v>
      </c>
      <c r="F19" s="4" t="e">
        <f t="array" aca="1" ref="F19" ca="1">_xludf.XLOOKUP(D19,'2024-07-07 pubmed search result'!A:A,'2024-07-07 pubmed search result'!G:G)</f>
        <v>#NAME?</v>
      </c>
      <c r="G19" s="4" t="e">
        <f t="array" aca="1" ref="G19" ca="1">_xludf.XLOOKUP(D19,'2024-07-07 pubmed search result'!A:A,'2024-07-07 pubmed search result'!K:K)</f>
        <v>#NAME?</v>
      </c>
      <c r="H19" s="18" t="str">
        <f t="shared" si="1"/>
        <v>https://pubmed.ncbi.nlm.nih.gov/38771118</v>
      </c>
    </row>
    <row r="20" spans="1:8" ht="15.75" customHeight="1">
      <c r="A20" s="22">
        <v>27773488</v>
      </c>
      <c r="B20" s="4">
        <v>14979393</v>
      </c>
      <c r="C20" s="4" t="str">
        <f t="shared" si="0"/>
        <v/>
      </c>
      <c r="D20" s="4">
        <v>38793689</v>
      </c>
      <c r="E20" s="4" t="e">
        <f t="array" aca="1" ref="E20" ca="1">_xludf.XLOOKUP(D20,'2024-07-07 pubmed search result'!A:A,'2024-07-07 pubmed search result'!E:E)</f>
        <v>#NAME?</v>
      </c>
      <c r="F20" s="4" t="e">
        <f t="array" aca="1" ref="F20" ca="1">_xludf.XLOOKUP(D20,'2024-07-07 pubmed search result'!A:A,'2024-07-07 pubmed search result'!G:G)</f>
        <v>#NAME?</v>
      </c>
      <c r="G20" s="4" t="e">
        <f t="array" aca="1" ref="G20" ca="1">_xludf.XLOOKUP(D20,'2024-07-07 pubmed search result'!A:A,'2024-07-07 pubmed search result'!K:K)</f>
        <v>#NAME?</v>
      </c>
      <c r="H20" s="18" t="str">
        <f t="shared" si="1"/>
        <v>https://pubmed.ncbi.nlm.nih.gov/38793689</v>
      </c>
    </row>
    <row r="21" spans="1:8" ht="15.75" customHeight="1">
      <c r="A21" s="22">
        <v>33952641</v>
      </c>
      <c r="B21" s="4">
        <v>33548682</v>
      </c>
      <c r="C21" s="4" t="str">
        <f t="shared" si="0"/>
        <v/>
      </c>
      <c r="D21" s="4">
        <v>38796633</v>
      </c>
      <c r="E21" s="4" t="e">
        <f t="array" aca="1" ref="E21" ca="1">_xludf.XLOOKUP(D21,'2024-07-07 pubmed search result'!A:A,'2024-07-07 pubmed search result'!E:E)</f>
        <v>#NAME?</v>
      </c>
      <c r="F21" s="4" t="e">
        <f t="array" aca="1" ref="F21" ca="1">_xludf.XLOOKUP(D21,'2024-07-07 pubmed search result'!A:A,'2024-07-07 pubmed search result'!G:G)</f>
        <v>#NAME?</v>
      </c>
      <c r="G21" s="4" t="e">
        <f t="array" aca="1" ref="G21" ca="1">_xludf.XLOOKUP(D21,'2024-07-07 pubmed search result'!A:A,'2024-07-07 pubmed search result'!K:K)</f>
        <v>#NAME?</v>
      </c>
      <c r="H21" s="18" t="str">
        <f t="shared" si="1"/>
        <v>https://pubmed.ncbi.nlm.nih.gov/38796633</v>
      </c>
    </row>
    <row r="22" spans="1:8" ht="15.75" customHeight="1">
      <c r="A22" s="22">
        <v>17276368</v>
      </c>
      <c r="B22" s="4">
        <v>26802216</v>
      </c>
      <c r="C22" s="4" t="str">
        <f t="shared" si="0"/>
        <v/>
      </c>
      <c r="D22" s="4">
        <v>38817703</v>
      </c>
      <c r="E22" s="4" t="e">
        <f t="array" aca="1" ref="E22" ca="1">_xludf.XLOOKUP(D22,'2024-07-07 pubmed search result'!A:A,'2024-07-07 pubmed search result'!E:E)</f>
        <v>#NAME?</v>
      </c>
      <c r="F22" s="4" t="e">
        <f t="array" aca="1" ref="F22" ca="1">_xludf.XLOOKUP(D22,'2024-07-07 pubmed search result'!A:A,'2024-07-07 pubmed search result'!G:G)</f>
        <v>#NAME?</v>
      </c>
      <c r="G22" s="4" t="e">
        <f t="array" aca="1" ref="G22" ca="1">_xludf.XLOOKUP(D22,'2024-07-07 pubmed search result'!A:A,'2024-07-07 pubmed search result'!K:K)</f>
        <v>#NAME?</v>
      </c>
      <c r="H22" s="18" t="str">
        <f t="shared" si="1"/>
        <v>https://pubmed.ncbi.nlm.nih.gov/38817703</v>
      </c>
    </row>
    <row r="23" spans="1:8" ht="15.75" customHeight="1">
      <c r="A23" s="22">
        <v>22356254</v>
      </c>
      <c r="B23" s="4">
        <v>34647632</v>
      </c>
      <c r="C23" s="4" t="str">
        <f t="shared" si="0"/>
        <v/>
      </c>
      <c r="D23" s="4">
        <v>38832402</v>
      </c>
      <c r="E23" s="4" t="e">
        <f t="array" aca="1" ref="E23" ca="1">_xludf.XLOOKUP(D23,'2024-07-07 pubmed search result'!A:A,'2024-07-07 pubmed search result'!E:E)</f>
        <v>#NAME?</v>
      </c>
      <c r="F23" s="4" t="e">
        <f t="array" aca="1" ref="F23" ca="1">_xludf.XLOOKUP(D23,'2024-07-07 pubmed search result'!A:A,'2024-07-07 pubmed search result'!G:G)</f>
        <v>#NAME?</v>
      </c>
      <c r="G23" s="4" t="e">
        <f t="array" aca="1" ref="G23" ca="1">_xludf.XLOOKUP(D23,'2024-07-07 pubmed search result'!A:A,'2024-07-07 pubmed search result'!K:K)</f>
        <v>#NAME?</v>
      </c>
      <c r="H23" s="18" t="str">
        <f t="shared" si="1"/>
        <v>https://pubmed.ncbi.nlm.nih.gov/38832402</v>
      </c>
    </row>
    <row r="24" spans="1:8" ht="15.75" customHeight="1">
      <c r="A24" s="22">
        <v>22052666</v>
      </c>
      <c r="B24" s="4">
        <v>15480369</v>
      </c>
      <c r="C24" s="4" t="str">
        <f t="shared" si="0"/>
        <v/>
      </c>
      <c r="D24" s="4">
        <v>38846028</v>
      </c>
      <c r="E24" s="4" t="e">
        <f t="array" aca="1" ref="E24" ca="1">_xludf.XLOOKUP(D24,'2024-07-07 pubmed search result'!A:A,'2024-07-07 pubmed search result'!E:E)</f>
        <v>#NAME?</v>
      </c>
      <c r="F24" s="4" t="e">
        <f t="array" aca="1" ref="F24" ca="1">_xludf.XLOOKUP(D24,'2024-07-07 pubmed search result'!A:A,'2024-07-07 pubmed search result'!G:G)</f>
        <v>#NAME?</v>
      </c>
      <c r="G24" s="4" t="e">
        <f t="array" aca="1" ref="G24" ca="1">_xludf.XLOOKUP(D24,'2024-07-07 pubmed search result'!A:A,'2024-07-07 pubmed search result'!K:K)</f>
        <v>#NAME?</v>
      </c>
      <c r="H24" s="18" t="str">
        <f t="shared" si="1"/>
        <v>https://pubmed.ncbi.nlm.nih.gov/38846028</v>
      </c>
    </row>
    <row r="25" spans="1:8" ht="15.75" customHeight="1">
      <c r="A25" s="22">
        <v>28650593</v>
      </c>
      <c r="B25" s="4">
        <v>29698478</v>
      </c>
      <c r="C25" s="4" t="str">
        <f t="shared" si="0"/>
        <v/>
      </c>
      <c r="D25" s="4">
        <v>38907627</v>
      </c>
      <c r="E25" s="4" t="e">
        <f t="array" aca="1" ref="E25" ca="1">_xludf.XLOOKUP(D25,'2024-07-07 pubmed search result'!A:A,'2024-07-07 pubmed search result'!E:E)</f>
        <v>#NAME?</v>
      </c>
      <c r="F25" s="4" t="e">
        <f t="array" aca="1" ref="F25" ca="1">_xludf.XLOOKUP(D25,'2024-07-07 pubmed search result'!A:A,'2024-07-07 pubmed search result'!G:G)</f>
        <v>#NAME?</v>
      </c>
      <c r="G25" s="4" t="e">
        <f t="array" aca="1" ref="G25" ca="1">_xludf.XLOOKUP(D25,'2024-07-07 pubmed search result'!A:A,'2024-07-07 pubmed search result'!K:K)</f>
        <v>#NAME?</v>
      </c>
      <c r="H25" s="18" t="str">
        <f t="shared" si="1"/>
        <v>https://pubmed.ncbi.nlm.nih.gov/38907627</v>
      </c>
    </row>
    <row r="26" spans="1:8" ht="15.75" customHeight="1">
      <c r="A26" s="22">
        <v>35911725</v>
      </c>
      <c r="B26" s="4">
        <v>32775465</v>
      </c>
      <c r="C26" s="4" t="str">
        <f t="shared" si="0"/>
        <v/>
      </c>
      <c r="D26" s="4">
        <v>38918446</v>
      </c>
      <c r="E26" s="4" t="e">
        <f t="array" aca="1" ref="E26" ca="1">_xludf.XLOOKUP(D26,'2024-07-07 pubmed search result'!A:A,'2024-07-07 pubmed search result'!E:E)</f>
        <v>#NAME?</v>
      </c>
      <c r="F26" s="4" t="e">
        <f t="array" aca="1" ref="F26" ca="1">_xludf.XLOOKUP(D26,'2024-07-07 pubmed search result'!A:A,'2024-07-07 pubmed search result'!G:G)</f>
        <v>#NAME?</v>
      </c>
      <c r="G26" s="4" t="e">
        <f t="array" aca="1" ref="G26" ca="1">_xludf.XLOOKUP(D26,'2024-07-07 pubmed search result'!A:A,'2024-07-07 pubmed search result'!K:K)</f>
        <v>#NAME?</v>
      </c>
      <c r="H26" s="18" t="str">
        <f t="shared" si="1"/>
        <v>https://pubmed.ncbi.nlm.nih.gov/38918446</v>
      </c>
    </row>
    <row r="27" spans="1:8" ht="15.75" customHeight="1">
      <c r="A27" s="22">
        <v>17276370</v>
      </c>
      <c r="B27" s="4">
        <v>25462448</v>
      </c>
      <c r="C27" s="4" t="str">
        <f t="shared" si="0"/>
        <v/>
      </c>
      <c r="D27" s="4">
        <v>38937530</v>
      </c>
      <c r="E27" s="4" t="e">
        <f t="array" aca="1" ref="E27" ca="1">_xludf.XLOOKUP(D27,'2024-07-07 pubmed search result'!A:A,'2024-07-07 pubmed search result'!E:E)</f>
        <v>#NAME?</v>
      </c>
      <c r="F27" s="4" t="e">
        <f t="array" aca="1" ref="F27" ca="1">_xludf.XLOOKUP(D27,'2024-07-07 pubmed search result'!A:A,'2024-07-07 pubmed search result'!G:G)</f>
        <v>#NAME?</v>
      </c>
      <c r="G27" s="4" t="e">
        <f t="array" aca="1" ref="G27" ca="1">_xludf.XLOOKUP(D27,'2024-07-07 pubmed search result'!A:A,'2024-07-07 pubmed search result'!K:K)</f>
        <v>#NAME?</v>
      </c>
      <c r="H27" s="18" t="str">
        <f t="shared" si="1"/>
        <v>https://pubmed.ncbi.nlm.nih.gov/38937530</v>
      </c>
    </row>
    <row r="28" spans="1:8" ht="15.75" customHeight="1">
      <c r="A28" s="22">
        <v>33548682</v>
      </c>
      <c r="B28" s="4">
        <v>25462439</v>
      </c>
      <c r="C28" s="4" t="str">
        <f t="shared" si="0"/>
        <v/>
      </c>
      <c r="D28" s="4">
        <v>38937612</v>
      </c>
      <c r="E28" s="4" t="e">
        <f t="array" aca="1" ref="E28" ca="1">_xludf.XLOOKUP(D28,'2024-07-07 pubmed search result'!A:A,'2024-07-07 pubmed search result'!E:E)</f>
        <v>#NAME?</v>
      </c>
      <c r="F28" s="4" t="e">
        <f t="array" aca="1" ref="F28" ca="1">_xludf.XLOOKUP(D28,'2024-07-07 pubmed search result'!A:A,'2024-07-07 pubmed search result'!G:G)</f>
        <v>#NAME?</v>
      </c>
      <c r="G28" s="4" t="e">
        <f t="array" aca="1" ref="G28" ca="1">_xludf.XLOOKUP(D28,'2024-07-07 pubmed search result'!A:A,'2024-07-07 pubmed search result'!K:K)</f>
        <v>#NAME?</v>
      </c>
      <c r="H28" s="18" t="str">
        <f t="shared" si="1"/>
        <v>https://pubmed.ncbi.nlm.nih.gov/38937612</v>
      </c>
    </row>
    <row r="29" spans="1:8" ht="15.75" customHeight="1">
      <c r="A29" s="22">
        <v>34647632</v>
      </c>
      <c r="B29" s="4">
        <v>33830031</v>
      </c>
      <c r="C29" s="4" t="str">
        <f t="shared" si="0"/>
        <v/>
      </c>
      <c r="D29" s="4">
        <v>38945270</v>
      </c>
      <c r="E29" s="4" t="e">
        <f t="array" aca="1" ref="E29" ca="1">_xludf.XLOOKUP(D29,'2024-07-07 pubmed search result'!A:A,'2024-07-07 pubmed search result'!E:E)</f>
        <v>#NAME?</v>
      </c>
      <c r="F29" s="4" t="e">
        <f t="array" aca="1" ref="F29" ca="1">_xludf.XLOOKUP(D29,'2024-07-07 pubmed search result'!A:A,'2024-07-07 pubmed search result'!G:G)</f>
        <v>#NAME?</v>
      </c>
      <c r="G29" s="4" t="e">
        <f t="array" aca="1" ref="G29" ca="1">_xludf.XLOOKUP(D29,'2024-07-07 pubmed search result'!A:A,'2024-07-07 pubmed search result'!K:K)</f>
        <v>#NAME?</v>
      </c>
      <c r="H29" s="18" t="str">
        <f t="shared" si="1"/>
        <v>https://pubmed.ncbi.nlm.nih.gov/38945270</v>
      </c>
    </row>
    <row r="30" spans="1:8" ht="15.75" customHeight="1">
      <c r="A30" s="22">
        <v>12430932</v>
      </c>
      <c r="B30" s="4">
        <v>22356254</v>
      </c>
      <c r="C30" s="4" t="str">
        <f t="shared" si="0"/>
        <v/>
      </c>
      <c r="D30" s="4">
        <v>38953028</v>
      </c>
      <c r="E30" s="4" t="e">
        <f t="array" aca="1" ref="E30" ca="1">_xludf.XLOOKUP(D30,'2024-07-07 pubmed search result'!A:A,'2024-07-07 pubmed search result'!E:E)</f>
        <v>#NAME?</v>
      </c>
      <c r="F30" s="4" t="e">
        <f t="array" aca="1" ref="F30" ca="1">_xludf.XLOOKUP(D30,'2024-07-07 pubmed search result'!A:A,'2024-07-07 pubmed search result'!G:G)</f>
        <v>#NAME?</v>
      </c>
      <c r="G30" s="4" t="e">
        <f t="array" aca="1" ref="G30" ca="1">_xludf.XLOOKUP(D30,'2024-07-07 pubmed search result'!A:A,'2024-07-07 pubmed search result'!K:K)</f>
        <v>#NAME?</v>
      </c>
      <c r="H30" s="18" t="str">
        <f t="shared" si="1"/>
        <v>https://pubmed.ncbi.nlm.nih.gov/38953028</v>
      </c>
    </row>
    <row r="31" spans="1:8" ht="15.75" customHeight="1">
      <c r="A31" s="22">
        <v>24792343</v>
      </c>
      <c r="B31" s="4">
        <v>30398125</v>
      </c>
      <c r="C31" s="4" t="str">
        <f t="shared" si="0"/>
        <v/>
      </c>
      <c r="D31" s="4">
        <v>38971380</v>
      </c>
      <c r="E31" s="4" t="e">
        <f t="array" aca="1" ref="E31" ca="1">_xludf.XLOOKUP(D31,'2024-07-07 pubmed search result'!A:A,'2024-07-07 pubmed search result'!E:E)</f>
        <v>#NAME?</v>
      </c>
      <c r="F31" s="4" t="e">
        <f t="array" aca="1" ref="F31" ca="1">_xludf.XLOOKUP(D31,'2024-07-07 pubmed search result'!A:A,'2024-07-07 pubmed search result'!G:G)</f>
        <v>#NAME?</v>
      </c>
      <c r="G31" s="4" t="e">
        <f t="array" aca="1" ref="G31" ca="1">_xludf.XLOOKUP(D31,'2024-07-07 pubmed search result'!A:A,'2024-07-07 pubmed search result'!K:K)</f>
        <v>#NAME?</v>
      </c>
      <c r="H31" s="18" t="str">
        <f t="shared" si="1"/>
        <v>https://pubmed.ncbi.nlm.nih.gov/38971380</v>
      </c>
    </row>
    <row r="32" spans="1:8" ht="15.75" customHeight="1">
      <c r="A32" s="22">
        <v>31449472</v>
      </c>
      <c r="B32" s="4">
        <v>32827324</v>
      </c>
      <c r="C32" s="4" t="str">
        <f t="shared" si="0"/>
        <v/>
      </c>
      <c r="D32" s="4" t="s">
        <v>302</v>
      </c>
    </row>
    <row r="33" spans="1:4" ht="15.75" customHeight="1">
      <c r="A33" s="22">
        <v>25462440</v>
      </c>
      <c r="B33" s="4">
        <v>36927092</v>
      </c>
      <c r="C33" s="4" t="str">
        <f t="shared" si="0"/>
        <v/>
      </c>
      <c r="D33" s="4" t="s">
        <v>302</v>
      </c>
    </row>
    <row r="34" spans="1:4" ht="15.75" customHeight="1">
      <c r="A34" s="22">
        <v>25285614</v>
      </c>
      <c r="B34" s="4">
        <v>10855769</v>
      </c>
      <c r="C34" s="4" t="str">
        <f t="shared" si="0"/>
        <v/>
      </c>
      <c r="D34" s="4" t="s">
        <v>302</v>
      </c>
    </row>
    <row r="35" spans="1:4" ht="15.75" customHeight="1">
      <c r="A35" s="22">
        <v>38631099</v>
      </c>
      <c r="B35" s="4">
        <v>31075291</v>
      </c>
      <c r="C35" s="4">
        <f t="shared" si="0"/>
        <v>38631099</v>
      </c>
      <c r="D35" s="4" t="s">
        <v>302</v>
      </c>
    </row>
    <row r="36" spans="1:4" ht="15.75" customHeight="1">
      <c r="A36" s="22">
        <v>1654146</v>
      </c>
      <c r="B36" s="4">
        <v>17276368</v>
      </c>
      <c r="C36" s="4" t="str">
        <f t="shared" si="0"/>
        <v/>
      </c>
      <c r="D36" s="4" t="s">
        <v>302</v>
      </c>
    </row>
    <row r="37" spans="1:4" ht="15.75" customHeight="1">
      <c r="A37" s="22">
        <v>21782505</v>
      </c>
      <c r="B37" s="4">
        <v>25462440</v>
      </c>
      <c r="C37" s="4" t="str">
        <f t="shared" si="0"/>
        <v/>
      </c>
      <c r="D37" s="4" t="s">
        <v>302</v>
      </c>
    </row>
    <row r="38" spans="1:4" ht="15.75" customHeight="1">
      <c r="A38" s="22">
        <v>27538995</v>
      </c>
      <c r="B38" s="4">
        <v>36833448</v>
      </c>
      <c r="C38" s="4" t="str">
        <f t="shared" si="0"/>
        <v/>
      </c>
      <c r="D38" s="4" t="s">
        <v>302</v>
      </c>
    </row>
    <row r="39" spans="1:4" ht="15.75" customHeight="1">
      <c r="A39" s="22">
        <v>30427305</v>
      </c>
      <c r="B39" s="4">
        <v>25462451</v>
      </c>
      <c r="C39" s="4" t="str">
        <f t="shared" si="0"/>
        <v/>
      </c>
      <c r="D39" s="4" t="s">
        <v>302</v>
      </c>
    </row>
    <row r="40" spans="1:4" ht="15.75" customHeight="1">
      <c r="A40" s="22">
        <v>26160819</v>
      </c>
      <c r="B40" s="4">
        <v>22052666</v>
      </c>
      <c r="C40" s="4" t="str">
        <f t="shared" si="0"/>
        <v/>
      </c>
      <c r="D40" s="4" t="s">
        <v>302</v>
      </c>
    </row>
    <row r="41" spans="1:4" ht="15.75" customHeight="1">
      <c r="A41" s="22">
        <v>32860467</v>
      </c>
      <c r="B41" s="4">
        <v>24792343</v>
      </c>
      <c r="C41" s="4" t="str">
        <f t="shared" si="0"/>
        <v/>
      </c>
      <c r="D41" s="4" t="s">
        <v>302</v>
      </c>
    </row>
    <row r="42" spans="1:4" ht="15.75" customHeight="1">
      <c r="A42" s="22">
        <v>23526966</v>
      </c>
      <c r="B42" s="4">
        <v>11964854</v>
      </c>
      <c r="C42" s="4" t="str">
        <f t="shared" si="0"/>
        <v/>
      </c>
      <c r="D42" s="4" t="s">
        <v>302</v>
      </c>
    </row>
    <row r="43" spans="1:4" ht="15.75" customHeight="1">
      <c r="A43" s="22">
        <v>38228644</v>
      </c>
      <c r="B43" s="4">
        <v>12430932</v>
      </c>
      <c r="C43" s="4" t="str">
        <f t="shared" si="0"/>
        <v/>
      </c>
      <c r="D43" s="4" t="s">
        <v>302</v>
      </c>
    </row>
    <row r="44" spans="1:4" ht="15.75" customHeight="1">
      <c r="A44" s="22">
        <v>8386499</v>
      </c>
      <c r="B44" s="4">
        <v>25285614</v>
      </c>
      <c r="C44" s="4" t="str">
        <f t="shared" si="0"/>
        <v/>
      </c>
      <c r="D44" s="4" t="s">
        <v>302</v>
      </c>
    </row>
    <row r="45" spans="1:4" ht="15.75" customHeight="1">
      <c r="A45" s="22">
        <v>32663845</v>
      </c>
      <c r="B45" s="4">
        <v>17276370</v>
      </c>
      <c r="C45" s="4" t="str">
        <f t="shared" si="0"/>
        <v/>
      </c>
      <c r="D45" s="4" t="s">
        <v>302</v>
      </c>
    </row>
    <row r="46" spans="1:4" ht="15.75" customHeight="1">
      <c r="A46" s="22">
        <v>25462439</v>
      </c>
      <c r="B46" s="4">
        <v>15864103</v>
      </c>
      <c r="C46" s="4" t="str">
        <f t="shared" si="0"/>
        <v/>
      </c>
      <c r="D46" s="4" t="s">
        <v>302</v>
      </c>
    </row>
    <row r="47" spans="1:4" ht="15.75" customHeight="1">
      <c r="A47" s="22">
        <v>29797616</v>
      </c>
      <c r="B47" s="4">
        <v>26160819</v>
      </c>
      <c r="C47" s="4" t="str">
        <f t="shared" si="0"/>
        <v/>
      </c>
      <c r="D47" s="4" t="s">
        <v>302</v>
      </c>
    </row>
    <row r="48" spans="1:4" ht="15.75" customHeight="1">
      <c r="A48" s="22">
        <v>12488560</v>
      </c>
      <c r="B48" s="4">
        <v>23331378</v>
      </c>
      <c r="C48" s="4" t="str">
        <f t="shared" si="0"/>
        <v/>
      </c>
      <c r="D48" s="4" t="s">
        <v>302</v>
      </c>
    </row>
    <row r="49" spans="1:4" ht="15.75" customHeight="1">
      <c r="A49" s="22">
        <v>25694589</v>
      </c>
      <c r="B49" s="4">
        <v>36878429</v>
      </c>
      <c r="C49" s="4" t="str">
        <f t="shared" si="0"/>
        <v/>
      </c>
      <c r="D49" s="4" t="s">
        <v>302</v>
      </c>
    </row>
    <row r="50" spans="1:4" ht="15.75" customHeight="1">
      <c r="A50" s="22">
        <v>15653828</v>
      </c>
      <c r="B50" s="4">
        <v>29905966</v>
      </c>
      <c r="C50" s="4" t="str">
        <f t="shared" si="0"/>
        <v/>
      </c>
      <c r="D50" s="4" t="s">
        <v>302</v>
      </c>
    </row>
    <row r="51" spans="1:4" ht="15.75" customHeight="1">
      <c r="A51" s="22">
        <v>32775465</v>
      </c>
      <c r="B51" s="4">
        <v>21782505</v>
      </c>
      <c r="C51" s="4" t="str">
        <f t="shared" si="0"/>
        <v/>
      </c>
      <c r="D51" s="4" t="s">
        <v>302</v>
      </c>
    </row>
    <row r="52" spans="1:4" ht="15.75" customHeight="1">
      <c r="A52" s="22">
        <v>36833448</v>
      </c>
      <c r="B52" s="4">
        <v>36073532</v>
      </c>
      <c r="C52" s="4" t="str">
        <f t="shared" si="0"/>
        <v/>
      </c>
      <c r="D52" s="4" t="s">
        <v>302</v>
      </c>
    </row>
    <row r="53" spans="1:4" ht="15.75" customHeight="1">
      <c r="A53" s="22">
        <v>30398125</v>
      </c>
      <c r="B53" s="4">
        <v>17802896</v>
      </c>
      <c r="C53" s="4" t="str">
        <f t="shared" si="0"/>
        <v/>
      </c>
      <c r="D53" s="4" t="s">
        <v>302</v>
      </c>
    </row>
    <row r="54" spans="1:4" ht="15.75" customHeight="1">
      <c r="A54" s="22">
        <v>21400833</v>
      </c>
      <c r="B54" s="4">
        <v>35444636</v>
      </c>
      <c r="C54" s="4" t="str">
        <f t="shared" si="0"/>
        <v/>
      </c>
      <c r="D54" s="4" t="s">
        <v>302</v>
      </c>
    </row>
    <row r="55" spans="1:4" ht="15.75" customHeight="1">
      <c r="A55" s="22">
        <v>11964854</v>
      </c>
      <c r="B55" s="4">
        <v>9869189</v>
      </c>
      <c r="C55" s="4" t="str">
        <f t="shared" si="0"/>
        <v/>
      </c>
      <c r="D55" s="4" t="s">
        <v>302</v>
      </c>
    </row>
    <row r="56" spans="1:4" ht="15.75" customHeight="1">
      <c r="A56" s="22">
        <v>32295911</v>
      </c>
      <c r="B56" s="4">
        <v>32638491</v>
      </c>
      <c r="C56" s="4" t="str">
        <f t="shared" si="0"/>
        <v/>
      </c>
      <c r="D56" s="4" t="s">
        <v>302</v>
      </c>
    </row>
    <row r="57" spans="1:4" ht="15.75" customHeight="1">
      <c r="A57" s="22">
        <v>38918446</v>
      </c>
      <c r="B57" s="4">
        <v>32908059</v>
      </c>
      <c r="C57" s="4">
        <f t="shared" si="0"/>
        <v>38918446</v>
      </c>
      <c r="D57" s="4" t="s">
        <v>302</v>
      </c>
    </row>
    <row r="58" spans="1:4" ht="15.75" customHeight="1">
      <c r="A58" s="22">
        <v>32908059</v>
      </c>
      <c r="B58" s="4">
        <v>12488560</v>
      </c>
      <c r="C58" s="4" t="str">
        <f t="shared" si="0"/>
        <v/>
      </c>
      <c r="D58" s="4" t="s">
        <v>302</v>
      </c>
    </row>
    <row r="59" spans="1:4" ht="15.75" customHeight="1">
      <c r="A59" s="22">
        <v>31075291</v>
      </c>
      <c r="B59" s="4">
        <v>7888069</v>
      </c>
      <c r="C59" s="4" t="str">
        <f t="shared" si="0"/>
        <v/>
      </c>
      <c r="D59" s="4" t="s">
        <v>302</v>
      </c>
    </row>
    <row r="60" spans="1:4" ht="15.75" customHeight="1">
      <c r="A60" s="22">
        <v>1365539</v>
      </c>
      <c r="B60" s="4">
        <v>1314102</v>
      </c>
      <c r="C60" s="4" t="str">
        <f t="shared" si="0"/>
        <v/>
      </c>
      <c r="D60" s="4" t="s">
        <v>302</v>
      </c>
    </row>
    <row r="61" spans="1:4" ht="15.75" customHeight="1">
      <c r="A61" s="22">
        <v>29698478</v>
      </c>
      <c r="B61" s="4">
        <v>14525708</v>
      </c>
      <c r="C61" s="4" t="str">
        <f t="shared" si="0"/>
        <v/>
      </c>
      <c r="D61" s="4" t="s">
        <v>302</v>
      </c>
    </row>
    <row r="62" spans="1:4" ht="15.75" customHeight="1">
      <c r="A62" s="22">
        <v>30996090</v>
      </c>
      <c r="B62" s="4">
        <v>15653828</v>
      </c>
      <c r="C62" s="4" t="str">
        <f t="shared" si="0"/>
        <v/>
      </c>
      <c r="D62" s="4" t="s">
        <v>302</v>
      </c>
    </row>
    <row r="63" spans="1:4" ht="15.75" customHeight="1">
      <c r="A63" s="22">
        <v>35444636</v>
      </c>
      <c r="B63" s="4">
        <v>8668853</v>
      </c>
      <c r="C63" s="4" t="str">
        <f t="shared" si="0"/>
        <v/>
      </c>
      <c r="D63" s="4" t="s">
        <v>302</v>
      </c>
    </row>
    <row r="64" spans="1:4" ht="15.75" customHeight="1">
      <c r="A64" s="22">
        <v>21488335</v>
      </c>
      <c r="B64" s="4">
        <v>29304865</v>
      </c>
      <c r="C64" s="4" t="str">
        <f t="shared" si="0"/>
        <v/>
      </c>
      <c r="D64" s="4" t="s">
        <v>302</v>
      </c>
    </row>
    <row r="65" spans="1:4" ht="15.75" customHeight="1">
      <c r="A65" s="22">
        <v>27697585</v>
      </c>
      <c r="B65" s="4">
        <v>21801705</v>
      </c>
      <c r="C65" s="4" t="str">
        <f t="shared" si="0"/>
        <v/>
      </c>
      <c r="D65" s="4" t="s">
        <v>302</v>
      </c>
    </row>
    <row r="66" spans="1:4" ht="15.75" customHeight="1">
      <c r="A66" s="22">
        <v>1314102</v>
      </c>
      <c r="B66" s="4">
        <v>37067947</v>
      </c>
      <c r="C66" s="4" t="str">
        <f t="shared" si="0"/>
        <v/>
      </c>
      <c r="D66" s="4" t="s">
        <v>302</v>
      </c>
    </row>
    <row r="67" spans="1:4" ht="15.75" customHeight="1">
      <c r="A67" s="22">
        <v>35019717</v>
      </c>
      <c r="B67" s="4">
        <v>27669362</v>
      </c>
      <c r="C67" s="4" t="str">
        <f t="shared" si="0"/>
        <v/>
      </c>
      <c r="D67" s="4" t="s">
        <v>302</v>
      </c>
    </row>
    <row r="68" spans="1:4" ht="15.75" customHeight="1">
      <c r="A68" s="22">
        <v>11427741</v>
      </c>
      <c r="B68" s="4">
        <v>11336581</v>
      </c>
      <c r="C68" s="4" t="str">
        <f t="shared" si="0"/>
        <v/>
      </c>
      <c r="D68" s="4" t="s">
        <v>302</v>
      </c>
    </row>
    <row r="69" spans="1:4" ht="15.75" customHeight="1">
      <c r="A69" s="22">
        <v>31043533</v>
      </c>
      <c r="B69" s="4">
        <v>10341172</v>
      </c>
      <c r="C69" s="4" t="str">
        <f t="shared" si="0"/>
        <v/>
      </c>
      <c r="D69" s="4" t="s">
        <v>302</v>
      </c>
    </row>
    <row r="70" spans="1:4" ht="15.75" customHeight="1">
      <c r="A70" s="22">
        <v>7663047</v>
      </c>
      <c r="B70" s="4">
        <v>12923440</v>
      </c>
      <c r="C70" s="4" t="str">
        <f t="shared" si="0"/>
        <v/>
      </c>
      <c r="D70" s="4" t="s">
        <v>302</v>
      </c>
    </row>
    <row r="71" spans="1:4" ht="15.75" customHeight="1">
      <c r="A71" s="22">
        <v>1337298</v>
      </c>
      <c r="B71" s="4">
        <v>33952641</v>
      </c>
      <c r="C71" s="4" t="str">
        <f t="shared" si="0"/>
        <v/>
      </c>
      <c r="D71" s="4" t="s">
        <v>302</v>
      </c>
    </row>
    <row r="72" spans="1:4" ht="15.75" customHeight="1">
      <c r="A72" s="22">
        <v>17802896</v>
      </c>
      <c r="B72" s="4">
        <v>31678540</v>
      </c>
      <c r="C72" s="4" t="str">
        <f t="shared" si="0"/>
        <v/>
      </c>
      <c r="D72" s="4" t="s">
        <v>302</v>
      </c>
    </row>
    <row r="73" spans="1:4" ht="15.75" customHeight="1">
      <c r="A73" s="22">
        <v>26815906</v>
      </c>
      <c r="B73" s="4">
        <v>17951989</v>
      </c>
      <c r="C73" s="4" t="str">
        <f t="shared" si="0"/>
        <v/>
      </c>
      <c r="D73" s="4" t="s">
        <v>302</v>
      </c>
    </row>
    <row r="74" spans="1:4" ht="15.75" customHeight="1">
      <c r="A74" s="22">
        <v>34390240</v>
      </c>
      <c r="B74" s="4">
        <v>21488335</v>
      </c>
      <c r="C74" s="4" t="str">
        <f t="shared" si="0"/>
        <v/>
      </c>
      <c r="D74" s="4" t="s">
        <v>302</v>
      </c>
    </row>
    <row r="75" spans="1:4" ht="15.75" customHeight="1">
      <c r="A75" s="22">
        <v>28056415</v>
      </c>
      <c r="B75" s="4">
        <v>20407819</v>
      </c>
      <c r="C75" s="4" t="str">
        <f t="shared" si="0"/>
        <v/>
      </c>
      <c r="D75" s="4" t="s">
        <v>302</v>
      </c>
    </row>
    <row r="76" spans="1:4" ht="15.75" customHeight="1">
      <c r="A76" s="22">
        <v>10341172</v>
      </c>
      <c r="B76" s="4">
        <v>8884365</v>
      </c>
      <c r="C76" s="4" t="str">
        <f t="shared" si="0"/>
        <v/>
      </c>
      <c r="D76" s="4" t="s">
        <v>302</v>
      </c>
    </row>
    <row r="77" spans="1:4" ht="15.75" customHeight="1">
      <c r="A77" s="22">
        <v>31521763</v>
      </c>
      <c r="B77" s="4">
        <v>21811747</v>
      </c>
      <c r="C77" s="4" t="str">
        <f t="shared" si="0"/>
        <v/>
      </c>
      <c r="D77" s="4" t="s">
        <v>302</v>
      </c>
    </row>
    <row r="78" spans="1:4" ht="15.75" customHeight="1">
      <c r="A78" s="22">
        <v>31650671</v>
      </c>
      <c r="B78" s="4">
        <v>29862613</v>
      </c>
      <c r="C78" s="4" t="str">
        <f t="shared" si="0"/>
        <v/>
      </c>
      <c r="D78" s="4" t="s">
        <v>302</v>
      </c>
    </row>
    <row r="79" spans="1:4" ht="15.75" customHeight="1">
      <c r="A79" s="22">
        <v>36927092</v>
      </c>
      <c r="B79" s="4">
        <v>1337298</v>
      </c>
      <c r="C79" s="4" t="str">
        <f t="shared" si="0"/>
        <v/>
      </c>
      <c r="D79" s="4" t="s">
        <v>302</v>
      </c>
    </row>
    <row r="80" spans="1:4" ht="15.75" customHeight="1">
      <c r="A80" s="22">
        <v>19891754</v>
      </c>
      <c r="B80" s="4">
        <v>19891754</v>
      </c>
      <c r="C80" s="4" t="str">
        <f t="shared" si="0"/>
        <v/>
      </c>
      <c r="D80" s="4" t="s">
        <v>302</v>
      </c>
    </row>
    <row r="81" spans="1:4" ht="15.75" customHeight="1">
      <c r="A81" s="22">
        <v>15864103</v>
      </c>
      <c r="B81" s="4">
        <v>15606551</v>
      </c>
      <c r="C81" s="4" t="str">
        <f t="shared" si="0"/>
        <v/>
      </c>
      <c r="D81" s="4" t="s">
        <v>302</v>
      </c>
    </row>
    <row r="82" spans="1:4" ht="15.75" customHeight="1">
      <c r="A82" s="22">
        <v>38675841</v>
      </c>
      <c r="B82" s="4">
        <v>8633821</v>
      </c>
      <c r="C82" s="4">
        <f t="shared" si="0"/>
        <v>38675841</v>
      </c>
      <c r="D82" s="4" t="s">
        <v>302</v>
      </c>
    </row>
    <row r="83" spans="1:4" ht="15.75" customHeight="1">
      <c r="A83" s="22">
        <v>14525708</v>
      </c>
      <c r="B83" s="4">
        <v>1335933</v>
      </c>
      <c r="C83" s="4" t="str">
        <f t="shared" si="0"/>
        <v/>
      </c>
      <c r="D83" s="4" t="s">
        <v>302</v>
      </c>
    </row>
    <row r="84" spans="1:4" ht="15.75" customHeight="1">
      <c r="A84" s="22">
        <v>33830031</v>
      </c>
      <c r="B84" s="4">
        <v>24703390</v>
      </c>
      <c r="C84" s="4" t="str">
        <f t="shared" si="0"/>
        <v/>
      </c>
      <c r="D84" s="4" t="s">
        <v>302</v>
      </c>
    </row>
    <row r="85" spans="1:4" ht="15.75" customHeight="1">
      <c r="A85" s="22">
        <v>21811747</v>
      </c>
      <c r="B85" s="4">
        <v>9987758</v>
      </c>
      <c r="C85" s="4" t="str">
        <f t="shared" si="0"/>
        <v/>
      </c>
      <c r="D85" s="4" t="s">
        <v>302</v>
      </c>
    </row>
    <row r="86" spans="1:4" ht="15.75" customHeight="1">
      <c r="A86" s="22">
        <v>23055929</v>
      </c>
      <c r="B86" s="4">
        <v>17276376</v>
      </c>
      <c r="C86" s="4" t="str">
        <f t="shared" si="0"/>
        <v/>
      </c>
      <c r="D86" s="4" t="s">
        <v>302</v>
      </c>
    </row>
    <row r="87" spans="1:4" ht="15.75" customHeight="1">
      <c r="A87" s="22">
        <v>21801705</v>
      </c>
      <c r="B87" s="4">
        <v>22212513</v>
      </c>
      <c r="C87" s="4" t="str">
        <f t="shared" si="0"/>
        <v/>
      </c>
      <c r="D87" s="4" t="s">
        <v>302</v>
      </c>
    </row>
    <row r="88" spans="1:4" ht="15.75" customHeight="1">
      <c r="A88" s="22">
        <v>27669362</v>
      </c>
      <c r="B88" s="4">
        <v>33378595</v>
      </c>
      <c r="C88" s="4" t="str">
        <f t="shared" si="0"/>
        <v/>
      </c>
      <c r="D88" s="4" t="s">
        <v>302</v>
      </c>
    </row>
    <row r="89" spans="1:4" ht="15.75" customHeight="1">
      <c r="A89" s="22">
        <v>36073532</v>
      </c>
      <c r="B89" s="4">
        <v>22616807</v>
      </c>
      <c r="C89" s="4" t="str">
        <f t="shared" si="0"/>
        <v/>
      </c>
      <c r="D89" s="4" t="s">
        <v>302</v>
      </c>
    </row>
    <row r="90" spans="1:4" ht="15.75" customHeight="1">
      <c r="A90" s="22">
        <v>35389547</v>
      </c>
      <c r="B90" s="4">
        <v>28835501</v>
      </c>
      <c r="C90" s="4" t="str">
        <f t="shared" si="0"/>
        <v/>
      </c>
      <c r="D90" s="4" t="s">
        <v>302</v>
      </c>
    </row>
    <row r="91" spans="1:4" ht="15.75" customHeight="1">
      <c r="A91" s="22">
        <v>10377191</v>
      </c>
      <c r="B91" s="4">
        <v>29985546</v>
      </c>
      <c r="C91" s="4" t="str">
        <f t="shared" si="0"/>
        <v/>
      </c>
      <c r="D91" s="4" t="s">
        <v>302</v>
      </c>
    </row>
    <row r="92" spans="1:4" ht="15.75" customHeight="1">
      <c r="A92" s="22">
        <v>27244446</v>
      </c>
      <c r="B92" s="4">
        <v>28244148</v>
      </c>
      <c r="C92" s="4" t="str">
        <f t="shared" si="0"/>
        <v/>
      </c>
      <c r="D92" s="4" t="s">
        <v>302</v>
      </c>
    </row>
    <row r="93" spans="1:4" ht="15.75" customHeight="1">
      <c r="A93" s="22">
        <v>9465692</v>
      </c>
      <c r="B93" s="4">
        <v>15824982</v>
      </c>
      <c r="C93" s="4" t="str">
        <f t="shared" si="0"/>
        <v/>
      </c>
      <c r="D93" s="4" t="s">
        <v>302</v>
      </c>
    </row>
    <row r="94" spans="1:4" ht="15.75" customHeight="1">
      <c r="A94" s="22">
        <v>28081700</v>
      </c>
      <c r="B94" s="4">
        <v>18161770</v>
      </c>
      <c r="C94" s="4" t="str">
        <f t="shared" si="0"/>
        <v/>
      </c>
      <c r="D94" s="4" t="s">
        <v>302</v>
      </c>
    </row>
    <row r="95" spans="1:4" ht="15.75" customHeight="1">
      <c r="A95" s="22">
        <v>24013234</v>
      </c>
      <c r="B95" s="4">
        <v>21376661</v>
      </c>
      <c r="C95" s="4" t="str">
        <f t="shared" si="0"/>
        <v/>
      </c>
      <c r="D95" s="4" t="s">
        <v>302</v>
      </c>
    </row>
    <row r="96" spans="1:4" ht="15.75" customHeight="1">
      <c r="A96" s="22">
        <v>9987758</v>
      </c>
      <c r="B96" s="4">
        <v>12116029</v>
      </c>
      <c r="C96" s="4" t="str">
        <f t="shared" si="0"/>
        <v/>
      </c>
      <c r="D96" s="4" t="s">
        <v>302</v>
      </c>
    </row>
    <row r="97" spans="1:4" ht="15.75" customHeight="1">
      <c r="A97" s="22">
        <v>15186736</v>
      </c>
      <c r="B97" s="4">
        <v>35911725</v>
      </c>
      <c r="C97" s="4" t="str">
        <f t="shared" si="0"/>
        <v/>
      </c>
      <c r="D97" s="4" t="s">
        <v>302</v>
      </c>
    </row>
    <row r="98" spans="1:4" ht="15.75" customHeight="1">
      <c r="A98" s="22">
        <v>9869189</v>
      </c>
      <c r="B98" s="4">
        <v>1654146</v>
      </c>
      <c r="C98" s="4" t="str">
        <f t="shared" si="0"/>
        <v/>
      </c>
      <c r="D98" s="4" t="s">
        <v>302</v>
      </c>
    </row>
    <row r="99" spans="1:4" ht="15.75" customHeight="1">
      <c r="A99" s="22">
        <v>20407819</v>
      </c>
      <c r="B99" s="4">
        <v>13129768</v>
      </c>
      <c r="C99" s="4" t="str">
        <f t="shared" si="0"/>
        <v/>
      </c>
      <c r="D99" s="4" t="s">
        <v>302</v>
      </c>
    </row>
    <row r="100" spans="1:4" ht="15.75" customHeight="1">
      <c r="A100" s="22">
        <v>33053448</v>
      </c>
      <c r="B100" s="4">
        <v>16333831</v>
      </c>
      <c r="C100" s="4" t="str">
        <f t="shared" si="0"/>
        <v/>
      </c>
      <c r="D100" s="4" t="s">
        <v>302</v>
      </c>
    </row>
    <row r="101" spans="1:4" ht="15.75" customHeight="1">
      <c r="A101" s="22">
        <v>15606551</v>
      </c>
      <c r="B101" s="4">
        <v>32424944</v>
      </c>
      <c r="C101" s="4" t="str">
        <f t="shared" si="0"/>
        <v/>
      </c>
      <c r="D101" s="4" t="s">
        <v>302</v>
      </c>
    </row>
    <row r="102" spans="1:4" ht="15.75" customHeight="1">
      <c r="A102" s="22">
        <v>36055520</v>
      </c>
      <c r="B102" s="4">
        <v>29512392</v>
      </c>
      <c r="C102" s="4" t="str">
        <f t="shared" si="0"/>
        <v/>
      </c>
      <c r="D102" s="4" t="s">
        <v>302</v>
      </c>
    </row>
    <row r="103" spans="1:4" ht="15.75" customHeight="1">
      <c r="A103" s="22">
        <v>11336581</v>
      </c>
      <c r="B103" s="4">
        <v>22321264</v>
      </c>
      <c r="C103" s="4" t="str">
        <f t="shared" si="0"/>
        <v/>
      </c>
      <c r="D103" s="4" t="s">
        <v>302</v>
      </c>
    </row>
    <row r="104" spans="1:4" ht="15.75" customHeight="1">
      <c r="A104" s="22">
        <v>22212513</v>
      </c>
      <c r="B104" s="4">
        <v>11427741</v>
      </c>
      <c r="C104" s="4" t="str">
        <f t="shared" si="0"/>
        <v/>
      </c>
      <c r="D104" s="4" t="s">
        <v>302</v>
      </c>
    </row>
    <row r="105" spans="1:4" ht="15.75" customHeight="1">
      <c r="A105" s="22">
        <v>32827324</v>
      </c>
      <c r="B105" s="4">
        <v>30359733</v>
      </c>
      <c r="C105" s="4" t="str">
        <f t="shared" si="0"/>
        <v/>
      </c>
      <c r="D105" s="4" t="s">
        <v>302</v>
      </c>
    </row>
    <row r="106" spans="1:4" ht="15.75" customHeight="1">
      <c r="A106" s="22">
        <v>17276376</v>
      </c>
      <c r="B106" s="4">
        <v>1652312</v>
      </c>
      <c r="C106" s="4" t="str">
        <f t="shared" si="0"/>
        <v/>
      </c>
      <c r="D106" s="4" t="s">
        <v>302</v>
      </c>
    </row>
    <row r="107" spans="1:4" ht="15.75" customHeight="1">
      <c r="A107" s="22">
        <v>14744020</v>
      </c>
      <c r="B107" s="4">
        <v>1656093</v>
      </c>
      <c r="C107" s="4" t="str">
        <f t="shared" si="0"/>
        <v/>
      </c>
      <c r="D107" s="4" t="s">
        <v>302</v>
      </c>
    </row>
    <row r="108" spans="1:4" ht="15.75" customHeight="1">
      <c r="A108" s="22">
        <v>27076241</v>
      </c>
      <c r="B108" s="4">
        <v>29494951</v>
      </c>
      <c r="C108" s="4" t="str">
        <f t="shared" si="0"/>
        <v/>
      </c>
      <c r="D108" s="4" t="s">
        <v>302</v>
      </c>
    </row>
    <row r="109" spans="1:4" ht="15.75" customHeight="1">
      <c r="A109" s="22">
        <v>21376661</v>
      </c>
      <c r="B109" s="4">
        <v>18637904</v>
      </c>
      <c r="C109" s="4" t="str">
        <f t="shared" si="0"/>
        <v/>
      </c>
      <c r="D109" s="4" t="s">
        <v>302</v>
      </c>
    </row>
    <row r="110" spans="1:4" ht="15.75" customHeight="1">
      <c r="A110" s="22">
        <v>30844089</v>
      </c>
      <c r="B110" s="4">
        <v>11049767</v>
      </c>
      <c r="C110" s="4" t="str">
        <f t="shared" si="0"/>
        <v/>
      </c>
      <c r="D110" s="4" t="s">
        <v>302</v>
      </c>
    </row>
    <row r="111" spans="1:4" ht="15.75" customHeight="1">
      <c r="A111" s="22">
        <v>8668853</v>
      </c>
      <c r="B111" s="4">
        <v>16323134</v>
      </c>
      <c r="C111" s="4" t="str">
        <f t="shared" si="0"/>
        <v/>
      </c>
      <c r="D111" s="4" t="s">
        <v>302</v>
      </c>
    </row>
    <row r="112" spans="1:4" ht="15.75" customHeight="1">
      <c r="A112" s="22">
        <v>2559396</v>
      </c>
      <c r="B112" s="4">
        <v>15543572</v>
      </c>
      <c r="C112" s="4" t="str">
        <f t="shared" si="0"/>
        <v/>
      </c>
      <c r="D112" s="4" t="s">
        <v>302</v>
      </c>
    </row>
    <row r="113" spans="1:4" ht="15.75" customHeight="1">
      <c r="A113" s="22">
        <v>32638491</v>
      </c>
      <c r="B113" s="4">
        <v>31421950</v>
      </c>
      <c r="C113" s="4" t="str">
        <f t="shared" si="0"/>
        <v/>
      </c>
      <c r="D113" s="4" t="s">
        <v>302</v>
      </c>
    </row>
    <row r="114" spans="1:4" ht="15.75" customHeight="1">
      <c r="A114" s="22">
        <v>23331378</v>
      </c>
      <c r="B114" s="4">
        <v>31449472</v>
      </c>
      <c r="C114" s="4" t="str">
        <f t="shared" si="0"/>
        <v/>
      </c>
      <c r="D114" s="4" t="s">
        <v>302</v>
      </c>
    </row>
    <row r="115" spans="1:4" ht="15.75" customHeight="1">
      <c r="A115" s="22">
        <v>37559456</v>
      </c>
      <c r="B115" s="4">
        <v>22048789</v>
      </c>
      <c r="C115" s="4" t="str">
        <f t="shared" si="0"/>
        <v/>
      </c>
      <c r="D115" s="4" t="s">
        <v>302</v>
      </c>
    </row>
    <row r="116" spans="1:4" ht="15.75" customHeight="1">
      <c r="A116" s="22">
        <v>12951217</v>
      </c>
      <c r="B116" s="4">
        <v>2559396</v>
      </c>
      <c r="C116" s="4" t="str">
        <f t="shared" si="0"/>
        <v/>
      </c>
      <c r="D116" s="4" t="s">
        <v>302</v>
      </c>
    </row>
    <row r="117" spans="1:4" ht="15.75" customHeight="1">
      <c r="A117" s="22">
        <v>21538037</v>
      </c>
      <c r="B117" s="4">
        <v>22278837</v>
      </c>
      <c r="C117" s="4" t="str">
        <f t="shared" si="0"/>
        <v/>
      </c>
      <c r="D117" s="4" t="s">
        <v>302</v>
      </c>
    </row>
    <row r="118" spans="1:4" ht="15.75" customHeight="1">
      <c r="A118" s="22">
        <v>29491155</v>
      </c>
      <c r="B118" s="4">
        <v>15650224</v>
      </c>
      <c r="C118" s="4" t="str">
        <f t="shared" si="0"/>
        <v/>
      </c>
      <c r="D118" s="4" t="s">
        <v>302</v>
      </c>
    </row>
    <row r="119" spans="1:4" ht="15.75" customHeight="1">
      <c r="A119" s="22">
        <v>22321264</v>
      </c>
      <c r="B119" s="4">
        <v>17075280</v>
      </c>
      <c r="C119" s="4" t="str">
        <f t="shared" si="0"/>
        <v/>
      </c>
      <c r="D119" s="4" t="s">
        <v>302</v>
      </c>
    </row>
    <row r="120" spans="1:4" ht="15.75" customHeight="1">
      <c r="A120" s="22">
        <v>34111575</v>
      </c>
      <c r="B120" s="4">
        <v>23514960</v>
      </c>
      <c r="C120" s="4" t="str">
        <f t="shared" si="0"/>
        <v/>
      </c>
      <c r="D120" s="4" t="s">
        <v>302</v>
      </c>
    </row>
    <row r="121" spans="1:4" ht="15.75" customHeight="1">
      <c r="A121" s="22">
        <v>36366483</v>
      </c>
      <c r="B121" s="4">
        <v>32663845</v>
      </c>
      <c r="C121" s="4" t="str">
        <f t="shared" si="0"/>
        <v/>
      </c>
      <c r="D121" s="4" t="s">
        <v>302</v>
      </c>
    </row>
    <row r="122" spans="1:4" ht="15.75" customHeight="1">
      <c r="A122" s="22">
        <v>29985546</v>
      </c>
      <c r="B122" s="4">
        <v>24594780</v>
      </c>
      <c r="C122" s="4" t="str">
        <f t="shared" si="0"/>
        <v/>
      </c>
      <c r="D122" s="4" t="s">
        <v>302</v>
      </c>
    </row>
    <row r="123" spans="1:4" ht="15.75" customHeight="1">
      <c r="A123" s="22">
        <v>18161770</v>
      </c>
      <c r="B123" s="4">
        <v>25691643</v>
      </c>
      <c r="C123" s="4" t="str">
        <f t="shared" si="0"/>
        <v/>
      </c>
      <c r="D123" s="4" t="s">
        <v>302</v>
      </c>
    </row>
    <row r="124" spans="1:4" ht="15.75" customHeight="1">
      <c r="A124" s="22">
        <v>15824982</v>
      </c>
      <c r="B124" s="4">
        <v>10097377</v>
      </c>
      <c r="C124" s="4" t="str">
        <f t="shared" si="0"/>
        <v/>
      </c>
      <c r="D124" s="4" t="s">
        <v>302</v>
      </c>
    </row>
    <row r="125" spans="1:4" ht="15.75" customHeight="1">
      <c r="A125" s="22">
        <v>30418598</v>
      </c>
      <c r="B125" s="4">
        <v>36739398</v>
      </c>
      <c r="C125" s="4" t="str">
        <f t="shared" si="0"/>
        <v/>
      </c>
      <c r="D125" s="4" t="s">
        <v>302</v>
      </c>
    </row>
    <row r="126" spans="1:4" ht="15.75" customHeight="1">
      <c r="A126" s="22">
        <v>34083146</v>
      </c>
      <c r="B126" s="4">
        <v>11035370</v>
      </c>
      <c r="C126" s="4" t="str">
        <f t="shared" si="0"/>
        <v/>
      </c>
      <c r="D126" s="4" t="s">
        <v>302</v>
      </c>
    </row>
    <row r="127" spans="1:4" ht="15.75" customHeight="1">
      <c r="A127" s="22">
        <v>20211581</v>
      </c>
      <c r="B127" s="4">
        <v>20838386</v>
      </c>
      <c r="C127" s="4" t="str">
        <f t="shared" si="0"/>
        <v/>
      </c>
      <c r="D127" s="4" t="s">
        <v>302</v>
      </c>
    </row>
    <row r="128" spans="1:4" ht="15.75" customHeight="1">
      <c r="A128" s="22">
        <v>18637904</v>
      </c>
      <c r="B128" s="4">
        <v>32295911</v>
      </c>
      <c r="C128" s="4" t="str">
        <f t="shared" si="0"/>
        <v/>
      </c>
      <c r="D128" s="4" t="s">
        <v>302</v>
      </c>
    </row>
    <row r="129" spans="1:4" ht="15.75" customHeight="1">
      <c r="A129" s="22">
        <v>22048789</v>
      </c>
      <c r="B129" s="4">
        <v>12210418</v>
      </c>
      <c r="C129" s="4" t="str">
        <f t="shared" si="0"/>
        <v/>
      </c>
      <c r="D129" s="4" t="s">
        <v>302</v>
      </c>
    </row>
    <row r="130" spans="1:4" ht="15.75" customHeight="1">
      <c r="A130" s="22">
        <v>26121112</v>
      </c>
      <c r="B130" s="4">
        <v>26476073</v>
      </c>
      <c r="C130" s="4" t="str">
        <f t="shared" si="0"/>
        <v/>
      </c>
      <c r="D130" s="4" t="s">
        <v>302</v>
      </c>
    </row>
    <row r="131" spans="1:4" ht="15.75" customHeight="1">
      <c r="A131" s="22">
        <v>12116029</v>
      </c>
      <c r="B131" s="4">
        <v>8824991</v>
      </c>
      <c r="C131" s="4" t="str">
        <f t="shared" si="0"/>
        <v/>
      </c>
      <c r="D131" s="4" t="s">
        <v>302</v>
      </c>
    </row>
    <row r="132" spans="1:4" ht="15.75" customHeight="1">
      <c r="A132" s="22">
        <v>8815100</v>
      </c>
      <c r="B132" s="4">
        <v>8397282</v>
      </c>
      <c r="C132" s="4" t="str">
        <f t="shared" si="0"/>
        <v/>
      </c>
      <c r="D132" s="4" t="s">
        <v>302</v>
      </c>
    </row>
    <row r="133" spans="1:4" ht="15.75" customHeight="1">
      <c r="A133" s="22">
        <v>33713461</v>
      </c>
      <c r="B133" s="4">
        <v>26241219</v>
      </c>
      <c r="C133" s="4" t="str">
        <f t="shared" si="0"/>
        <v/>
      </c>
      <c r="D133" s="4" t="s">
        <v>302</v>
      </c>
    </row>
    <row r="134" spans="1:4" ht="15.75" customHeight="1">
      <c r="A134" s="22">
        <v>29905966</v>
      </c>
      <c r="B134" s="4">
        <v>29797616</v>
      </c>
      <c r="C134" s="4" t="str">
        <f t="shared" si="0"/>
        <v/>
      </c>
      <c r="D134" s="4" t="s">
        <v>302</v>
      </c>
    </row>
    <row r="135" spans="1:4" ht="15.75" customHeight="1">
      <c r="A135" s="22">
        <v>23152545</v>
      </c>
      <c r="B135" s="4">
        <v>30427305</v>
      </c>
      <c r="C135" s="4" t="str">
        <f t="shared" si="0"/>
        <v/>
      </c>
      <c r="D135" s="4" t="s">
        <v>302</v>
      </c>
    </row>
    <row r="136" spans="1:4" ht="15.75" customHeight="1">
      <c r="A136" s="22">
        <v>30060604</v>
      </c>
      <c r="B136" s="4">
        <v>21254895</v>
      </c>
      <c r="C136" s="4" t="str">
        <f t="shared" si="0"/>
        <v/>
      </c>
      <c r="D136" s="4" t="s">
        <v>302</v>
      </c>
    </row>
    <row r="137" spans="1:4" ht="15.75" customHeight="1">
      <c r="A137" s="22">
        <v>15543572</v>
      </c>
      <c r="B137" s="4">
        <v>22201827</v>
      </c>
      <c r="C137" s="4" t="str">
        <f t="shared" si="0"/>
        <v/>
      </c>
      <c r="D137" s="4" t="s">
        <v>302</v>
      </c>
    </row>
    <row r="138" spans="1:4" ht="15.75" customHeight="1">
      <c r="A138" s="22">
        <v>13129768</v>
      </c>
      <c r="B138" s="4">
        <v>23669455</v>
      </c>
      <c r="C138" s="4" t="str">
        <f t="shared" si="0"/>
        <v/>
      </c>
      <c r="D138" s="4" t="s">
        <v>302</v>
      </c>
    </row>
    <row r="139" spans="1:4" ht="15.75" customHeight="1">
      <c r="A139" s="22">
        <v>16541415</v>
      </c>
      <c r="B139" s="4">
        <v>20872080</v>
      </c>
      <c r="C139" s="4" t="str">
        <f t="shared" si="0"/>
        <v/>
      </c>
      <c r="D139" s="4" t="s">
        <v>302</v>
      </c>
    </row>
    <row r="140" spans="1:4" ht="15.75" customHeight="1">
      <c r="A140" s="22">
        <v>16323134</v>
      </c>
      <c r="B140" s="4">
        <v>32860815</v>
      </c>
      <c r="C140" s="4" t="str">
        <f t="shared" si="0"/>
        <v/>
      </c>
      <c r="D140" s="4" t="s">
        <v>302</v>
      </c>
    </row>
    <row r="141" spans="1:4" ht="15.75" customHeight="1">
      <c r="A141" s="22">
        <v>28835501</v>
      </c>
      <c r="B141" s="4">
        <v>12477249</v>
      </c>
      <c r="C141" s="4" t="str">
        <f t="shared" si="0"/>
        <v/>
      </c>
      <c r="D141" s="4" t="s">
        <v>302</v>
      </c>
    </row>
    <row r="142" spans="1:4" ht="15.75" customHeight="1">
      <c r="A142" s="22">
        <v>1656093</v>
      </c>
      <c r="B142" s="4">
        <v>21849437</v>
      </c>
      <c r="C142" s="4" t="str">
        <f t="shared" si="0"/>
        <v/>
      </c>
      <c r="D142" s="4" t="s">
        <v>302</v>
      </c>
    </row>
    <row r="143" spans="1:4" ht="15.75" customHeight="1">
      <c r="A143" s="22">
        <v>10482553</v>
      </c>
      <c r="B143" s="4">
        <v>26083588</v>
      </c>
      <c r="C143" s="4" t="str">
        <f t="shared" si="0"/>
        <v/>
      </c>
      <c r="D143" s="4" t="s">
        <v>302</v>
      </c>
    </row>
    <row r="144" spans="1:4" ht="15.75" customHeight="1">
      <c r="A144" s="22">
        <v>8390614</v>
      </c>
      <c r="B144" s="4">
        <v>19505844</v>
      </c>
      <c r="C144" s="4" t="str">
        <f t="shared" si="0"/>
        <v/>
      </c>
      <c r="D144" s="4" t="s">
        <v>302</v>
      </c>
    </row>
    <row r="145" spans="1:4" ht="15.75" customHeight="1">
      <c r="A145" s="22">
        <v>20304745</v>
      </c>
      <c r="B145" s="4">
        <v>9720744</v>
      </c>
      <c r="C145" s="4" t="str">
        <f t="shared" si="0"/>
        <v/>
      </c>
      <c r="D145" s="4" t="s">
        <v>302</v>
      </c>
    </row>
    <row r="146" spans="1:4" ht="15.75" customHeight="1">
      <c r="A146" s="22">
        <v>2161152</v>
      </c>
      <c r="B146" s="4">
        <v>24829249</v>
      </c>
      <c r="C146" s="4" t="str">
        <f t="shared" si="0"/>
        <v/>
      </c>
      <c r="D146" s="4" t="s">
        <v>302</v>
      </c>
    </row>
    <row r="147" spans="1:4" ht="15.75" customHeight="1">
      <c r="A147" s="22">
        <v>1657544</v>
      </c>
      <c r="B147" s="4">
        <v>1365539</v>
      </c>
      <c r="C147" s="4" t="str">
        <f t="shared" si="0"/>
        <v/>
      </c>
      <c r="D147" s="4" t="s">
        <v>302</v>
      </c>
    </row>
    <row r="148" spans="1:4" ht="15.75" customHeight="1">
      <c r="A148" s="22">
        <v>38407786</v>
      </c>
      <c r="B148" s="4">
        <v>26209402</v>
      </c>
      <c r="C148" s="4">
        <f t="shared" si="0"/>
        <v>38407786</v>
      </c>
      <c r="D148" s="4" t="s">
        <v>302</v>
      </c>
    </row>
    <row r="149" spans="1:4" ht="15.75" customHeight="1">
      <c r="A149" s="22">
        <v>24006442</v>
      </c>
      <c r="B149" s="4">
        <v>20005968</v>
      </c>
      <c r="C149" s="4" t="str">
        <f t="shared" si="0"/>
        <v/>
      </c>
      <c r="D149" s="4" t="s">
        <v>302</v>
      </c>
    </row>
    <row r="150" spans="1:4" ht="15.75" customHeight="1">
      <c r="A150" s="22">
        <v>22537811</v>
      </c>
      <c r="B150" s="4">
        <v>22093262</v>
      </c>
      <c r="C150" s="4" t="str">
        <f t="shared" si="0"/>
        <v/>
      </c>
      <c r="D150" s="4" t="s">
        <v>302</v>
      </c>
    </row>
    <row r="151" spans="1:4" ht="15.75" customHeight="1">
      <c r="A151" s="22">
        <v>15543581</v>
      </c>
      <c r="B151" s="4">
        <v>18037945</v>
      </c>
      <c r="C151" s="4" t="str">
        <f t="shared" si="0"/>
        <v/>
      </c>
      <c r="D151" s="4" t="s">
        <v>302</v>
      </c>
    </row>
    <row r="152" spans="1:4" ht="15.75" customHeight="1">
      <c r="A152" s="22">
        <v>22701693</v>
      </c>
      <c r="B152" s="4">
        <v>27404369</v>
      </c>
      <c r="C152" s="4" t="str">
        <f t="shared" si="0"/>
        <v/>
      </c>
      <c r="D152" s="4" t="s">
        <v>302</v>
      </c>
    </row>
    <row r="153" spans="1:4" ht="15.75" customHeight="1">
      <c r="A153" s="22">
        <v>24703390</v>
      </c>
      <c r="B153" s="4">
        <v>10026725</v>
      </c>
      <c r="C153" s="4" t="str">
        <f t="shared" si="0"/>
        <v/>
      </c>
      <c r="D153" s="4" t="s">
        <v>302</v>
      </c>
    </row>
    <row r="154" spans="1:4" ht="15.75" customHeight="1">
      <c r="A154" s="22">
        <v>1335933</v>
      </c>
      <c r="B154" s="4">
        <v>31650671</v>
      </c>
      <c r="C154" s="4" t="str">
        <f t="shared" si="0"/>
        <v/>
      </c>
      <c r="D154" s="4" t="s">
        <v>302</v>
      </c>
    </row>
    <row r="155" spans="1:4" ht="15.75" customHeight="1">
      <c r="A155" s="22">
        <v>34973500</v>
      </c>
      <c r="B155" s="4">
        <v>9629978</v>
      </c>
      <c r="C155" s="4" t="str">
        <f t="shared" si="0"/>
        <v/>
      </c>
      <c r="D155" s="4" t="s">
        <v>302</v>
      </c>
    </row>
    <row r="156" spans="1:4" ht="15.75" customHeight="1">
      <c r="A156" s="22">
        <v>18687640</v>
      </c>
      <c r="B156" s="4">
        <v>30996090</v>
      </c>
      <c r="C156" s="4" t="str">
        <f t="shared" si="0"/>
        <v/>
      </c>
      <c r="D156" s="4" t="s">
        <v>302</v>
      </c>
    </row>
    <row r="157" spans="1:4" ht="15.75" customHeight="1">
      <c r="A157" s="22">
        <v>17913805</v>
      </c>
      <c r="B157" s="4">
        <v>9465692</v>
      </c>
      <c r="C157" s="4" t="str">
        <f t="shared" si="0"/>
        <v/>
      </c>
      <c r="D157" s="4" t="s">
        <v>302</v>
      </c>
    </row>
    <row r="158" spans="1:4" ht="15.75" customHeight="1">
      <c r="A158" s="22">
        <v>26945690</v>
      </c>
      <c r="B158" s="4">
        <v>17977973</v>
      </c>
      <c r="C158" s="4" t="str">
        <f t="shared" si="0"/>
        <v/>
      </c>
      <c r="D158" s="4" t="s">
        <v>302</v>
      </c>
    </row>
    <row r="159" spans="1:4" ht="15.75" customHeight="1">
      <c r="A159" s="22">
        <v>1337259</v>
      </c>
      <c r="B159" s="4">
        <v>27703035</v>
      </c>
      <c r="C159" s="4" t="str">
        <f t="shared" si="0"/>
        <v/>
      </c>
      <c r="D159" s="4" t="s">
        <v>302</v>
      </c>
    </row>
    <row r="160" spans="1:4" ht="15.75" customHeight="1">
      <c r="A160" s="22">
        <v>28244148</v>
      </c>
      <c r="B160" s="4">
        <v>18428148</v>
      </c>
      <c r="C160" s="4" t="str">
        <f t="shared" si="0"/>
        <v/>
      </c>
      <c r="D160" s="4" t="s">
        <v>302</v>
      </c>
    </row>
    <row r="161" spans="1:4" ht="15.75" customHeight="1">
      <c r="A161" s="22">
        <v>15650224</v>
      </c>
      <c r="B161" s="4">
        <v>35019717</v>
      </c>
      <c r="C161" s="4" t="str">
        <f t="shared" si="0"/>
        <v/>
      </c>
      <c r="D161" s="4" t="s">
        <v>302</v>
      </c>
    </row>
    <row r="162" spans="1:4" ht="15.75" customHeight="1">
      <c r="A162" s="22">
        <v>12923440</v>
      </c>
      <c r="B162" s="4">
        <v>18512026</v>
      </c>
      <c r="C162" s="4" t="str">
        <f t="shared" si="0"/>
        <v/>
      </c>
      <c r="D162" s="4" t="s">
        <v>302</v>
      </c>
    </row>
    <row r="163" spans="1:4" ht="15.75" customHeight="1">
      <c r="A163" s="22">
        <v>19856545</v>
      </c>
      <c r="B163" s="4">
        <v>31043533</v>
      </c>
      <c r="C163" s="4" t="str">
        <f t="shared" si="0"/>
        <v/>
      </c>
      <c r="D163" s="4" t="s">
        <v>302</v>
      </c>
    </row>
    <row r="164" spans="1:4" ht="15.75" customHeight="1">
      <c r="A164" s="22">
        <v>10855769</v>
      </c>
      <c r="B164" s="4">
        <v>24658548</v>
      </c>
      <c r="C164" s="4" t="str">
        <f t="shared" si="0"/>
        <v/>
      </c>
      <c r="D164" s="4" t="s">
        <v>302</v>
      </c>
    </row>
    <row r="165" spans="1:4" ht="15.75" customHeight="1">
      <c r="A165" s="22">
        <v>10836387</v>
      </c>
      <c r="B165" s="4">
        <v>19144370</v>
      </c>
      <c r="C165" s="4" t="str">
        <f t="shared" si="0"/>
        <v/>
      </c>
      <c r="D165" s="4" t="s">
        <v>302</v>
      </c>
    </row>
    <row r="166" spans="1:4" ht="15.75" customHeight="1">
      <c r="A166" s="22">
        <v>30067953</v>
      </c>
      <c r="B166" s="4">
        <v>21376662</v>
      </c>
      <c r="C166" s="4" t="str">
        <f t="shared" si="0"/>
        <v/>
      </c>
      <c r="D166" s="4" t="s">
        <v>302</v>
      </c>
    </row>
    <row r="167" spans="1:4" ht="15.75" customHeight="1">
      <c r="A167" s="22">
        <v>22616807</v>
      </c>
      <c r="B167" s="4">
        <v>23771003</v>
      </c>
      <c r="C167" s="4" t="str">
        <f t="shared" si="0"/>
        <v/>
      </c>
      <c r="D167" s="4" t="s">
        <v>302</v>
      </c>
    </row>
    <row r="168" spans="1:4" ht="15.75" customHeight="1">
      <c r="A168" s="22">
        <v>23454489</v>
      </c>
      <c r="B168" s="4">
        <v>28782564</v>
      </c>
      <c r="C168" s="4" t="str">
        <f t="shared" si="0"/>
        <v/>
      </c>
      <c r="D168" s="4" t="s">
        <v>302</v>
      </c>
    </row>
    <row r="169" spans="1:4" ht="15.75" customHeight="1">
      <c r="A169" s="22">
        <v>9864048</v>
      </c>
      <c r="B169" s="4">
        <v>22133730</v>
      </c>
      <c r="C169" s="4" t="str">
        <f t="shared" si="0"/>
        <v/>
      </c>
      <c r="D169" s="4" t="s">
        <v>302</v>
      </c>
    </row>
    <row r="170" spans="1:4" ht="15.75" customHeight="1">
      <c r="A170" s="22">
        <v>25255164</v>
      </c>
      <c r="B170" s="4">
        <v>18621409</v>
      </c>
      <c r="C170" s="4" t="str">
        <f t="shared" si="0"/>
        <v/>
      </c>
      <c r="D170" s="4" t="s">
        <v>302</v>
      </c>
    </row>
    <row r="171" spans="1:4" ht="15.75" customHeight="1">
      <c r="A171" s="22">
        <v>9465691</v>
      </c>
      <c r="B171" s="4">
        <v>34390240</v>
      </c>
      <c r="C171" s="4" t="str">
        <f t="shared" si="0"/>
        <v/>
      </c>
      <c r="D171" s="4" t="s">
        <v>302</v>
      </c>
    </row>
    <row r="172" spans="1:4" ht="15.75" customHeight="1">
      <c r="A172" s="22">
        <v>33378595</v>
      </c>
      <c r="B172" s="4">
        <v>26038958</v>
      </c>
      <c r="C172" s="4" t="str">
        <f t="shared" si="0"/>
        <v/>
      </c>
      <c r="D172" s="4" t="s">
        <v>302</v>
      </c>
    </row>
    <row r="173" spans="1:4" ht="15.75" customHeight="1">
      <c r="A173" s="22">
        <v>30842329</v>
      </c>
      <c r="B173" s="4">
        <v>11120923</v>
      </c>
      <c r="C173" s="4" t="str">
        <f t="shared" si="0"/>
        <v/>
      </c>
      <c r="D173" s="4" t="s">
        <v>302</v>
      </c>
    </row>
    <row r="174" spans="1:4" ht="15.75" customHeight="1">
      <c r="A174" s="22">
        <v>20838386</v>
      </c>
      <c r="B174" s="4">
        <v>7559960</v>
      </c>
      <c r="C174" s="4" t="str">
        <f t="shared" si="0"/>
        <v/>
      </c>
      <c r="D174" s="4" t="s">
        <v>302</v>
      </c>
    </row>
    <row r="175" spans="1:4" ht="15.75" customHeight="1">
      <c r="A175" s="22">
        <v>31063196</v>
      </c>
      <c r="B175" s="4">
        <v>9359710</v>
      </c>
      <c r="C175" s="4" t="str">
        <f t="shared" si="0"/>
        <v/>
      </c>
      <c r="D175" s="4" t="s">
        <v>302</v>
      </c>
    </row>
    <row r="176" spans="1:4" ht="15.75" customHeight="1">
      <c r="A176" s="22">
        <v>17951989</v>
      </c>
      <c r="B176" s="4">
        <v>7910837</v>
      </c>
      <c r="C176" s="4" t="str">
        <f t="shared" si="0"/>
        <v/>
      </c>
      <c r="D176" s="4" t="s">
        <v>302</v>
      </c>
    </row>
    <row r="177" spans="1:4" ht="15.75" customHeight="1">
      <c r="A177" s="22">
        <v>2169499</v>
      </c>
      <c r="B177" s="4">
        <v>17207644</v>
      </c>
      <c r="C177" s="4" t="str">
        <f t="shared" si="0"/>
        <v/>
      </c>
      <c r="D177" s="4" t="s">
        <v>302</v>
      </c>
    </row>
    <row r="178" spans="1:4" ht="15.75" customHeight="1">
      <c r="A178" s="22">
        <v>1661364</v>
      </c>
      <c r="B178" s="4">
        <v>20970670</v>
      </c>
      <c r="C178" s="4" t="str">
        <f t="shared" si="0"/>
        <v/>
      </c>
      <c r="D178" s="4" t="s">
        <v>302</v>
      </c>
    </row>
    <row r="179" spans="1:4" ht="15.75" customHeight="1">
      <c r="A179" s="22">
        <v>33910132</v>
      </c>
      <c r="B179" s="4">
        <v>27697585</v>
      </c>
      <c r="C179" s="4" t="str">
        <f t="shared" si="0"/>
        <v/>
      </c>
      <c r="D179" s="4" t="s">
        <v>302</v>
      </c>
    </row>
    <row r="180" spans="1:4" ht="15.75" customHeight="1">
      <c r="A180" s="22">
        <v>11774077</v>
      </c>
      <c r="B180" s="4">
        <v>18762520</v>
      </c>
      <c r="C180" s="4" t="str">
        <f t="shared" si="0"/>
        <v/>
      </c>
      <c r="D180" s="4" t="s">
        <v>302</v>
      </c>
    </row>
    <row r="181" spans="1:4" ht="15.75" customHeight="1">
      <c r="A181" s="22">
        <v>25462451</v>
      </c>
      <c r="B181" s="4">
        <v>28056415</v>
      </c>
      <c r="C181" s="4" t="str">
        <f t="shared" si="0"/>
        <v/>
      </c>
      <c r="D181" s="4" t="s">
        <v>302</v>
      </c>
    </row>
    <row r="182" spans="1:4" ht="15.75" customHeight="1">
      <c r="A182" s="22">
        <v>23391825</v>
      </c>
      <c r="B182" s="4">
        <v>15708999</v>
      </c>
      <c r="C182" s="4" t="str">
        <f t="shared" si="0"/>
        <v/>
      </c>
      <c r="D182" s="4" t="s">
        <v>302</v>
      </c>
    </row>
    <row r="183" spans="1:4" ht="15.75" customHeight="1">
      <c r="A183" s="22">
        <v>10097377</v>
      </c>
      <c r="B183" s="4">
        <v>9765424</v>
      </c>
      <c r="C183" s="4" t="str">
        <f t="shared" si="0"/>
        <v/>
      </c>
      <c r="D183" s="4" t="s">
        <v>302</v>
      </c>
    </row>
    <row r="184" spans="1:4" ht="15.75" customHeight="1">
      <c r="A184" s="22">
        <v>26458456</v>
      </c>
      <c r="B184" s="4">
        <v>10745266</v>
      </c>
      <c r="C184" s="4" t="str">
        <f t="shared" si="0"/>
        <v/>
      </c>
      <c r="D184" s="4" t="s">
        <v>302</v>
      </c>
    </row>
    <row r="185" spans="1:4" ht="15.75" customHeight="1">
      <c r="A185" s="22">
        <v>12097571</v>
      </c>
      <c r="B185" s="4">
        <v>24810656</v>
      </c>
      <c r="C185" s="4" t="str">
        <f t="shared" si="0"/>
        <v/>
      </c>
      <c r="D185" s="4" t="s">
        <v>302</v>
      </c>
    </row>
    <row r="186" spans="1:4" ht="15.75" customHeight="1">
      <c r="A186" s="22">
        <v>7681936</v>
      </c>
      <c r="B186" s="4">
        <v>12367753</v>
      </c>
      <c r="C186" s="4" t="str">
        <f t="shared" si="0"/>
        <v/>
      </c>
      <c r="D186" s="4" t="s">
        <v>302</v>
      </c>
    </row>
    <row r="187" spans="1:4" ht="15.75" customHeight="1">
      <c r="A187" s="22">
        <v>9365899</v>
      </c>
      <c r="B187" s="4">
        <v>11565077</v>
      </c>
      <c r="C187" s="4" t="str">
        <f t="shared" si="0"/>
        <v/>
      </c>
      <c r="D187" s="4" t="s">
        <v>302</v>
      </c>
    </row>
    <row r="188" spans="1:4" ht="15.75" customHeight="1">
      <c r="A188" s="22">
        <v>26761397</v>
      </c>
      <c r="B188" s="4">
        <v>36366483</v>
      </c>
      <c r="C188" s="4" t="str">
        <f t="shared" si="0"/>
        <v/>
      </c>
      <c r="D188" s="4" t="s">
        <v>302</v>
      </c>
    </row>
    <row r="189" spans="1:4" ht="15.75" customHeight="1">
      <c r="A189" s="22">
        <v>10568761</v>
      </c>
      <c r="B189" s="4">
        <v>36055520</v>
      </c>
      <c r="C189" s="4" t="str">
        <f t="shared" si="0"/>
        <v/>
      </c>
      <c r="D189" s="4" t="s">
        <v>302</v>
      </c>
    </row>
    <row r="190" spans="1:4" ht="15.75" customHeight="1">
      <c r="A190" s="22">
        <v>30359733</v>
      </c>
      <c r="B190" s="4">
        <v>9465691</v>
      </c>
      <c r="C190" s="4" t="str">
        <f t="shared" si="0"/>
        <v/>
      </c>
      <c r="D190" s="4" t="s">
        <v>302</v>
      </c>
    </row>
    <row r="191" spans="1:4" ht="15.75" customHeight="1">
      <c r="A191" s="22">
        <v>17276360</v>
      </c>
      <c r="B191" s="4">
        <v>23929317</v>
      </c>
      <c r="C191" s="4" t="str">
        <f t="shared" si="0"/>
        <v/>
      </c>
      <c r="D191" s="4" t="s">
        <v>302</v>
      </c>
    </row>
    <row r="192" spans="1:4" ht="15.75" customHeight="1">
      <c r="A192" s="22">
        <v>29862613</v>
      </c>
      <c r="B192" s="4">
        <v>17276364</v>
      </c>
      <c r="C192" s="4" t="str">
        <f t="shared" si="0"/>
        <v/>
      </c>
      <c r="D192" s="4" t="s">
        <v>302</v>
      </c>
    </row>
    <row r="193" spans="1:4" ht="15.75" customHeight="1">
      <c r="A193" s="22">
        <v>29494951</v>
      </c>
      <c r="B193" s="4">
        <v>33053448</v>
      </c>
      <c r="C193" s="4" t="str">
        <f t="shared" si="0"/>
        <v/>
      </c>
      <c r="D193" s="4" t="s">
        <v>302</v>
      </c>
    </row>
    <row r="194" spans="1:4" ht="15.75" customHeight="1">
      <c r="A194" s="22">
        <v>18855654</v>
      </c>
      <c r="B194" s="4">
        <v>17205485</v>
      </c>
      <c r="C194" s="4" t="str">
        <f t="shared" si="0"/>
        <v/>
      </c>
      <c r="D194" s="4" t="s">
        <v>302</v>
      </c>
    </row>
    <row r="195" spans="1:4" ht="15.75" customHeight="1">
      <c r="A195" s="22">
        <v>9847383</v>
      </c>
      <c r="B195" s="4">
        <v>11972099</v>
      </c>
      <c r="C195" s="4" t="str">
        <f t="shared" si="0"/>
        <v/>
      </c>
      <c r="D195" s="4" t="s">
        <v>302</v>
      </c>
    </row>
    <row r="196" spans="1:4" ht="15.75" customHeight="1">
      <c r="A196" s="22">
        <v>1652312</v>
      </c>
      <c r="B196" s="4">
        <v>35389547</v>
      </c>
      <c r="C196" s="4" t="str">
        <f t="shared" si="0"/>
        <v/>
      </c>
      <c r="D196" s="4" t="s">
        <v>302</v>
      </c>
    </row>
    <row r="197" spans="1:4" ht="15.75" customHeight="1">
      <c r="A197" s="22">
        <v>17334385</v>
      </c>
      <c r="B197" s="4">
        <v>21543487</v>
      </c>
      <c r="C197" s="4" t="str">
        <f t="shared" si="0"/>
        <v/>
      </c>
      <c r="D197" s="4" t="s">
        <v>302</v>
      </c>
    </row>
    <row r="198" spans="1:4" ht="15.75" customHeight="1">
      <c r="A198" s="22">
        <v>30031939</v>
      </c>
      <c r="B198" s="4">
        <v>28638124</v>
      </c>
      <c r="C198" s="4" t="str">
        <f t="shared" si="0"/>
        <v/>
      </c>
      <c r="D198" s="4" t="s">
        <v>302</v>
      </c>
    </row>
    <row r="199" spans="1:4" ht="15.75" customHeight="1">
      <c r="A199" s="22">
        <v>22886850</v>
      </c>
      <c r="B199" s="4">
        <v>1682676</v>
      </c>
      <c r="C199" s="4" t="str">
        <f t="shared" si="0"/>
        <v/>
      </c>
      <c r="D199" s="4" t="s">
        <v>302</v>
      </c>
    </row>
    <row r="200" spans="1:4" ht="15.75" customHeight="1">
      <c r="A200" s="22">
        <v>12552442</v>
      </c>
      <c r="B200" s="4">
        <v>23408849</v>
      </c>
      <c r="C200" s="4" t="str">
        <f t="shared" si="0"/>
        <v/>
      </c>
      <c r="D200" s="4" t="s">
        <v>302</v>
      </c>
    </row>
    <row r="201" spans="1:4" ht="15.75" customHeight="1">
      <c r="A201" s="22">
        <v>15483248</v>
      </c>
      <c r="B201" s="4">
        <v>27145489</v>
      </c>
      <c r="C201" s="4" t="str">
        <f t="shared" si="0"/>
        <v/>
      </c>
      <c r="D201" s="4" t="s">
        <v>302</v>
      </c>
    </row>
    <row r="202" spans="1:4" ht="15.75" customHeight="1">
      <c r="A202" s="22">
        <v>18428148</v>
      </c>
      <c r="B202" s="4">
        <v>12966551</v>
      </c>
      <c r="C202" s="4" t="str">
        <f t="shared" si="0"/>
        <v/>
      </c>
      <c r="D202" s="4" t="s">
        <v>302</v>
      </c>
    </row>
    <row r="203" spans="1:4" ht="15.75" customHeight="1">
      <c r="A203" s="22">
        <v>21849437</v>
      </c>
      <c r="B203" s="4">
        <v>8268822</v>
      </c>
      <c r="C203" s="4" t="str">
        <f t="shared" si="0"/>
        <v/>
      </c>
      <c r="D203" s="4" t="s">
        <v>302</v>
      </c>
    </row>
    <row r="204" spans="1:4" ht="15.75" customHeight="1">
      <c r="A204" s="22">
        <v>23669455</v>
      </c>
      <c r="B204" s="4">
        <v>8384028</v>
      </c>
      <c r="C204" s="4" t="str">
        <f t="shared" si="0"/>
        <v/>
      </c>
      <c r="D204" s="4" t="s">
        <v>302</v>
      </c>
    </row>
    <row r="205" spans="1:4" ht="15.75" customHeight="1">
      <c r="A205" s="22">
        <v>12210418</v>
      </c>
      <c r="B205" s="4">
        <v>34111575</v>
      </c>
      <c r="C205" s="4" t="str">
        <f t="shared" si="0"/>
        <v/>
      </c>
      <c r="D205" s="4" t="s">
        <v>302</v>
      </c>
    </row>
    <row r="206" spans="1:4" ht="15.75" customHeight="1">
      <c r="A206" s="22">
        <v>20872080</v>
      </c>
      <c r="B206" s="4">
        <v>31521763</v>
      </c>
      <c r="C206" s="4" t="str">
        <f t="shared" si="0"/>
        <v/>
      </c>
      <c r="D206" s="4" t="s">
        <v>302</v>
      </c>
    </row>
    <row r="207" spans="1:4" ht="15.75" customHeight="1">
      <c r="A207" s="22">
        <v>16183328</v>
      </c>
      <c r="B207" s="4">
        <v>11391342</v>
      </c>
      <c r="C207" s="4" t="str">
        <f t="shared" si="0"/>
        <v/>
      </c>
      <c r="D207" s="4" t="s">
        <v>302</v>
      </c>
    </row>
    <row r="208" spans="1:4" ht="15.75" customHeight="1">
      <c r="A208" s="22">
        <v>26489402</v>
      </c>
      <c r="B208" s="4">
        <v>16518751</v>
      </c>
      <c r="C208" s="4" t="str">
        <f t="shared" si="0"/>
        <v/>
      </c>
      <c r="D208" s="4" t="s">
        <v>302</v>
      </c>
    </row>
    <row r="209" spans="1:4" ht="15.75" customHeight="1">
      <c r="A209" s="22">
        <v>20863544</v>
      </c>
      <c r="B209" s="4">
        <v>12068008</v>
      </c>
      <c r="C209" s="4" t="str">
        <f t="shared" si="0"/>
        <v/>
      </c>
      <c r="D209" s="4" t="s">
        <v>302</v>
      </c>
    </row>
    <row r="210" spans="1:4" ht="15.75" customHeight="1">
      <c r="A210" s="22">
        <v>26241219</v>
      </c>
      <c r="B210" s="4">
        <v>28081700</v>
      </c>
      <c r="C210" s="4" t="str">
        <f t="shared" si="0"/>
        <v/>
      </c>
      <c r="D210" s="4" t="s">
        <v>302</v>
      </c>
    </row>
    <row r="211" spans="1:4" ht="15.75" customHeight="1">
      <c r="A211" s="22">
        <v>21287317</v>
      </c>
      <c r="B211" s="4">
        <v>20872717</v>
      </c>
      <c r="C211" s="4" t="str">
        <f t="shared" si="0"/>
        <v/>
      </c>
      <c r="D211" s="4" t="s">
        <v>302</v>
      </c>
    </row>
    <row r="212" spans="1:4" ht="15.75" customHeight="1">
      <c r="A212" s="22">
        <v>31678540</v>
      </c>
      <c r="B212" s="4">
        <v>35802798</v>
      </c>
      <c r="C212" s="4" t="str">
        <f t="shared" si="0"/>
        <v/>
      </c>
      <c r="D212" s="4" t="s">
        <v>302</v>
      </c>
    </row>
    <row r="213" spans="1:4" ht="15.75" customHeight="1">
      <c r="A213" s="22">
        <v>27145489</v>
      </c>
      <c r="B213" s="4">
        <v>34083146</v>
      </c>
      <c r="C213" s="4" t="str">
        <f t="shared" si="0"/>
        <v/>
      </c>
      <c r="D213" s="4" t="s">
        <v>302</v>
      </c>
    </row>
    <row r="214" spans="1:4" ht="15.75" customHeight="1">
      <c r="A214" s="22">
        <v>29684567</v>
      </c>
      <c r="B214" s="4">
        <v>18712834</v>
      </c>
      <c r="C214" s="4" t="str">
        <f t="shared" si="0"/>
        <v/>
      </c>
      <c r="D214" s="4" t="s">
        <v>302</v>
      </c>
    </row>
    <row r="215" spans="1:4" ht="15.75" customHeight="1">
      <c r="A215" s="22">
        <v>8180402</v>
      </c>
      <c r="B215" s="4">
        <v>16477222</v>
      </c>
      <c r="C215" s="4" t="str">
        <f t="shared" si="0"/>
        <v/>
      </c>
      <c r="D215" s="4" t="s">
        <v>302</v>
      </c>
    </row>
    <row r="216" spans="1:4" ht="15.75" customHeight="1">
      <c r="A216" s="22">
        <v>11035370</v>
      </c>
      <c r="B216" s="4">
        <v>1693942</v>
      </c>
      <c r="C216" s="4" t="str">
        <f t="shared" si="0"/>
        <v/>
      </c>
      <c r="D216" s="4" t="s">
        <v>302</v>
      </c>
    </row>
    <row r="217" spans="1:4" ht="15.75" customHeight="1">
      <c r="A217" s="22">
        <v>25346365</v>
      </c>
      <c r="B217" s="4">
        <v>8738179</v>
      </c>
      <c r="C217" s="4" t="str">
        <f t="shared" si="0"/>
        <v/>
      </c>
      <c r="D217" s="4" t="s">
        <v>302</v>
      </c>
    </row>
    <row r="218" spans="1:4" ht="15.75" customHeight="1">
      <c r="A218" s="22">
        <v>8884365</v>
      </c>
      <c r="B218" s="4">
        <v>16300835</v>
      </c>
      <c r="C218" s="4" t="str">
        <f t="shared" si="0"/>
        <v/>
      </c>
      <c r="D218" s="4" t="s">
        <v>302</v>
      </c>
    </row>
    <row r="219" spans="1:4" ht="15.75" customHeight="1">
      <c r="A219" s="22">
        <v>24829249</v>
      </c>
      <c r="B219" s="4">
        <v>23055929</v>
      </c>
      <c r="C219" s="4" t="str">
        <f t="shared" si="0"/>
        <v/>
      </c>
      <c r="D219" s="4" t="s">
        <v>302</v>
      </c>
    </row>
    <row r="220" spans="1:4" ht="15.75" customHeight="1">
      <c r="A220" s="22">
        <v>35062266</v>
      </c>
      <c r="B220" s="4">
        <v>27244446</v>
      </c>
      <c r="C220" s="4" t="str">
        <f t="shared" si="0"/>
        <v/>
      </c>
      <c r="D220" s="4" t="s">
        <v>302</v>
      </c>
    </row>
    <row r="221" spans="1:4" ht="15.75" customHeight="1">
      <c r="A221" s="22">
        <v>16162481</v>
      </c>
      <c r="B221" s="4">
        <v>32439137</v>
      </c>
      <c r="C221" s="4" t="str">
        <f t="shared" si="0"/>
        <v/>
      </c>
      <c r="D221" s="4" t="s">
        <v>302</v>
      </c>
    </row>
    <row r="222" spans="1:4" ht="15.75" customHeight="1">
      <c r="A222" s="22">
        <v>7889017</v>
      </c>
      <c r="B222" s="4">
        <v>19100443</v>
      </c>
      <c r="C222" s="4" t="str">
        <f t="shared" si="0"/>
        <v/>
      </c>
      <c r="D222" s="4" t="s">
        <v>302</v>
      </c>
    </row>
    <row r="223" spans="1:4" ht="15.75" customHeight="1">
      <c r="A223" s="22">
        <v>16333831</v>
      </c>
      <c r="B223" s="4">
        <v>7687301</v>
      </c>
      <c r="C223" s="4" t="str">
        <f t="shared" si="0"/>
        <v/>
      </c>
      <c r="D223" s="4" t="s">
        <v>302</v>
      </c>
    </row>
    <row r="224" spans="1:4" ht="15.75" customHeight="1">
      <c r="A224" s="22">
        <v>26518057</v>
      </c>
      <c r="B224" s="4">
        <v>33713461</v>
      </c>
      <c r="C224" s="4" t="str">
        <f t="shared" si="0"/>
        <v/>
      </c>
      <c r="D224" s="4" t="s">
        <v>302</v>
      </c>
    </row>
    <row r="225" spans="1:4" ht="15.75" customHeight="1">
      <c r="A225" s="22">
        <v>26888901</v>
      </c>
      <c r="B225" s="4">
        <v>19920774</v>
      </c>
      <c r="C225" s="4" t="str">
        <f t="shared" si="0"/>
        <v/>
      </c>
      <c r="D225" s="4" t="s">
        <v>302</v>
      </c>
    </row>
    <row r="226" spans="1:4" ht="15.75" customHeight="1">
      <c r="A226" s="22">
        <v>18762520</v>
      </c>
      <c r="B226" s="4">
        <v>1677024</v>
      </c>
      <c r="C226" s="4" t="str">
        <f t="shared" si="0"/>
        <v/>
      </c>
      <c r="D226" s="4" t="s">
        <v>302</v>
      </c>
    </row>
    <row r="227" spans="1:4" ht="15.75" customHeight="1">
      <c r="A227" s="22">
        <v>20459723</v>
      </c>
      <c r="B227" s="4">
        <v>8750269</v>
      </c>
      <c r="C227" s="4" t="str">
        <f t="shared" si="0"/>
        <v/>
      </c>
      <c r="D227" s="4" t="s">
        <v>302</v>
      </c>
    </row>
    <row r="228" spans="1:4" ht="15.75" customHeight="1">
      <c r="A228" s="22">
        <v>7888069</v>
      </c>
      <c r="B228" s="4">
        <v>30842329</v>
      </c>
      <c r="C228" s="4" t="str">
        <f t="shared" si="0"/>
        <v/>
      </c>
      <c r="D228" s="4" t="s">
        <v>302</v>
      </c>
    </row>
    <row r="229" spans="1:4" ht="15.75" customHeight="1">
      <c r="A229" s="22">
        <v>22093262</v>
      </c>
      <c r="B229" s="4">
        <v>30060604</v>
      </c>
      <c r="C229" s="4" t="str">
        <f t="shared" si="0"/>
        <v/>
      </c>
      <c r="D229" s="4" t="s">
        <v>302</v>
      </c>
    </row>
    <row r="230" spans="1:4" ht="15.75" customHeight="1">
      <c r="A230" s="22">
        <v>24594780</v>
      </c>
      <c r="B230" s="4">
        <v>24006442</v>
      </c>
      <c r="C230" s="4" t="str">
        <f t="shared" si="0"/>
        <v/>
      </c>
      <c r="D230" s="4" t="s">
        <v>302</v>
      </c>
    </row>
    <row r="231" spans="1:4" ht="15.75" customHeight="1">
      <c r="A231" s="22">
        <v>8397282</v>
      </c>
      <c r="B231" s="4">
        <v>16417932</v>
      </c>
      <c r="C231" s="4" t="str">
        <f t="shared" si="0"/>
        <v/>
      </c>
      <c r="D231" s="4" t="s">
        <v>302</v>
      </c>
    </row>
    <row r="232" spans="1:4" ht="15.75" customHeight="1">
      <c r="A232" s="22">
        <v>17977973</v>
      </c>
      <c r="B232" s="4">
        <v>18433408</v>
      </c>
      <c r="C232" s="4" t="str">
        <f t="shared" si="0"/>
        <v/>
      </c>
      <c r="D232" s="4" t="s">
        <v>302</v>
      </c>
    </row>
    <row r="233" spans="1:4" ht="15.75" customHeight="1">
      <c r="A233" s="22">
        <v>31421950</v>
      </c>
      <c r="B233" s="4">
        <v>15196082</v>
      </c>
      <c r="C233" s="4" t="str">
        <f t="shared" si="0"/>
        <v/>
      </c>
      <c r="D233" s="4" t="s">
        <v>302</v>
      </c>
    </row>
    <row r="234" spans="1:4" ht="15.75" customHeight="1">
      <c r="A234" s="22">
        <v>22576078</v>
      </c>
      <c r="B234" s="4">
        <v>12580952</v>
      </c>
      <c r="C234" s="4" t="str">
        <f t="shared" si="0"/>
        <v/>
      </c>
      <c r="D234" s="4" t="s">
        <v>302</v>
      </c>
    </row>
    <row r="235" spans="1:4" ht="15.75" customHeight="1">
      <c r="A235" s="22">
        <v>23769070</v>
      </c>
      <c r="B235" s="4">
        <v>30418598</v>
      </c>
      <c r="C235" s="4" t="str">
        <f t="shared" si="0"/>
        <v/>
      </c>
      <c r="D235" s="4" t="s">
        <v>302</v>
      </c>
    </row>
    <row r="236" spans="1:4" ht="15.75" customHeight="1">
      <c r="A236" s="22">
        <v>19144370</v>
      </c>
      <c r="B236" s="4">
        <v>1649319</v>
      </c>
      <c r="C236" s="4" t="str">
        <f t="shared" si="0"/>
        <v/>
      </c>
      <c r="D236" s="4" t="s">
        <v>302</v>
      </c>
    </row>
    <row r="237" spans="1:4" ht="15.75" customHeight="1">
      <c r="A237" s="22">
        <v>11049767</v>
      </c>
      <c r="B237" s="4">
        <v>21064150</v>
      </c>
      <c r="C237" s="4" t="str">
        <f t="shared" si="0"/>
        <v/>
      </c>
      <c r="D237" s="4" t="s">
        <v>302</v>
      </c>
    </row>
    <row r="238" spans="1:4" ht="15.75" customHeight="1">
      <c r="A238" s="22">
        <v>26476073</v>
      </c>
      <c r="B238" s="4">
        <v>22886850</v>
      </c>
      <c r="C238" s="4" t="str">
        <f t="shared" si="0"/>
        <v/>
      </c>
      <c r="D238" s="4" t="s">
        <v>302</v>
      </c>
    </row>
    <row r="239" spans="1:4" ht="15.75" customHeight="1">
      <c r="A239" s="22">
        <v>22133730</v>
      </c>
      <c r="B239" s="4">
        <v>10377191</v>
      </c>
      <c r="C239" s="4" t="str">
        <f t="shared" si="0"/>
        <v/>
      </c>
      <c r="D239" s="4" t="s">
        <v>302</v>
      </c>
    </row>
    <row r="240" spans="1:4" ht="15.75" customHeight="1">
      <c r="A240" s="22">
        <v>11512080</v>
      </c>
      <c r="B240" s="4">
        <v>25122795</v>
      </c>
      <c r="C240" s="4" t="str">
        <f t="shared" si="0"/>
        <v/>
      </c>
      <c r="D240" s="4" t="s">
        <v>302</v>
      </c>
    </row>
    <row r="241" spans="1:4" ht="15.75" customHeight="1">
      <c r="A241" s="22">
        <v>27367597</v>
      </c>
      <c r="B241" s="4">
        <v>34973500</v>
      </c>
      <c r="C241" s="4" t="str">
        <f t="shared" si="0"/>
        <v/>
      </c>
      <c r="D241" s="4" t="s">
        <v>302</v>
      </c>
    </row>
    <row r="242" spans="1:4" ht="15.75" customHeight="1">
      <c r="A242" s="22">
        <v>17637686</v>
      </c>
      <c r="B242" s="4">
        <v>27076241</v>
      </c>
      <c r="C242" s="4" t="str">
        <f t="shared" si="0"/>
        <v/>
      </c>
      <c r="D242" s="4" t="s">
        <v>302</v>
      </c>
    </row>
    <row r="243" spans="1:4" ht="15.75" customHeight="1">
      <c r="A243" s="22">
        <v>17147913</v>
      </c>
      <c r="B243" s="4">
        <v>17376932</v>
      </c>
      <c r="C243" s="4" t="str">
        <f t="shared" si="0"/>
        <v/>
      </c>
      <c r="D243" s="4" t="s">
        <v>302</v>
      </c>
    </row>
    <row r="244" spans="1:4" ht="15.75" customHeight="1">
      <c r="A244" s="22">
        <v>29316259</v>
      </c>
      <c r="B244" s="4">
        <v>9060695</v>
      </c>
      <c r="C244" s="4" t="str">
        <f t="shared" si="0"/>
        <v/>
      </c>
      <c r="D244" s="4" t="s">
        <v>302</v>
      </c>
    </row>
    <row r="245" spans="1:4" ht="15.75" customHeight="1">
      <c r="A245" s="22">
        <v>8824991</v>
      </c>
      <c r="B245" s="4">
        <v>23152545</v>
      </c>
      <c r="C245" s="4" t="str">
        <f t="shared" si="0"/>
        <v/>
      </c>
      <c r="D245" s="4" t="s">
        <v>302</v>
      </c>
    </row>
    <row r="246" spans="1:4" ht="15.75" customHeight="1">
      <c r="A246" s="22">
        <v>11049765</v>
      </c>
      <c r="B246" s="4">
        <v>7681936</v>
      </c>
      <c r="C246" s="4" t="str">
        <f t="shared" si="0"/>
        <v/>
      </c>
      <c r="D246" s="4" t="s">
        <v>302</v>
      </c>
    </row>
    <row r="247" spans="1:4" ht="15.75" customHeight="1">
      <c r="A247" s="22">
        <v>20005968</v>
      </c>
      <c r="B247" s="4">
        <v>24013234</v>
      </c>
      <c r="C247" s="4" t="str">
        <f t="shared" si="0"/>
        <v/>
      </c>
      <c r="D247" s="4" t="s">
        <v>302</v>
      </c>
    </row>
    <row r="248" spans="1:4" ht="15.75" customHeight="1">
      <c r="A248" s="22">
        <v>27703035</v>
      </c>
      <c r="B248" s="4">
        <v>8601223</v>
      </c>
      <c r="C248" s="4" t="str">
        <f t="shared" si="0"/>
        <v/>
      </c>
      <c r="D248" s="4" t="s">
        <v>302</v>
      </c>
    </row>
    <row r="249" spans="1:4" ht="15.75" customHeight="1">
      <c r="A249" s="22">
        <v>11979309</v>
      </c>
      <c r="B249" s="4">
        <v>30844089</v>
      </c>
      <c r="C249" s="4" t="str">
        <f t="shared" si="0"/>
        <v/>
      </c>
      <c r="D249" s="4" t="s">
        <v>302</v>
      </c>
    </row>
    <row r="250" spans="1:4" ht="15.75" customHeight="1">
      <c r="A250" s="22">
        <v>18712834</v>
      </c>
      <c r="B250" s="4">
        <v>25971271</v>
      </c>
      <c r="C250" s="4" t="str">
        <f t="shared" si="0"/>
        <v/>
      </c>
      <c r="D250" s="4" t="s">
        <v>302</v>
      </c>
    </row>
    <row r="251" spans="1:4" ht="15.75" customHeight="1">
      <c r="A251" s="22">
        <v>10998432</v>
      </c>
      <c r="B251" s="4">
        <v>26458456</v>
      </c>
      <c r="C251" s="4" t="str">
        <f t="shared" si="0"/>
        <v/>
      </c>
      <c r="D251" s="4" t="s">
        <v>302</v>
      </c>
    </row>
    <row r="252" spans="1:4" ht="15.75" customHeight="1">
      <c r="A252" s="22">
        <v>20053742</v>
      </c>
      <c r="B252" s="4">
        <v>9603340</v>
      </c>
      <c r="C252" s="4" t="str">
        <f t="shared" si="0"/>
        <v/>
      </c>
      <c r="D252" s="4" t="s">
        <v>302</v>
      </c>
    </row>
    <row r="253" spans="1:4" ht="15.75" customHeight="1">
      <c r="A253" s="22">
        <v>23929317</v>
      </c>
      <c r="B253" s="4">
        <v>14744020</v>
      </c>
      <c r="C253" s="4" t="str">
        <f t="shared" si="0"/>
        <v/>
      </c>
      <c r="D253" s="4" t="s">
        <v>302</v>
      </c>
    </row>
    <row r="254" spans="1:4" ht="15.75" customHeight="1">
      <c r="A254" s="22">
        <v>16187619</v>
      </c>
      <c r="B254" s="4">
        <v>17516391</v>
      </c>
      <c r="C254" s="4" t="str">
        <f t="shared" si="0"/>
        <v/>
      </c>
      <c r="D254" s="4" t="s">
        <v>302</v>
      </c>
    </row>
    <row r="255" spans="1:4" ht="15.75" customHeight="1">
      <c r="A255" s="22">
        <v>26038958</v>
      </c>
      <c r="B255" s="4">
        <v>26121112</v>
      </c>
      <c r="C255" s="4" t="str">
        <f t="shared" si="0"/>
        <v/>
      </c>
      <c r="D255" s="4" t="s">
        <v>302</v>
      </c>
    </row>
    <row r="256" spans="1:4" ht="15.75" customHeight="1">
      <c r="A256" s="22">
        <v>31579937</v>
      </c>
      <c r="B256" s="4">
        <v>7645258</v>
      </c>
      <c r="C256" s="4" t="str">
        <f t="shared" si="0"/>
        <v/>
      </c>
      <c r="D256" s="4" t="s">
        <v>302</v>
      </c>
    </row>
    <row r="257" spans="1:4" ht="15.75" customHeight="1">
      <c r="A257" s="22">
        <v>22201827</v>
      </c>
      <c r="B257" s="4">
        <v>7626174</v>
      </c>
      <c r="C257" s="4" t="str">
        <f t="shared" ref="C257:C511" si="2">IFERROR(IF(MATCH(A257,B:B,0)&gt;0,""),A257)</f>
        <v/>
      </c>
      <c r="D257" s="4" t="s">
        <v>302</v>
      </c>
    </row>
    <row r="258" spans="1:4" ht="15.75" customHeight="1">
      <c r="A258" s="22">
        <v>32428994</v>
      </c>
      <c r="B258" s="4">
        <v>19898212</v>
      </c>
      <c r="C258" s="4" t="str">
        <f t="shared" si="2"/>
        <v/>
      </c>
      <c r="D258" s="4" t="s">
        <v>302</v>
      </c>
    </row>
    <row r="259" spans="1:4" ht="15.75" customHeight="1">
      <c r="A259" s="22">
        <v>26209402</v>
      </c>
      <c r="B259" s="4">
        <v>7638436</v>
      </c>
      <c r="C259" s="4" t="str">
        <f t="shared" si="2"/>
        <v/>
      </c>
      <c r="D259" s="4" t="s">
        <v>302</v>
      </c>
    </row>
    <row r="260" spans="1:4" ht="15.75" customHeight="1">
      <c r="A260" s="22">
        <v>20404187</v>
      </c>
      <c r="B260" s="4">
        <v>17172120</v>
      </c>
      <c r="C260" s="4" t="str">
        <f t="shared" si="2"/>
        <v/>
      </c>
      <c r="D260" s="4" t="s">
        <v>302</v>
      </c>
    </row>
    <row r="261" spans="1:4" ht="15.75" customHeight="1">
      <c r="A261" s="22">
        <v>8388898</v>
      </c>
      <c r="B261" s="4">
        <v>29491155</v>
      </c>
      <c r="C261" s="4" t="str">
        <f t="shared" si="2"/>
        <v/>
      </c>
      <c r="D261" s="4" t="s">
        <v>302</v>
      </c>
    </row>
    <row r="262" spans="1:4" ht="15.75" customHeight="1">
      <c r="A262" s="22">
        <v>24658548</v>
      </c>
      <c r="B262" s="4">
        <v>12951217</v>
      </c>
      <c r="C262" s="4" t="str">
        <f t="shared" si="2"/>
        <v/>
      </c>
      <c r="D262" s="4" t="s">
        <v>302</v>
      </c>
    </row>
    <row r="263" spans="1:4" ht="15.75" customHeight="1">
      <c r="A263" s="22">
        <v>19505844</v>
      </c>
      <c r="B263" s="4">
        <v>25346365</v>
      </c>
      <c r="C263" s="4" t="str">
        <f t="shared" si="2"/>
        <v/>
      </c>
      <c r="D263" s="4" t="s">
        <v>302</v>
      </c>
    </row>
    <row r="264" spans="1:4" ht="15.75" customHeight="1">
      <c r="A264" s="22">
        <v>15327521</v>
      </c>
      <c r="B264" s="4">
        <v>22701693</v>
      </c>
      <c r="C264" s="4" t="str">
        <f t="shared" si="2"/>
        <v/>
      </c>
      <c r="D264" s="4" t="s">
        <v>302</v>
      </c>
    </row>
    <row r="265" spans="1:4" ht="15.75" customHeight="1">
      <c r="A265" s="22">
        <v>27344170</v>
      </c>
      <c r="B265" s="4">
        <v>18952495</v>
      </c>
      <c r="C265" s="4" t="str">
        <f t="shared" si="2"/>
        <v/>
      </c>
      <c r="D265" s="4" t="s">
        <v>302</v>
      </c>
    </row>
    <row r="266" spans="1:4" ht="15.75" customHeight="1">
      <c r="A266" s="22">
        <v>32424944</v>
      </c>
      <c r="B266" s="4">
        <v>20211581</v>
      </c>
      <c r="C266" s="4" t="str">
        <f t="shared" si="2"/>
        <v/>
      </c>
      <c r="D266" s="4" t="s">
        <v>302</v>
      </c>
    </row>
    <row r="267" spans="1:4" ht="15.75" customHeight="1">
      <c r="A267" s="22">
        <v>16518751</v>
      </c>
      <c r="B267" s="4">
        <v>15164383</v>
      </c>
      <c r="C267" s="4" t="str">
        <f t="shared" si="2"/>
        <v/>
      </c>
      <c r="D267" s="4" t="s">
        <v>302</v>
      </c>
    </row>
    <row r="268" spans="1:4" ht="15.75" customHeight="1">
      <c r="A268" s="22">
        <v>23514960</v>
      </c>
      <c r="B268" s="4">
        <v>18489054</v>
      </c>
      <c r="C268" s="4" t="str">
        <f t="shared" si="2"/>
        <v/>
      </c>
      <c r="D268" s="4" t="s">
        <v>302</v>
      </c>
    </row>
    <row r="269" spans="1:4" ht="15.75" customHeight="1">
      <c r="A269" s="22">
        <v>17207644</v>
      </c>
      <c r="B269" s="4">
        <v>30067953</v>
      </c>
      <c r="C269" s="4" t="str">
        <f t="shared" si="2"/>
        <v/>
      </c>
      <c r="D269" s="4" t="s">
        <v>302</v>
      </c>
    </row>
    <row r="270" spans="1:4" ht="15.75" customHeight="1">
      <c r="A270" s="22">
        <v>25691643</v>
      </c>
      <c r="B270" s="4">
        <v>23526966</v>
      </c>
      <c r="C270" s="4" t="str">
        <f t="shared" si="2"/>
        <v/>
      </c>
      <c r="D270" s="4" t="s">
        <v>302</v>
      </c>
    </row>
    <row r="271" spans="1:4" ht="15.75" customHeight="1">
      <c r="A271" s="22">
        <v>21543487</v>
      </c>
      <c r="B271" s="4">
        <v>26945690</v>
      </c>
      <c r="C271" s="4" t="str">
        <f t="shared" si="2"/>
        <v/>
      </c>
      <c r="D271" s="4" t="s">
        <v>302</v>
      </c>
    </row>
    <row r="272" spans="1:4" ht="15.75" customHeight="1">
      <c r="A272" s="22">
        <v>21254895</v>
      </c>
      <c r="B272" s="4">
        <v>2161152</v>
      </c>
      <c r="C272" s="4" t="str">
        <f t="shared" si="2"/>
        <v/>
      </c>
      <c r="D272" s="4" t="s">
        <v>302</v>
      </c>
    </row>
    <row r="273" spans="1:4" ht="15.75" customHeight="1">
      <c r="A273" s="22">
        <v>22647694</v>
      </c>
      <c r="B273" s="4">
        <v>9746806</v>
      </c>
      <c r="C273" s="4" t="str">
        <f t="shared" si="2"/>
        <v/>
      </c>
      <c r="D273" s="4" t="s">
        <v>302</v>
      </c>
    </row>
    <row r="274" spans="1:4" ht="15.75" customHeight="1">
      <c r="A274" s="22">
        <v>20970670</v>
      </c>
      <c r="B274" s="4">
        <v>15815044</v>
      </c>
      <c r="C274" s="4" t="str">
        <f t="shared" si="2"/>
        <v/>
      </c>
      <c r="D274" s="4" t="s">
        <v>302</v>
      </c>
    </row>
    <row r="275" spans="1:4" ht="15.75" customHeight="1">
      <c r="A275" s="22">
        <v>17075280</v>
      </c>
      <c r="B275" s="4">
        <v>21538037</v>
      </c>
      <c r="C275" s="4" t="str">
        <f t="shared" si="2"/>
        <v/>
      </c>
      <c r="D275" s="4" t="s">
        <v>302</v>
      </c>
    </row>
    <row r="276" spans="1:4" ht="15.75" customHeight="1">
      <c r="A276" s="22">
        <v>10400183</v>
      </c>
      <c r="B276" s="4">
        <v>2573513</v>
      </c>
      <c r="C276" s="4" t="str">
        <f t="shared" si="2"/>
        <v/>
      </c>
      <c r="D276" s="4" t="s">
        <v>302</v>
      </c>
    </row>
    <row r="277" spans="1:4" ht="15.75" customHeight="1">
      <c r="A277" s="22">
        <v>20138915</v>
      </c>
      <c r="B277" s="4">
        <v>26761397</v>
      </c>
      <c r="C277" s="4" t="str">
        <f t="shared" si="2"/>
        <v/>
      </c>
      <c r="D277" s="4" t="s">
        <v>302</v>
      </c>
    </row>
    <row r="278" spans="1:4" ht="15.75" customHeight="1">
      <c r="A278" s="22">
        <v>10745266</v>
      </c>
      <c r="B278" s="4">
        <v>37559456</v>
      </c>
      <c r="C278" s="4" t="str">
        <f t="shared" si="2"/>
        <v/>
      </c>
      <c r="D278" s="4" t="s">
        <v>302</v>
      </c>
    </row>
    <row r="279" spans="1:4" ht="15.75" customHeight="1">
      <c r="A279" s="22">
        <v>12477249</v>
      </c>
      <c r="B279" s="4">
        <v>10482553</v>
      </c>
      <c r="C279" s="4" t="str">
        <f t="shared" si="2"/>
        <v/>
      </c>
      <c r="D279" s="4" t="s">
        <v>302</v>
      </c>
    </row>
    <row r="280" spans="1:4" ht="15.75" customHeight="1">
      <c r="A280" s="22">
        <v>18695326</v>
      </c>
      <c r="B280" s="4">
        <v>10836387</v>
      </c>
      <c r="C280" s="4" t="str">
        <f t="shared" si="2"/>
        <v/>
      </c>
      <c r="D280" s="4" t="s">
        <v>302</v>
      </c>
    </row>
    <row r="281" spans="1:4" ht="15.75" customHeight="1">
      <c r="A281" s="22">
        <v>9920848</v>
      </c>
      <c r="B281" s="4">
        <v>1661364</v>
      </c>
      <c r="C281" s="4" t="str">
        <f t="shared" si="2"/>
        <v/>
      </c>
      <c r="D281" s="4" t="s">
        <v>302</v>
      </c>
    </row>
    <row r="282" spans="1:4" ht="15.75" customHeight="1">
      <c r="A282" s="22">
        <v>1311135</v>
      </c>
      <c r="B282" s="4">
        <v>11753554</v>
      </c>
      <c r="C282" s="4" t="str">
        <f t="shared" si="2"/>
        <v/>
      </c>
      <c r="D282" s="4" t="s">
        <v>302</v>
      </c>
    </row>
    <row r="283" spans="1:4" ht="15.75" customHeight="1">
      <c r="A283" s="22">
        <v>12367753</v>
      </c>
      <c r="B283" s="4">
        <v>16541415</v>
      </c>
      <c r="C283" s="4" t="str">
        <f t="shared" si="2"/>
        <v/>
      </c>
      <c r="D283" s="4" t="s">
        <v>302</v>
      </c>
    </row>
    <row r="284" spans="1:4" ht="15.75" customHeight="1">
      <c r="A284" s="22">
        <v>18512026</v>
      </c>
      <c r="B284" s="4">
        <v>8815100</v>
      </c>
      <c r="C284" s="4" t="str">
        <f t="shared" si="2"/>
        <v/>
      </c>
      <c r="D284" s="4" t="s">
        <v>302</v>
      </c>
    </row>
    <row r="285" spans="1:4" ht="15.75" customHeight="1">
      <c r="A285" s="22">
        <v>11876972</v>
      </c>
      <c r="B285" s="4">
        <v>9645656</v>
      </c>
      <c r="C285" s="4" t="str">
        <f t="shared" si="2"/>
        <v/>
      </c>
      <c r="D285" s="4" t="s">
        <v>302</v>
      </c>
    </row>
    <row r="286" spans="1:4" ht="15.75" customHeight="1">
      <c r="A286" s="22">
        <v>10765058</v>
      </c>
      <c r="B286" s="4">
        <v>17147913</v>
      </c>
      <c r="C286" s="4" t="str">
        <f t="shared" si="2"/>
        <v/>
      </c>
      <c r="D286" s="4" t="s">
        <v>302</v>
      </c>
    </row>
    <row r="287" spans="1:4" ht="15.75" customHeight="1">
      <c r="A287" s="22">
        <v>20872717</v>
      </c>
      <c r="B287" s="4">
        <v>9365899</v>
      </c>
      <c r="C287" s="4" t="str">
        <f t="shared" si="2"/>
        <v/>
      </c>
      <c r="D287" s="4" t="s">
        <v>302</v>
      </c>
    </row>
    <row r="288" spans="1:4" ht="15.75" customHeight="1">
      <c r="A288" s="22">
        <v>19153640</v>
      </c>
      <c r="B288" s="4">
        <v>31063196</v>
      </c>
      <c r="C288" s="4" t="str">
        <f t="shared" si="2"/>
        <v/>
      </c>
      <c r="D288" s="4" t="s">
        <v>302</v>
      </c>
    </row>
    <row r="289" spans="1:4" ht="15.75" customHeight="1">
      <c r="A289" s="22">
        <v>23674671</v>
      </c>
      <c r="B289" s="4">
        <v>9639435</v>
      </c>
      <c r="C289" s="4" t="str">
        <f t="shared" si="2"/>
        <v/>
      </c>
      <c r="D289" s="4" t="s">
        <v>302</v>
      </c>
    </row>
    <row r="290" spans="1:4" ht="15.75" customHeight="1">
      <c r="A290" s="22">
        <v>17958914</v>
      </c>
      <c r="B290" s="4">
        <v>20863544</v>
      </c>
      <c r="C290" s="4" t="str">
        <f t="shared" si="2"/>
        <v/>
      </c>
      <c r="D290" s="4" t="s">
        <v>302</v>
      </c>
    </row>
    <row r="291" spans="1:4" ht="15.75" customHeight="1">
      <c r="A291" s="22">
        <v>16477222</v>
      </c>
      <c r="B291" s="4">
        <v>9770435</v>
      </c>
      <c r="C291" s="4" t="str">
        <f t="shared" si="2"/>
        <v/>
      </c>
      <c r="D291" s="4" t="s">
        <v>302</v>
      </c>
    </row>
    <row r="292" spans="1:4" ht="15.75" customHeight="1">
      <c r="A292" s="22">
        <v>17276364</v>
      </c>
      <c r="B292" s="4">
        <v>9920848</v>
      </c>
      <c r="C292" s="4" t="str">
        <f t="shared" si="2"/>
        <v/>
      </c>
      <c r="D292" s="4" t="s">
        <v>302</v>
      </c>
    </row>
    <row r="293" spans="1:4" ht="15.75" customHeight="1">
      <c r="A293" s="22">
        <v>1649319</v>
      </c>
      <c r="B293" s="4">
        <v>35062266</v>
      </c>
      <c r="C293" s="4" t="str">
        <f t="shared" si="2"/>
        <v/>
      </c>
      <c r="D293" s="4" t="s">
        <v>302</v>
      </c>
    </row>
    <row r="294" spans="1:4" ht="15.75" customHeight="1">
      <c r="A294" s="22">
        <v>10558965</v>
      </c>
      <c r="B294" s="4">
        <v>15543581</v>
      </c>
      <c r="C294" s="4" t="str">
        <f t="shared" si="2"/>
        <v/>
      </c>
      <c r="D294" s="4" t="s">
        <v>302</v>
      </c>
    </row>
    <row r="295" spans="1:4" ht="15.75" customHeight="1">
      <c r="A295" s="22">
        <v>17276371</v>
      </c>
      <c r="B295" s="4">
        <v>1337259</v>
      </c>
      <c r="C295" s="4" t="str">
        <f t="shared" si="2"/>
        <v/>
      </c>
      <c r="D295" s="4" t="s">
        <v>302</v>
      </c>
    </row>
    <row r="296" spans="1:4" ht="15.75" customHeight="1">
      <c r="A296" s="22">
        <v>8844976</v>
      </c>
      <c r="B296" s="4">
        <v>20459723</v>
      </c>
      <c r="C296" s="4" t="str">
        <f t="shared" si="2"/>
        <v/>
      </c>
      <c r="D296" s="4" t="s">
        <v>302</v>
      </c>
    </row>
    <row r="297" spans="1:4" ht="15.75" customHeight="1">
      <c r="A297" s="22">
        <v>11391342</v>
      </c>
      <c r="B297" s="4">
        <v>8390614</v>
      </c>
      <c r="C297" s="4" t="str">
        <f t="shared" si="2"/>
        <v/>
      </c>
      <c r="D297" s="4" t="s">
        <v>302</v>
      </c>
    </row>
    <row r="298" spans="1:4" ht="15.75" customHeight="1">
      <c r="A298" s="22">
        <v>24596281</v>
      </c>
      <c r="B298" s="4">
        <v>27367597</v>
      </c>
      <c r="C298" s="4" t="str">
        <f t="shared" si="2"/>
        <v/>
      </c>
      <c r="D298" s="4" t="s">
        <v>302</v>
      </c>
    </row>
    <row r="299" spans="1:4" ht="15.75" customHeight="1">
      <c r="A299" s="22">
        <v>16984646</v>
      </c>
      <c r="B299" s="4">
        <v>1654446</v>
      </c>
      <c r="C299" s="4" t="str">
        <f t="shared" si="2"/>
        <v/>
      </c>
      <c r="D299" s="4" t="s">
        <v>302</v>
      </c>
    </row>
    <row r="300" spans="1:4" ht="15.75" customHeight="1">
      <c r="A300" s="22">
        <v>1326815</v>
      </c>
      <c r="B300" s="4">
        <v>19856545</v>
      </c>
      <c r="C300" s="4" t="str">
        <f t="shared" si="2"/>
        <v/>
      </c>
      <c r="D300" s="4" t="s">
        <v>302</v>
      </c>
    </row>
    <row r="301" spans="1:4" ht="15.75" customHeight="1">
      <c r="A301" s="22">
        <v>23771003</v>
      </c>
      <c r="B301" s="4">
        <v>27344170</v>
      </c>
      <c r="C301" s="4" t="str">
        <f t="shared" si="2"/>
        <v/>
      </c>
      <c r="D301" s="4" t="s">
        <v>302</v>
      </c>
    </row>
    <row r="302" spans="1:4" ht="15.75" customHeight="1">
      <c r="A302" s="22">
        <v>12200359</v>
      </c>
      <c r="B302" s="4">
        <v>33910132</v>
      </c>
      <c r="C302" s="4" t="str">
        <f t="shared" si="2"/>
        <v/>
      </c>
      <c r="D302" s="4" t="s">
        <v>302</v>
      </c>
    </row>
    <row r="303" spans="1:4" ht="15.75" customHeight="1">
      <c r="A303" s="22">
        <v>1653487</v>
      </c>
      <c r="B303" s="4">
        <v>29684567</v>
      </c>
      <c r="C303" s="4" t="str">
        <f t="shared" si="2"/>
        <v/>
      </c>
      <c r="D303" s="4" t="s">
        <v>302</v>
      </c>
    </row>
    <row r="304" spans="1:4" ht="15.75" customHeight="1">
      <c r="A304" s="22">
        <v>9720744</v>
      </c>
      <c r="B304" s="4">
        <v>10568761</v>
      </c>
      <c r="C304" s="4" t="str">
        <f t="shared" si="2"/>
        <v/>
      </c>
      <c r="D304" s="4" t="s">
        <v>302</v>
      </c>
    </row>
    <row r="305" spans="1:4" ht="15.75" customHeight="1">
      <c r="A305" s="22">
        <v>18037945</v>
      </c>
      <c r="B305" s="4">
        <v>7803806</v>
      </c>
      <c r="C305" s="4" t="str">
        <f t="shared" si="2"/>
        <v/>
      </c>
      <c r="D305" s="4" t="s">
        <v>302</v>
      </c>
    </row>
    <row r="306" spans="1:4" ht="15.75" customHeight="1">
      <c r="A306" s="22">
        <v>15721266</v>
      </c>
      <c r="B306" s="4">
        <v>25744043</v>
      </c>
      <c r="C306" s="4" t="str">
        <f t="shared" si="2"/>
        <v/>
      </c>
      <c r="D306" s="4" t="s">
        <v>302</v>
      </c>
    </row>
    <row r="307" spans="1:4" ht="15.75" customHeight="1">
      <c r="A307" s="22">
        <v>17928352</v>
      </c>
      <c r="B307" s="4">
        <v>29212944</v>
      </c>
      <c r="C307" s="4" t="str">
        <f t="shared" si="2"/>
        <v/>
      </c>
      <c r="D307" s="4" t="s">
        <v>302</v>
      </c>
    </row>
    <row r="308" spans="1:4" ht="15.75" customHeight="1">
      <c r="A308" s="22">
        <v>8268822</v>
      </c>
      <c r="B308" s="4">
        <v>1695370</v>
      </c>
      <c r="C308" s="4" t="str">
        <f t="shared" si="2"/>
        <v/>
      </c>
      <c r="D308" s="4" t="s">
        <v>302</v>
      </c>
    </row>
    <row r="309" spans="1:4" ht="15.75" customHeight="1">
      <c r="A309" s="22">
        <v>8633821</v>
      </c>
      <c r="B309" s="4">
        <v>26815906</v>
      </c>
      <c r="C309" s="4" t="str">
        <f t="shared" si="2"/>
        <v/>
      </c>
      <c r="D309" s="4" t="s">
        <v>302</v>
      </c>
    </row>
    <row r="310" spans="1:4" ht="15.75" customHeight="1">
      <c r="A310" s="22">
        <v>11742650</v>
      </c>
      <c r="B310" s="4">
        <v>18687640</v>
      </c>
      <c r="C310" s="4" t="str">
        <f t="shared" si="2"/>
        <v/>
      </c>
      <c r="D310" s="4" t="s">
        <v>302</v>
      </c>
    </row>
    <row r="311" spans="1:4" ht="15.75" customHeight="1">
      <c r="A311" s="22">
        <v>11438822</v>
      </c>
      <c r="B311" s="4">
        <v>30031939</v>
      </c>
      <c r="C311" s="4" t="str">
        <f t="shared" si="2"/>
        <v/>
      </c>
      <c r="D311" s="4" t="s">
        <v>302</v>
      </c>
    </row>
    <row r="312" spans="1:4" ht="15.75" customHeight="1">
      <c r="A312" s="22">
        <v>9629978</v>
      </c>
      <c r="B312" s="4">
        <v>8943744</v>
      </c>
      <c r="C312" s="4" t="str">
        <f t="shared" si="2"/>
        <v/>
      </c>
      <c r="D312" s="4" t="s">
        <v>302</v>
      </c>
    </row>
    <row r="313" spans="1:4" ht="15.75" customHeight="1">
      <c r="A313" s="22">
        <v>7803806</v>
      </c>
      <c r="B313" s="4">
        <v>2574324</v>
      </c>
      <c r="C313" s="4" t="str">
        <f t="shared" si="2"/>
        <v/>
      </c>
      <c r="D313" s="4" t="s">
        <v>302</v>
      </c>
    </row>
    <row r="314" spans="1:4" ht="15.75" customHeight="1">
      <c r="A314" s="22">
        <v>26802210</v>
      </c>
      <c r="B314" s="4">
        <v>18855654</v>
      </c>
      <c r="C314" s="4" t="str">
        <f t="shared" si="2"/>
        <v/>
      </c>
      <c r="D314" s="4" t="s">
        <v>302</v>
      </c>
    </row>
    <row r="315" spans="1:4" ht="15.75" customHeight="1">
      <c r="A315" s="22">
        <v>9260689</v>
      </c>
      <c r="B315" s="4">
        <v>9847383</v>
      </c>
      <c r="C315" s="4" t="str">
        <f t="shared" si="2"/>
        <v/>
      </c>
      <c r="D315" s="4" t="s">
        <v>302</v>
      </c>
    </row>
    <row r="316" spans="1:4" ht="15.75" customHeight="1">
      <c r="A316" s="22">
        <v>21376662</v>
      </c>
      <c r="B316" s="4">
        <v>7831214</v>
      </c>
      <c r="C316" s="4" t="str">
        <f t="shared" si="2"/>
        <v/>
      </c>
      <c r="D316" s="4" t="s">
        <v>302</v>
      </c>
    </row>
    <row r="317" spans="1:4" ht="15.75" customHeight="1">
      <c r="A317" s="22">
        <v>26083588</v>
      </c>
      <c r="B317" s="4">
        <v>25255164</v>
      </c>
      <c r="C317" s="4" t="str">
        <f t="shared" si="2"/>
        <v/>
      </c>
      <c r="D317" s="4" t="s">
        <v>302</v>
      </c>
    </row>
    <row r="318" spans="1:4" ht="15.75" customHeight="1">
      <c r="A318" s="22">
        <v>22055432</v>
      </c>
      <c r="B318" s="4">
        <v>12097571</v>
      </c>
      <c r="C318" s="4" t="str">
        <f t="shared" si="2"/>
        <v/>
      </c>
      <c r="D318" s="4" t="s">
        <v>302</v>
      </c>
    </row>
    <row r="319" spans="1:4" ht="15.75" customHeight="1">
      <c r="A319" s="22">
        <v>24810656</v>
      </c>
      <c r="B319" s="4">
        <v>22537811</v>
      </c>
      <c r="C319" s="4" t="str">
        <f t="shared" si="2"/>
        <v/>
      </c>
      <c r="D319" s="4" t="s">
        <v>302</v>
      </c>
    </row>
    <row r="320" spans="1:4" ht="15.75" customHeight="1">
      <c r="A320" s="22">
        <v>10675403</v>
      </c>
      <c r="B320" s="4">
        <v>31579937</v>
      </c>
      <c r="C320" s="4" t="str">
        <f t="shared" si="2"/>
        <v/>
      </c>
      <c r="D320" s="4" t="s">
        <v>302</v>
      </c>
    </row>
    <row r="321" spans="1:4" ht="15.75" customHeight="1">
      <c r="A321" s="22">
        <v>9391653</v>
      </c>
      <c r="B321" s="4">
        <v>2169499</v>
      </c>
      <c r="C321" s="4" t="str">
        <f t="shared" si="2"/>
        <v/>
      </c>
      <c r="D321" s="4" t="s">
        <v>302</v>
      </c>
    </row>
    <row r="322" spans="1:4" ht="15.75" customHeight="1">
      <c r="A322" s="22">
        <v>29212944</v>
      </c>
      <c r="B322" s="4">
        <v>10935989</v>
      </c>
      <c r="C322" s="4" t="str">
        <f t="shared" si="2"/>
        <v/>
      </c>
      <c r="D322" s="4" t="s">
        <v>302</v>
      </c>
    </row>
    <row r="323" spans="1:4" ht="15.75" customHeight="1">
      <c r="A323" s="22">
        <v>11120923</v>
      </c>
      <c r="B323" s="4">
        <v>1851812</v>
      </c>
      <c r="C323" s="4" t="str">
        <f t="shared" si="2"/>
        <v/>
      </c>
      <c r="D323" s="4" t="s">
        <v>302</v>
      </c>
    </row>
    <row r="324" spans="1:4" ht="15.75" customHeight="1">
      <c r="A324" s="22">
        <v>12068008</v>
      </c>
      <c r="B324" s="4">
        <v>23391825</v>
      </c>
      <c r="C324" s="4" t="str">
        <f t="shared" si="2"/>
        <v/>
      </c>
      <c r="D324" s="4" t="s">
        <v>302</v>
      </c>
    </row>
    <row r="325" spans="1:4" ht="15.75" customHeight="1">
      <c r="A325" s="22">
        <v>27404369</v>
      </c>
      <c r="B325" s="4">
        <v>20404187</v>
      </c>
      <c r="C325" s="4" t="str">
        <f t="shared" si="2"/>
        <v/>
      </c>
      <c r="D325" s="4" t="s">
        <v>302</v>
      </c>
    </row>
    <row r="326" spans="1:4" ht="15.75" customHeight="1">
      <c r="A326" s="22">
        <v>16281938</v>
      </c>
      <c r="B326" s="4">
        <v>1963027</v>
      </c>
      <c r="C326" s="4" t="str">
        <f t="shared" si="2"/>
        <v/>
      </c>
      <c r="D326" s="4" t="s">
        <v>302</v>
      </c>
    </row>
    <row r="327" spans="1:4" ht="15.75" customHeight="1">
      <c r="A327" s="22">
        <v>9697740</v>
      </c>
      <c r="B327" s="4">
        <v>32428994</v>
      </c>
      <c r="C327" s="4" t="str">
        <f t="shared" si="2"/>
        <v/>
      </c>
      <c r="D327" s="4" t="s">
        <v>302</v>
      </c>
    </row>
    <row r="328" spans="1:4" ht="15.75" customHeight="1">
      <c r="A328" s="22">
        <v>18621409</v>
      </c>
      <c r="B328" s="4">
        <v>18762768</v>
      </c>
      <c r="C328" s="4" t="str">
        <f t="shared" si="2"/>
        <v/>
      </c>
      <c r="D328" s="4" t="s">
        <v>302</v>
      </c>
    </row>
    <row r="329" spans="1:4" ht="15.75" customHeight="1">
      <c r="A329" s="22">
        <v>17067909</v>
      </c>
      <c r="B329" s="4">
        <v>26518057</v>
      </c>
      <c r="C329" s="4" t="str">
        <f t="shared" si="2"/>
        <v/>
      </c>
      <c r="D329" s="4" t="s">
        <v>302</v>
      </c>
    </row>
    <row r="330" spans="1:4" ht="15.75" customHeight="1">
      <c r="A330" s="22">
        <v>11565077</v>
      </c>
      <c r="B330" s="4">
        <v>26802210</v>
      </c>
      <c r="C330" s="4" t="str">
        <f t="shared" si="2"/>
        <v/>
      </c>
      <c r="D330" s="4" t="s">
        <v>302</v>
      </c>
    </row>
    <row r="331" spans="1:4" ht="15.75" customHeight="1">
      <c r="A331" s="22">
        <v>15708999</v>
      </c>
      <c r="B331" s="4">
        <v>12552442</v>
      </c>
      <c r="C331" s="4" t="str">
        <f t="shared" si="2"/>
        <v/>
      </c>
      <c r="D331" s="4" t="s">
        <v>302</v>
      </c>
    </row>
    <row r="332" spans="1:4" ht="15.75" customHeight="1">
      <c r="A332" s="22">
        <v>17939902</v>
      </c>
      <c r="B332" s="4">
        <v>8180402</v>
      </c>
      <c r="C332" s="4" t="str">
        <f t="shared" si="2"/>
        <v/>
      </c>
      <c r="D332" s="4" t="s">
        <v>302</v>
      </c>
    </row>
    <row r="333" spans="1:4" ht="15.75" customHeight="1">
      <c r="A333" s="22">
        <v>9359710</v>
      </c>
      <c r="B333" s="4">
        <v>11774077</v>
      </c>
      <c r="C333" s="4" t="str">
        <f t="shared" si="2"/>
        <v/>
      </c>
      <c r="D333" s="4" t="s">
        <v>302</v>
      </c>
    </row>
    <row r="334" spans="1:4" ht="15.75" customHeight="1">
      <c r="A334" s="22">
        <v>24330265</v>
      </c>
      <c r="B334" s="4">
        <v>17276360</v>
      </c>
      <c r="C334" s="4" t="str">
        <f t="shared" si="2"/>
        <v/>
      </c>
      <c r="D334" s="4" t="s">
        <v>302</v>
      </c>
    </row>
    <row r="335" spans="1:4" ht="15.75" customHeight="1">
      <c r="A335" s="22">
        <v>23871165</v>
      </c>
      <c r="B335" s="4">
        <v>24596281</v>
      </c>
      <c r="C335" s="4" t="str">
        <f t="shared" si="2"/>
        <v/>
      </c>
      <c r="D335" s="4" t="s">
        <v>302</v>
      </c>
    </row>
    <row r="336" spans="1:4" ht="15.75" customHeight="1">
      <c r="A336" s="22">
        <v>15983553</v>
      </c>
      <c r="B336" s="4">
        <v>8388898</v>
      </c>
      <c r="C336" s="4" t="str">
        <f t="shared" si="2"/>
        <v/>
      </c>
      <c r="D336" s="4" t="s">
        <v>302</v>
      </c>
    </row>
    <row r="337" spans="1:4" ht="15.75" customHeight="1">
      <c r="A337" s="22">
        <v>15196082</v>
      </c>
      <c r="B337" s="4">
        <v>26888901</v>
      </c>
      <c r="C337" s="4" t="str">
        <f t="shared" si="2"/>
        <v/>
      </c>
      <c r="D337" s="4" t="s">
        <v>302</v>
      </c>
    </row>
    <row r="338" spans="1:4" ht="15.75" customHeight="1">
      <c r="A338" s="22">
        <v>18433408</v>
      </c>
      <c r="B338" s="4">
        <v>29898877</v>
      </c>
      <c r="C338" s="4" t="str">
        <f t="shared" si="2"/>
        <v/>
      </c>
      <c r="D338" s="4" t="s">
        <v>302</v>
      </c>
    </row>
    <row r="339" spans="1:4" ht="15.75" customHeight="1">
      <c r="A339" s="22">
        <v>10935989</v>
      </c>
      <c r="B339" s="4">
        <v>23454489</v>
      </c>
      <c r="C339" s="4" t="str">
        <f t="shared" si="2"/>
        <v/>
      </c>
      <c r="D339" s="4" t="s">
        <v>302</v>
      </c>
    </row>
    <row r="340" spans="1:4" ht="15.75" customHeight="1">
      <c r="A340" s="22">
        <v>18662831</v>
      </c>
      <c r="B340" s="4">
        <v>11049765</v>
      </c>
      <c r="C340" s="4" t="str">
        <f t="shared" si="2"/>
        <v/>
      </c>
      <c r="D340" s="4" t="s">
        <v>302</v>
      </c>
    </row>
    <row r="341" spans="1:4" ht="15.75" customHeight="1">
      <c r="A341" s="22">
        <v>8790409</v>
      </c>
      <c r="B341" s="4">
        <v>16615518</v>
      </c>
      <c r="C341" s="4" t="str">
        <f t="shared" si="2"/>
        <v/>
      </c>
      <c r="D341" s="4" t="s">
        <v>302</v>
      </c>
    </row>
    <row r="342" spans="1:4" ht="15.75" customHeight="1">
      <c r="A342" s="22">
        <v>19664021</v>
      </c>
      <c r="B342" s="4">
        <v>17334385</v>
      </c>
      <c r="C342" s="4" t="str">
        <f t="shared" si="2"/>
        <v/>
      </c>
      <c r="D342" s="4" t="s">
        <v>302</v>
      </c>
    </row>
    <row r="343" spans="1:4" ht="15.75" customHeight="1">
      <c r="A343" s="22">
        <v>1647138</v>
      </c>
      <c r="B343" s="4">
        <v>21287317</v>
      </c>
      <c r="C343" s="4" t="str">
        <f t="shared" si="2"/>
        <v/>
      </c>
      <c r="D343" s="4" t="s">
        <v>302</v>
      </c>
    </row>
    <row r="344" spans="1:4" ht="15.75" customHeight="1">
      <c r="A344" s="22">
        <v>19582481</v>
      </c>
      <c r="B344" s="4">
        <v>12525662</v>
      </c>
      <c r="C344" s="4" t="str">
        <f t="shared" si="2"/>
        <v/>
      </c>
      <c r="D344" s="4" t="s">
        <v>302</v>
      </c>
    </row>
    <row r="345" spans="1:4" ht="15.75" customHeight="1">
      <c r="A345" s="22">
        <v>1314872</v>
      </c>
      <c r="B345" s="4">
        <v>29316259</v>
      </c>
      <c r="C345" s="4" t="str">
        <f t="shared" si="2"/>
        <v/>
      </c>
      <c r="D345" s="4" t="s">
        <v>302</v>
      </c>
    </row>
    <row r="346" spans="1:4" ht="15.75" customHeight="1">
      <c r="A346" s="22">
        <v>1646280</v>
      </c>
      <c r="B346" s="4">
        <v>15483248</v>
      </c>
      <c r="C346" s="4" t="str">
        <f t="shared" si="2"/>
        <v/>
      </c>
      <c r="D346" s="4" t="s">
        <v>302</v>
      </c>
    </row>
    <row r="347" spans="1:4" ht="15.75" customHeight="1">
      <c r="A347" s="22">
        <v>7949085</v>
      </c>
      <c r="B347" s="4">
        <v>25694589</v>
      </c>
      <c r="C347" s="4" t="str">
        <f t="shared" si="2"/>
        <v/>
      </c>
      <c r="D347" s="4" t="s">
        <v>302</v>
      </c>
    </row>
    <row r="348" spans="1:4" ht="15.75" customHeight="1">
      <c r="A348" s="22">
        <v>12828339</v>
      </c>
      <c r="B348" s="4">
        <v>11512080</v>
      </c>
      <c r="C348" s="4" t="str">
        <f t="shared" si="2"/>
        <v/>
      </c>
      <c r="D348" s="4" t="s">
        <v>302</v>
      </c>
    </row>
    <row r="349" spans="1:4" ht="15.75" customHeight="1">
      <c r="A349" s="22">
        <v>26176562</v>
      </c>
      <c r="B349" s="4">
        <v>22576078</v>
      </c>
      <c r="C349" s="4" t="str">
        <f t="shared" si="2"/>
        <v/>
      </c>
      <c r="D349" s="4" t="s">
        <v>302</v>
      </c>
    </row>
    <row r="350" spans="1:4" ht="15.75" customHeight="1">
      <c r="A350" s="22">
        <v>9242553</v>
      </c>
      <c r="B350" s="4">
        <v>16162481</v>
      </c>
      <c r="C350" s="4" t="str">
        <f t="shared" si="2"/>
        <v/>
      </c>
      <c r="D350" s="4" t="s">
        <v>302</v>
      </c>
    </row>
    <row r="351" spans="1:4" ht="15.75" customHeight="1">
      <c r="A351" s="22">
        <v>8837229</v>
      </c>
      <c r="B351" s="4">
        <v>20053335</v>
      </c>
      <c r="C351" s="4" t="str">
        <f t="shared" si="2"/>
        <v/>
      </c>
      <c r="D351" s="4" t="s">
        <v>302</v>
      </c>
    </row>
    <row r="352" spans="1:4" ht="15.75" customHeight="1">
      <c r="A352" s="22">
        <v>7559960</v>
      </c>
      <c r="B352" s="4">
        <v>22055432</v>
      </c>
      <c r="C352" s="4" t="str">
        <f t="shared" si="2"/>
        <v/>
      </c>
      <c r="D352" s="4" t="s">
        <v>302</v>
      </c>
    </row>
    <row r="353" spans="1:4" ht="15.75" customHeight="1">
      <c r="A353" s="22">
        <v>15914369</v>
      </c>
      <c r="B353" s="4">
        <v>1657544</v>
      </c>
      <c r="C353" s="4" t="str">
        <f t="shared" si="2"/>
        <v/>
      </c>
      <c r="D353" s="4" t="s">
        <v>302</v>
      </c>
    </row>
    <row r="354" spans="1:4" ht="15.75" customHeight="1">
      <c r="A354" s="22">
        <v>16966219</v>
      </c>
      <c r="B354" s="4">
        <v>16183328</v>
      </c>
      <c r="C354" s="4" t="str">
        <f t="shared" si="2"/>
        <v/>
      </c>
      <c r="D354" s="4" t="s">
        <v>302</v>
      </c>
    </row>
    <row r="355" spans="1:4" ht="15.75" customHeight="1">
      <c r="A355" s="22">
        <v>7534493</v>
      </c>
      <c r="B355" s="4">
        <v>10558965</v>
      </c>
      <c r="C355" s="4" t="str">
        <f t="shared" si="2"/>
        <v/>
      </c>
      <c r="D355" s="4" t="s">
        <v>302</v>
      </c>
    </row>
    <row r="356" spans="1:4" ht="15.75" customHeight="1">
      <c r="A356" s="22">
        <v>32860815</v>
      </c>
      <c r="B356" s="4">
        <v>17067909</v>
      </c>
      <c r="C356" s="4" t="str">
        <f t="shared" si="2"/>
        <v/>
      </c>
      <c r="D356" s="4" t="s">
        <v>302</v>
      </c>
    </row>
    <row r="357" spans="1:4" ht="15.75" customHeight="1">
      <c r="A357" s="22">
        <v>17063514</v>
      </c>
      <c r="B357" s="4">
        <v>16615527</v>
      </c>
      <c r="C357" s="4" t="str">
        <f t="shared" si="2"/>
        <v/>
      </c>
      <c r="D357" s="4" t="s">
        <v>302</v>
      </c>
    </row>
    <row r="358" spans="1:4" ht="15.75" customHeight="1">
      <c r="A358" s="22">
        <v>8601223</v>
      </c>
      <c r="B358" s="4">
        <v>23769070</v>
      </c>
      <c r="C358" s="4" t="str">
        <f t="shared" si="2"/>
        <v/>
      </c>
      <c r="D358" s="4" t="s">
        <v>302</v>
      </c>
    </row>
    <row r="359" spans="1:4" ht="15.75" customHeight="1">
      <c r="A359" s="22">
        <v>9311701</v>
      </c>
      <c r="B359" s="4">
        <v>15327521</v>
      </c>
      <c r="C359" s="4" t="str">
        <f t="shared" si="2"/>
        <v/>
      </c>
      <c r="D359" s="4" t="s">
        <v>302</v>
      </c>
    </row>
    <row r="360" spans="1:4" ht="15.75" customHeight="1">
      <c r="A360" s="22">
        <v>8384028</v>
      </c>
      <c r="B360" s="4">
        <v>17637686</v>
      </c>
      <c r="C360" s="4" t="str">
        <f t="shared" si="2"/>
        <v/>
      </c>
      <c r="D360" s="4" t="s">
        <v>302</v>
      </c>
    </row>
    <row r="361" spans="1:4" ht="15.75" customHeight="1">
      <c r="A361" s="22">
        <v>8382723</v>
      </c>
      <c r="B361" s="4">
        <v>23674671</v>
      </c>
      <c r="C361" s="4" t="str">
        <f t="shared" si="2"/>
        <v/>
      </c>
      <c r="D361" s="4" t="s">
        <v>302</v>
      </c>
    </row>
    <row r="362" spans="1:4" ht="15.75" customHeight="1">
      <c r="A362" s="22">
        <v>7910837</v>
      </c>
      <c r="B362" s="4">
        <v>9864048</v>
      </c>
      <c r="C362" s="4" t="str">
        <f t="shared" si="2"/>
        <v/>
      </c>
      <c r="D362" s="4" t="s">
        <v>302</v>
      </c>
    </row>
    <row r="363" spans="1:4" ht="15.75" customHeight="1">
      <c r="A363" s="22">
        <v>19321385</v>
      </c>
      <c r="B363" s="4">
        <v>19582481</v>
      </c>
      <c r="C363" s="4" t="str">
        <f t="shared" si="2"/>
        <v/>
      </c>
      <c r="D363" s="4" t="s">
        <v>302</v>
      </c>
    </row>
    <row r="364" spans="1:4" ht="15.75" customHeight="1">
      <c r="A364" s="22">
        <v>17205485</v>
      </c>
      <c r="B364" s="4">
        <v>11979309</v>
      </c>
      <c r="C364" s="4" t="str">
        <f t="shared" si="2"/>
        <v/>
      </c>
      <c r="D364" s="4" t="s">
        <v>302</v>
      </c>
    </row>
    <row r="365" spans="1:4" ht="15.75" customHeight="1">
      <c r="A365" s="22">
        <v>10449249</v>
      </c>
      <c r="B365" s="4">
        <v>9697740</v>
      </c>
      <c r="C365" s="4" t="str">
        <f t="shared" si="2"/>
        <v/>
      </c>
      <c r="D365" s="4" t="s">
        <v>302</v>
      </c>
    </row>
    <row r="366" spans="1:4" ht="15.75" customHeight="1">
      <c r="A366" s="22">
        <v>23408849</v>
      </c>
      <c r="B366" s="4">
        <v>10400183</v>
      </c>
      <c r="C366" s="4" t="str">
        <f t="shared" si="2"/>
        <v/>
      </c>
      <c r="D366" s="4" t="s">
        <v>302</v>
      </c>
    </row>
    <row r="367" spans="1:4" ht="15.75" customHeight="1">
      <c r="A367" s="22">
        <v>9765424</v>
      </c>
      <c r="B367" s="4">
        <v>10675403</v>
      </c>
      <c r="C367" s="4" t="str">
        <f t="shared" si="2"/>
        <v/>
      </c>
      <c r="D367" s="4" t="s">
        <v>302</v>
      </c>
    </row>
    <row r="368" spans="1:4" ht="15.75" customHeight="1">
      <c r="A368" s="22">
        <v>1682676</v>
      </c>
      <c r="B368" s="4">
        <v>10505318</v>
      </c>
      <c r="C368" s="4" t="str">
        <f t="shared" si="2"/>
        <v/>
      </c>
      <c r="D368" s="4" t="s">
        <v>302</v>
      </c>
    </row>
    <row r="369" spans="1:4" ht="15.75" customHeight="1">
      <c r="A369" s="22">
        <v>17204195</v>
      </c>
      <c r="B369" s="4">
        <v>10998432</v>
      </c>
      <c r="C369" s="4" t="str">
        <f t="shared" si="2"/>
        <v/>
      </c>
      <c r="D369" s="4" t="s">
        <v>302</v>
      </c>
    </row>
    <row r="370" spans="1:4" ht="15.75" customHeight="1">
      <c r="A370" s="22">
        <v>25124787</v>
      </c>
      <c r="B370" s="4">
        <v>1653487</v>
      </c>
      <c r="C370" s="4" t="str">
        <f t="shared" si="2"/>
        <v/>
      </c>
      <c r="D370" s="4" t="s">
        <v>302</v>
      </c>
    </row>
    <row r="371" spans="1:4" ht="15.75" customHeight="1">
      <c r="A371" s="22">
        <v>11972099</v>
      </c>
      <c r="B371" s="4">
        <v>20053742</v>
      </c>
      <c r="C371" s="4" t="str">
        <f t="shared" si="2"/>
        <v/>
      </c>
      <c r="D371" s="4" t="s">
        <v>302</v>
      </c>
    </row>
    <row r="372" spans="1:4" ht="15.75" customHeight="1">
      <c r="A372" s="22">
        <v>23342747</v>
      </c>
      <c r="B372" s="4">
        <v>15186736</v>
      </c>
      <c r="C372" s="4" t="str">
        <f t="shared" si="2"/>
        <v/>
      </c>
      <c r="D372" s="4" t="s">
        <v>302</v>
      </c>
    </row>
    <row r="373" spans="1:4" ht="15.75" customHeight="1">
      <c r="A373" s="22">
        <v>22825817</v>
      </c>
      <c r="B373" s="4">
        <v>8837229</v>
      </c>
      <c r="C373" s="4" t="str">
        <f t="shared" si="2"/>
        <v/>
      </c>
      <c r="D373" s="4" t="s">
        <v>302</v>
      </c>
    </row>
    <row r="374" spans="1:4" ht="15.75" customHeight="1">
      <c r="A374" s="22">
        <v>25122795</v>
      </c>
      <c r="B374" s="4">
        <v>7889017</v>
      </c>
      <c r="C374" s="4" t="str">
        <f t="shared" si="2"/>
        <v/>
      </c>
      <c r="D374" s="4" t="s">
        <v>302</v>
      </c>
    </row>
    <row r="375" spans="1:4" ht="15.75" customHeight="1">
      <c r="A375" s="22">
        <v>12270665</v>
      </c>
      <c r="B375" s="4">
        <v>8198870</v>
      </c>
      <c r="C375" s="4" t="str">
        <f t="shared" si="2"/>
        <v/>
      </c>
      <c r="D375" s="4" t="s">
        <v>302</v>
      </c>
    </row>
    <row r="376" spans="1:4" ht="15.75" customHeight="1">
      <c r="A376" s="22">
        <v>27060193</v>
      </c>
      <c r="B376" s="4">
        <v>23871165</v>
      </c>
      <c r="C376" s="4" t="str">
        <f t="shared" si="2"/>
        <v/>
      </c>
      <c r="D376" s="4" t="s">
        <v>302</v>
      </c>
    </row>
    <row r="377" spans="1:4" ht="15.75" customHeight="1">
      <c r="A377" s="22">
        <v>8394407</v>
      </c>
      <c r="B377" s="4">
        <v>21843348</v>
      </c>
      <c r="C377" s="4" t="str">
        <f t="shared" si="2"/>
        <v/>
      </c>
      <c r="D377" s="4" t="s">
        <v>302</v>
      </c>
    </row>
    <row r="378" spans="1:4" ht="15.75" customHeight="1">
      <c r="A378" s="22">
        <v>15152048</v>
      </c>
      <c r="B378" s="4">
        <v>19664021</v>
      </c>
      <c r="C378" s="4" t="str">
        <f t="shared" si="2"/>
        <v/>
      </c>
      <c r="D378" s="4" t="s">
        <v>302</v>
      </c>
    </row>
    <row r="379" spans="1:4" ht="15.75" customHeight="1">
      <c r="A379" s="22">
        <v>20561301</v>
      </c>
      <c r="B379" s="4">
        <v>10765058</v>
      </c>
      <c r="C379" s="4" t="str">
        <f t="shared" si="2"/>
        <v/>
      </c>
      <c r="D379" s="4" t="s">
        <v>302</v>
      </c>
    </row>
    <row r="380" spans="1:4" ht="15.75" customHeight="1">
      <c r="A380" s="22">
        <v>10026725</v>
      </c>
      <c r="B380" s="4">
        <v>10449249</v>
      </c>
      <c r="C380" s="4" t="str">
        <f t="shared" si="2"/>
        <v/>
      </c>
      <c r="D380" s="4" t="s">
        <v>302</v>
      </c>
    </row>
    <row r="381" spans="1:4" ht="15.75" customHeight="1">
      <c r="A381" s="22">
        <v>16300835</v>
      </c>
      <c r="B381" s="4">
        <v>9260689</v>
      </c>
      <c r="C381" s="4" t="str">
        <f t="shared" si="2"/>
        <v/>
      </c>
      <c r="D381" s="4" t="s">
        <v>302</v>
      </c>
    </row>
    <row r="382" spans="1:4" ht="15.75" customHeight="1">
      <c r="A382" s="22">
        <v>17516391</v>
      </c>
      <c r="B382" s="4">
        <v>1326815</v>
      </c>
      <c r="C382" s="4" t="str">
        <f t="shared" si="2"/>
        <v/>
      </c>
      <c r="D382" s="4" t="s">
        <v>302</v>
      </c>
    </row>
    <row r="383" spans="1:4" ht="15.75" customHeight="1">
      <c r="A383" s="22">
        <v>7687301</v>
      </c>
      <c r="B383" s="4">
        <v>8844976</v>
      </c>
      <c r="C383" s="4" t="str">
        <f t="shared" si="2"/>
        <v/>
      </c>
      <c r="D383" s="4" t="s">
        <v>302</v>
      </c>
    </row>
    <row r="384" spans="1:4" ht="15.75" customHeight="1">
      <c r="A384" s="22">
        <v>12794728</v>
      </c>
      <c r="B384" s="4">
        <v>9752764</v>
      </c>
      <c r="C384" s="4" t="str">
        <f t="shared" si="2"/>
        <v/>
      </c>
      <c r="D384" s="4" t="s">
        <v>302</v>
      </c>
    </row>
    <row r="385" spans="1:4" ht="15.75" customHeight="1">
      <c r="A385" s="22">
        <v>21088083</v>
      </c>
      <c r="B385" s="4">
        <v>24330265</v>
      </c>
      <c r="C385" s="4" t="str">
        <f t="shared" si="2"/>
        <v/>
      </c>
      <c r="D385" s="4" t="s">
        <v>302</v>
      </c>
    </row>
    <row r="386" spans="1:4" ht="15.75" customHeight="1">
      <c r="A386" s="22">
        <v>8750269</v>
      </c>
      <c r="B386" s="4">
        <v>16966219</v>
      </c>
      <c r="C386" s="4" t="str">
        <f t="shared" si="2"/>
        <v/>
      </c>
      <c r="D386" s="4" t="s">
        <v>302</v>
      </c>
    </row>
    <row r="387" spans="1:4" ht="15.75" customHeight="1">
      <c r="A387" s="22">
        <v>8738179</v>
      </c>
      <c r="B387" s="4">
        <v>11438822</v>
      </c>
      <c r="C387" s="4" t="str">
        <f t="shared" si="2"/>
        <v/>
      </c>
      <c r="D387" s="4" t="s">
        <v>302</v>
      </c>
    </row>
    <row r="388" spans="1:4" ht="15.75" customHeight="1">
      <c r="A388" s="22">
        <v>9770435</v>
      </c>
      <c r="B388" s="4">
        <v>12200359</v>
      </c>
      <c r="C388" s="4" t="str">
        <f t="shared" si="2"/>
        <v/>
      </c>
      <c r="D388" s="4" t="s">
        <v>302</v>
      </c>
    </row>
    <row r="389" spans="1:4" ht="15.75" customHeight="1">
      <c r="A389" s="22">
        <v>21843348</v>
      </c>
      <c r="B389" s="4">
        <v>9603179</v>
      </c>
      <c r="C389" s="4" t="str">
        <f t="shared" si="2"/>
        <v/>
      </c>
      <c r="D389" s="4" t="s">
        <v>302</v>
      </c>
    </row>
    <row r="390" spans="1:4" ht="15.75" customHeight="1">
      <c r="A390" s="22">
        <v>7893986</v>
      </c>
      <c r="B390" s="4">
        <v>1646280</v>
      </c>
      <c r="C390" s="4" t="str">
        <f t="shared" si="2"/>
        <v/>
      </c>
      <c r="D390" s="4" t="s">
        <v>302</v>
      </c>
    </row>
    <row r="391" spans="1:4" ht="15.75" customHeight="1">
      <c r="A391" s="22">
        <v>8391023</v>
      </c>
      <c r="B391" s="4">
        <v>8890036</v>
      </c>
      <c r="C391" s="4" t="str">
        <f t="shared" si="2"/>
        <v/>
      </c>
      <c r="D391" s="4" t="s">
        <v>302</v>
      </c>
    </row>
    <row r="392" spans="1:4" ht="15.75" customHeight="1">
      <c r="A392" s="22">
        <v>11076708</v>
      </c>
      <c r="B392" s="4">
        <v>8790409</v>
      </c>
      <c r="C392" s="4" t="str">
        <f t="shared" si="2"/>
        <v/>
      </c>
      <c r="D392" s="4" t="s">
        <v>302</v>
      </c>
    </row>
    <row r="393" spans="1:4" ht="15.75" customHeight="1">
      <c r="A393" s="22">
        <v>8385692</v>
      </c>
      <c r="B393" s="4">
        <v>16008754</v>
      </c>
      <c r="C393" s="4" t="str">
        <f t="shared" si="2"/>
        <v/>
      </c>
      <c r="D393" s="4" t="s">
        <v>302</v>
      </c>
    </row>
    <row r="394" spans="1:4" ht="15.75" customHeight="1">
      <c r="A394" s="22">
        <v>11593320</v>
      </c>
      <c r="B394" s="4">
        <v>12181449</v>
      </c>
      <c r="C394" s="4" t="str">
        <f t="shared" si="2"/>
        <v/>
      </c>
      <c r="D394" s="4" t="s">
        <v>302</v>
      </c>
    </row>
    <row r="395" spans="1:4" ht="15.75" customHeight="1">
      <c r="A395" s="22">
        <v>9258937</v>
      </c>
      <c r="B395" s="4">
        <v>20138915</v>
      </c>
      <c r="C395" s="4" t="str">
        <f t="shared" si="2"/>
        <v/>
      </c>
      <c r="D395" s="4" t="s">
        <v>302</v>
      </c>
    </row>
    <row r="396" spans="1:4" ht="15.75" customHeight="1">
      <c r="A396" s="22">
        <v>15469723</v>
      </c>
      <c r="B396" s="4">
        <v>12828339</v>
      </c>
      <c r="C396" s="4" t="str">
        <f t="shared" si="2"/>
        <v/>
      </c>
      <c r="D396" s="4" t="s">
        <v>302</v>
      </c>
    </row>
    <row r="397" spans="1:4" ht="15.75" customHeight="1">
      <c r="A397" s="22">
        <v>21957287</v>
      </c>
      <c r="B397" s="4">
        <v>17913805</v>
      </c>
      <c r="C397" s="4" t="str">
        <f t="shared" si="2"/>
        <v/>
      </c>
      <c r="D397" s="4" t="s">
        <v>302</v>
      </c>
    </row>
    <row r="398" spans="1:4" ht="15.75" customHeight="1">
      <c r="A398" s="22">
        <v>32439137</v>
      </c>
      <c r="B398" s="4">
        <v>17958914</v>
      </c>
      <c r="C398" s="4" t="str">
        <f t="shared" si="2"/>
        <v/>
      </c>
      <c r="D398" s="4" t="s">
        <v>302</v>
      </c>
    </row>
    <row r="399" spans="1:4" ht="15.75" customHeight="1">
      <c r="A399" s="22">
        <v>10423733</v>
      </c>
      <c r="B399" s="4">
        <v>15983553</v>
      </c>
      <c r="C399" s="4" t="str">
        <f t="shared" si="2"/>
        <v/>
      </c>
      <c r="D399" s="4" t="s">
        <v>302</v>
      </c>
    </row>
    <row r="400" spans="1:4" ht="15.75" customHeight="1">
      <c r="A400" s="22">
        <v>19656346</v>
      </c>
      <c r="B400" s="4">
        <v>1314872</v>
      </c>
      <c r="C400" s="4" t="str">
        <f t="shared" si="2"/>
        <v/>
      </c>
      <c r="D400" s="4" t="s">
        <v>302</v>
      </c>
    </row>
    <row r="401" spans="1:4" ht="15.75" customHeight="1">
      <c r="A401" s="22">
        <v>7831214</v>
      </c>
      <c r="B401" s="4">
        <v>17063514</v>
      </c>
      <c r="C401" s="4" t="str">
        <f t="shared" si="2"/>
        <v/>
      </c>
      <c r="D401" s="4" t="s">
        <v>302</v>
      </c>
    </row>
    <row r="402" spans="1:4" ht="15.75" customHeight="1">
      <c r="A402" s="22">
        <v>24478470</v>
      </c>
      <c r="B402" s="4">
        <v>16281938</v>
      </c>
      <c r="C402" s="4" t="str">
        <f t="shared" si="2"/>
        <v/>
      </c>
      <c r="D402" s="4" t="s">
        <v>302</v>
      </c>
    </row>
    <row r="403" spans="1:4" ht="15.75" customHeight="1">
      <c r="A403" s="22">
        <v>21064150</v>
      </c>
      <c r="B403" s="4">
        <v>17913577</v>
      </c>
      <c r="C403" s="4" t="str">
        <f t="shared" si="2"/>
        <v/>
      </c>
      <c r="D403" s="4" t="s">
        <v>302</v>
      </c>
    </row>
    <row r="404" spans="1:4" ht="15.75" customHeight="1">
      <c r="A404" s="22">
        <v>2156361</v>
      </c>
      <c r="B404" s="4">
        <v>10343615</v>
      </c>
      <c r="C404" s="4" t="str">
        <f t="shared" si="2"/>
        <v/>
      </c>
      <c r="D404" s="4" t="s">
        <v>302</v>
      </c>
    </row>
    <row r="405" spans="1:4" ht="15.75" customHeight="1">
      <c r="A405" s="22">
        <v>10343615</v>
      </c>
      <c r="B405" s="4">
        <v>21957287</v>
      </c>
      <c r="C405" s="4" t="str">
        <f t="shared" si="2"/>
        <v/>
      </c>
      <c r="D405" s="4" t="s">
        <v>302</v>
      </c>
    </row>
    <row r="406" spans="1:4" ht="15.75" customHeight="1">
      <c r="A406" s="22">
        <v>14593901</v>
      </c>
      <c r="B406" s="4">
        <v>11876972</v>
      </c>
      <c r="C406" s="4" t="str">
        <f t="shared" si="2"/>
        <v/>
      </c>
      <c r="D406" s="4" t="s">
        <v>302</v>
      </c>
    </row>
    <row r="407" spans="1:4" ht="15.75" customHeight="1">
      <c r="A407" s="22">
        <v>24380721</v>
      </c>
      <c r="B407" s="4">
        <v>18662831</v>
      </c>
      <c r="C407" s="4" t="str">
        <f t="shared" si="2"/>
        <v/>
      </c>
      <c r="D407" s="4" t="s">
        <v>302</v>
      </c>
    </row>
    <row r="408" spans="1:4" ht="15.75" customHeight="1">
      <c r="A408" s="22">
        <v>18024365</v>
      </c>
      <c r="B408" s="4">
        <v>1849169</v>
      </c>
      <c r="C408" s="4" t="str">
        <f t="shared" si="2"/>
        <v/>
      </c>
      <c r="D408" s="4" t="s">
        <v>302</v>
      </c>
    </row>
    <row r="409" spans="1:4" ht="15.75" customHeight="1">
      <c r="A409" s="22">
        <v>1677024</v>
      </c>
      <c r="B409" s="4">
        <v>10913395</v>
      </c>
      <c r="C409" s="4" t="str">
        <f t="shared" si="2"/>
        <v/>
      </c>
      <c r="D409" s="4" t="s">
        <v>302</v>
      </c>
    </row>
    <row r="410" spans="1:4" ht="15.75" customHeight="1">
      <c r="A410" s="22">
        <v>19920774</v>
      </c>
      <c r="B410" s="4">
        <v>16984646</v>
      </c>
      <c r="C410" s="4" t="str">
        <f t="shared" si="2"/>
        <v/>
      </c>
      <c r="D410" s="4" t="s">
        <v>302</v>
      </c>
    </row>
    <row r="411" spans="1:4" ht="15.75" customHeight="1">
      <c r="A411" s="22">
        <v>10068608</v>
      </c>
      <c r="B411" s="4">
        <v>26176562</v>
      </c>
      <c r="C411" s="4" t="str">
        <f t="shared" si="2"/>
        <v/>
      </c>
      <c r="D411" s="4" t="s">
        <v>302</v>
      </c>
    </row>
    <row r="412" spans="1:4" ht="15.75" customHeight="1">
      <c r="A412" s="22">
        <v>19519818</v>
      </c>
      <c r="B412" s="4">
        <v>15721266</v>
      </c>
      <c r="C412" s="4" t="str">
        <f t="shared" si="2"/>
        <v/>
      </c>
      <c r="D412" s="4" t="s">
        <v>302</v>
      </c>
    </row>
    <row r="413" spans="1:4" ht="15.75" customHeight="1">
      <c r="A413" s="22">
        <v>7893980</v>
      </c>
      <c r="B413" s="4">
        <v>12767009</v>
      </c>
      <c r="C413" s="4" t="str">
        <f t="shared" si="2"/>
        <v/>
      </c>
      <c r="D413" s="4" t="s">
        <v>302</v>
      </c>
    </row>
    <row r="414" spans="1:4" ht="15.75" customHeight="1">
      <c r="A414" s="22">
        <v>8943744</v>
      </c>
      <c r="B414" s="4">
        <v>19321385</v>
      </c>
      <c r="C414" s="4" t="str">
        <f t="shared" si="2"/>
        <v/>
      </c>
      <c r="D414" s="4" t="s">
        <v>302</v>
      </c>
    </row>
    <row r="415" spans="1:4" ht="15.75" customHeight="1">
      <c r="A415" s="22">
        <v>2159541</v>
      </c>
      <c r="B415" s="4">
        <v>8382723</v>
      </c>
      <c r="C415" s="4" t="str">
        <f t="shared" si="2"/>
        <v/>
      </c>
      <c r="D415" s="4" t="s">
        <v>302</v>
      </c>
    </row>
    <row r="416" spans="1:4" ht="15.75" customHeight="1">
      <c r="A416" s="22">
        <v>10913395</v>
      </c>
      <c r="B416" s="4">
        <v>7949085</v>
      </c>
      <c r="C416" s="4" t="str">
        <f t="shared" si="2"/>
        <v/>
      </c>
      <c r="D416" s="4" t="s">
        <v>302</v>
      </c>
    </row>
    <row r="417" spans="1:4" ht="15.75" customHeight="1">
      <c r="A417" s="22">
        <v>1668969</v>
      </c>
      <c r="B417" s="4">
        <v>19153640</v>
      </c>
      <c r="C417" s="4" t="str">
        <f t="shared" si="2"/>
        <v/>
      </c>
      <c r="D417" s="4" t="s">
        <v>302</v>
      </c>
    </row>
    <row r="418" spans="1:4" ht="15.75" customHeight="1">
      <c r="A418" s="22">
        <v>15815044</v>
      </c>
      <c r="B418" s="4">
        <v>2156005</v>
      </c>
      <c r="C418" s="4" t="str">
        <f t="shared" si="2"/>
        <v/>
      </c>
      <c r="D418" s="4" t="s">
        <v>302</v>
      </c>
    </row>
    <row r="419" spans="1:4" ht="15.75" customHeight="1">
      <c r="A419" s="22">
        <v>9705171</v>
      </c>
      <c r="B419" s="4">
        <v>22825817</v>
      </c>
      <c r="C419" s="4" t="str">
        <f t="shared" si="2"/>
        <v/>
      </c>
      <c r="D419" s="4" t="s">
        <v>302</v>
      </c>
    </row>
    <row r="420" spans="1:4" ht="15.75" customHeight="1">
      <c r="A420" s="22">
        <v>25971271</v>
      </c>
      <c r="B420" s="4">
        <v>11742650</v>
      </c>
      <c r="C420" s="4" t="str">
        <f t="shared" si="2"/>
        <v/>
      </c>
      <c r="D420" s="4" t="s">
        <v>302</v>
      </c>
    </row>
    <row r="421" spans="1:4" ht="15.75" customHeight="1">
      <c r="A421" s="22">
        <v>14556272</v>
      </c>
      <c r="B421" s="4">
        <v>9705171</v>
      </c>
      <c r="C421" s="4" t="str">
        <f t="shared" si="2"/>
        <v/>
      </c>
      <c r="D421" s="4" t="s">
        <v>302</v>
      </c>
    </row>
    <row r="422" spans="1:4" ht="15.75" customHeight="1">
      <c r="A422" s="22">
        <v>1851812</v>
      </c>
      <c r="B422" s="4">
        <v>9311701</v>
      </c>
      <c r="C422" s="4" t="str">
        <f t="shared" si="2"/>
        <v/>
      </c>
      <c r="D422" s="4" t="s">
        <v>302</v>
      </c>
    </row>
    <row r="423" spans="1:4" ht="15.75" customHeight="1">
      <c r="A423" s="22">
        <v>10505318</v>
      </c>
      <c r="B423" s="4">
        <v>17928352</v>
      </c>
      <c r="C423" s="4" t="str">
        <f t="shared" si="2"/>
        <v/>
      </c>
      <c r="D423" s="4" t="s">
        <v>302</v>
      </c>
    </row>
    <row r="424" spans="1:4" ht="15.75" customHeight="1">
      <c r="A424" s="22">
        <v>12767009</v>
      </c>
      <c r="B424" s="4">
        <v>16187619</v>
      </c>
      <c r="C424" s="4" t="str">
        <f t="shared" si="2"/>
        <v/>
      </c>
      <c r="D424" s="4" t="s">
        <v>302</v>
      </c>
    </row>
    <row r="425" spans="1:4" ht="15.75" customHeight="1">
      <c r="A425" s="22">
        <v>19898212</v>
      </c>
      <c r="B425" s="4">
        <v>17276371</v>
      </c>
      <c r="C425" s="4" t="str">
        <f t="shared" si="2"/>
        <v/>
      </c>
      <c r="D425" s="4" t="s">
        <v>302</v>
      </c>
    </row>
    <row r="426" spans="1:4" ht="15.75" customHeight="1">
      <c r="A426" s="22">
        <v>1693942</v>
      </c>
      <c r="B426" s="4">
        <v>15469723</v>
      </c>
      <c r="C426" s="4" t="str">
        <f t="shared" si="2"/>
        <v/>
      </c>
      <c r="D426" s="4" t="s">
        <v>302</v>
      </c>
    </row>
    <row r="427" spans="1:4" ht="15.75" customHeight="1">
      <c r="A427" s="22">
        <v>9746806</v>
      </c>
      <c r="B427" s="4">
        <v>8896242</v>
      </c>
      <c r="C427" s="4" t="str">
        <f t="shared" si="2"/>
        <v/>
      </c>
      <c r="D427" s="4" t="s">
        <v>302</v>
      </c>
    </row>
    <row r="428" spans="1:4" ht="15.75" customHeight="1">
      <c r="A428" s="22">
        <v>12181449</v>
      </c>
      <c r="B428" s="4">
        <v>14556272</v>
      </c>
      <c r="C428" s="4" t="str">
        <f t="shared" si="2"/>
        <v/>
      </c>
      <c r="D428" s="4" t="s">
        <v>302</v>
      </c>
    </row>
    <row r="429" spans="1:4" ht="15.75" customHeight="1">
      <c r="A429" s="22">
        <v>18952495</v>
      </c>
      <c r="B429" s="4">
        <v>9391653</v>
      </c>
      <c r="C429" s="4" t="str">
        <f t="shared" si="2"/>
        <v/>
      </c>
      <c r="D429" s="4" t="s">
        <v>302</v>
      </c>
    </row>
    <row r="430" spans="1:4" ht="15.75" customHeight="1">
      <c r="A430" s="22">
        <v>17376932</v>
      </c>
      <c r="B430" s="4">
        <v>16960791</v>
      </c>
      <c r="C430" s="4" t="str">
        <f t="shared" si="2"/>
        <v/>
      </c>
      <c r="D430" s="4" t="s">
        <v>302</v>
      </c>
    </row>
    <row r="431" spans="1:4" ht="15.75" customHeight="1">
      <c r="A431" s="22">
        <v>28638124</v>
      </c>
      <c r="B431" s="4">
        <v>10068608</v>
      </c>
      <c r="C431" s="4" t="str">
        <f t="shared" si="2"/>
        <v/>
      </c>
      <c r="D431" s="4" t="s">
        <v>302</v>
      </c>
    </row>
    <row r="432" spans="1:4" ht="15.75" customHeight="1">
      <c r="A432" s="22">
        <v>8896242</v>
      </c>
      <c r="B432" s="4">
        <v>17939902</v>
      </c>
      <c r="C432" s="4" t="str">
        <f t="shared" si="2"/>
        <v/>
      </c>
      <c r="D432" s="4" t="s">
        <v>302</v>
      </c>
    </row>
    <row r="433" spans="1:4" ht="15.75" customHeight="1">
      <c r="A433" s="22">
        <v>7606018</v>
      </c>
      <c r="B433" s="4">
        <v>15152048</v>
      </c>
      <c r="C433" s="4" t="str">
        <f t="shared" si="2"/>
        <v/>
      </c>
      <c r="D433" s="4" t="s">
        <v>302</v>
      </c>
    </row>
    <row r="434" spans="1:4" ht="15.75" customHeight="1">
      <c r="A434" s="22">
        <v>2156005</v>
      </c>
      <c r="B434" s="4">
        <v>23342747</v>
      </c>
      <c r="C434" s="4" t="str">
        <f t="shared" si="2"/>
        <v/>
      </c>
      <c r="D434" s="4" t="s">
        <v>302</v>
      </c>
    </row>
    <row r="435" spans="1:4" ht="15.75" customHeight="1">
      <c r="A435" s="22">
        <v>11389712</v>
      </c>
      <c r="B435" s="4">
        <v>8391023</v>
      </c>
      <c r="C435" s="4" t="str">
        <f t="shared" si="2"/>
        <v/>
      </c>
      <c r="D435" s="4" t="s">
        <v>302</v>
      </c>
    </row>
    <row r="436" spans="1:4" ht="15.75" customHeight="1">
      <c r="A436" s="22">
        <v>9639435</v>
      </c>
      <c r="B436" s="4">
        <v>11076708</v>
      </c>
      <c r="C436" s="4" t="str">
        <f t="shared" si="2"/>
        <v/>
      </c>
      <c r="D436" s="4" t="s">
        <v>302</v>
      </c>
    </row>
    <row r="437" spans="1:4" ht="15.75" customHeight="1">
      <c r="A437" s="22">
        <v>12966551</v>
      </c>
      <c r="B437" s="4">
        <v>8385692</v>
      </c>
      <c r="C437" s="4" t="str">
        <f t="shared" si="2"/>
        <v/>
      </c>
      <c r="D437" s="4" t="s">
        <v>302</v>
      </c>
    </row>
    <row r="438" spans="1:4" ht="15.75" customHeight="1">
      <c r="A438" s="22">
        <v>1968216</v>
      </c>
      <c r="B438" s="4">
        <v>11593320</v>
      </c>
      <c r="C438" s="4" t="str">
        <f t="shared" si="2"/>
        <v/>
      </c>
      <c r="D438" s="4" t="s">
        <v>302</v>
      </c>
    </row>
    <row r="439" spans="1:4" ht="15.75" customHeight="1">
      <c r="A439" s="22">
        <v>15164383</v>
      </c>
      <c r="B439" s="4">
        <v>1846645</v>
      </c>
      <c r="C439" s="4" t="str">
        <f t="shared" si="2"/>
        <v/>
      </c>
      <c r="D439" s="4" t="s">
        <v>302</v>
      </c>
    </row>
    <row r="440" spans="1:4" ht="15.75" customHeight="1">
      <c r="A440" s="22">
        <v>18489054</v>
      </c>
      <c r="B440" s="4">
        <v>27060193</v>
      </c>
      <c r="C440" s="4" t="str">
        <f t="shared" si="2"/>
        <v/>
      </c>
      <c r="D440" s="4" t="s">
        <v>302</v>
      </c>
    </row>
    <row r="441" spans="1:4" ht="15.75" customHeight="1">
      <c r="A441" s="22">
        <v>8198870</v>
      </c>
      <c r="B441" s="4">
        <v>24478470</v>
      </c>
      <c r="C441" s="4" t="str">
        <f t="shared" si="2"/>
        <v/>
      </c>
      <c r="D441" s="4" t="s">
        <v>302</v>
      </c>
    </row>
    <row r="442" spans="1:4" ht="15.75" customHeight="1">
      <c r="A442" s="22">
        <v>24803376</v>
      </c>
      <c r="B442" s="4">
        <v>9258937</v>
      </c>
      <c r="C442" s="4" t="str">
        <f t="shared" si="2"/>
        <v/>
      </c>
      <c r="D442" s="4" t="s">
        <v>302</v>
      </c>
    </row>
    <row r="443" spans="1:4" ht="15.75" customHeight="1">
      <c r="A443" s="22">
        <v>9060695</v>
      </c>
      <c r="B443" s="4">
        <v>11454544</v>
      </c>
      <c r="C443" s="4" t="str">
        <f t="shared" si="2"/>
        <v/>
      </c>
      <c r="D443" s="4" t="s">
        <v>302</v>
      </c>
    </row>
    <row r="444" spans="1:4" ht="15.75" customHeight="1">
      <c r="A444" s="22">
        <v>7907709</v>
      </c>
      <c r="B444" s="4">
        <v>12270665</v>
      </c>
      <c r="C444" s="4" t="str">
        <f t="shared" si="2"/>
        <v/>
      </c>
      <c r="D444" s="4" t="s">
        <v>302</v>
      </c>
    </row>
    <row r="445" spans="1:4" ht="15.75" customHeight="1">
      <c r="A445" s="22">
        <v>16008754</v>
      </c>
      <c r="B445" s="4">
        <v>20561301</v>
      </c>
      <c r="C445" s="4" t="str">
        <f t="shared" si="2"/>
        <v/>
      </c>
      <c r="D445" s="4" t="s">
        <v>302</v>
      </c>
    </row>
    <row r="446" spans="1:4" ht="15.75" customHeight="1">
      <c r="A446" s="22">
        <v>18550745</v>
      </c>
      <c r="B446" s="4">
        <v>24380721</v>
      </c>
      <c r="C446" s="4" t="str">
        <f t="shared" si="2"/>
        <v/>
      </c>
      <c r="D446" s="4" t="s">
        <v>302</v>
      </c>
    </row>
    <row r="447" spans="1:4" ht="15.75" customHeight="1">
      <c r="A447" s="22">
        <v>1311366</v>
      </c>
      <c r="B447" s="4">
        <v>9242553</v>
      </c>
      <c r="C447" s="4" t="str">
        <f t="shared" si="2"/>
        <v/>
      </c>
      <c r="D447" s="4" t="s">
        <v>302</v>
      </c>
    </row>
    <row r="448" spans="1:4" ht="15.75" customHeight="1">
      <c r="A448" s="22">
        <v>7645258</v>
      </c>
      <c r="B448" s="4">
        <v>8397264</v>
      </c>
      <c r="C448" s="4" t="str">
        <f t="shared" si="2"/>
        <v/>
      </c>
      <c r="D448" s="4" t="s">
        <v>302</v>
      </c>
    </row>
    <row r="449" spans="1:4" ht="15.75" customHeight="1">
      <c r="A449" s="22">
        <v>25744043</v>
      </c>
      <c r="B449" s="4">
        <v>21088083</v>
      </c>
      <c r="C449" s="4" t="str">
        <f t="shared" si="2"/>
        <v/>
      </c>
      <c r="D449" s="4" t="s">
        <v>302</v>
      </c>
    </row>
    <row r="450" spans="1:4" ht="15.75" customHeight="1">
      <c r="A450" s="22">
        <v>7626174</v>
      </c>
      <c r="B450" s="4">
        <v>1311366</v>
      </c>
      <c r="C450" s="4" t="str">
        <f t="shared" si="2"/>
        <v/>
      </c>
      <c r="D450" s="4" t="s">
        <v>302</v>
      </c>
    </row>
    <row r="451" spans="1:4" ht="15.75" customHeight="1">
      <c r="A451" s="22">
        <v>1695370</v>
      </c>
      <c r="B451" s="4">
        <v>25124787</v>
      </c>
      <c r="C451" s="4" t="str">
        <f t="shared" si="2"/>
        <v/>
      </c>
      <c r="D451" s="4" t="s">
        <v>302</v>
      </c>
    </row>
    <row r="452" spans="1:4" ht="15.75" customHeight="1">
      <c r="A452" s="22">
        <v>17172120</v>
      </c>
      <c r="B452" s="4">
        <v>19519818</v>
      </c>
      <c r="C452" s="4" t="str">
        <f t="shared" si="2"/>
        <v/>
      </c>
      <c r="D452" s="4" t="s">
        <v>302</v>
      </c>
    </row>
    <row r="453" spans="1:4" ht="15.75" customHeight="1">
      <c r="A453" s="22">
        <v>9603340</v>
      </c>
      <c r="B453" s="4">
        <v>26596368</v>
      </c>
      <c r="C453" s="4" t="str">
        <f t="shared" si="2"/>
        <v/>
      </c>
      <c r="D453" s="4" t="s">
        <v>302</v>
      </c>
    </row>
    <row r="454" spans="1:4" ht="15.75" customHeight="1">
      <c r="A454" s="22">
        <v>16417932</v>
      </c>
      <c r="B454" s="4">
        <v>7893980</v>
      </c>
      <c r="C454" s="4" t="str">
        <f t="shared" si="2"/>
        <v/>
      </c>
      <c r="D454" s="4" t="s">
        <v>302</v>
      </c>
    </row>
    <row r="455" spans="1:4" ht="15.75" customHeight="1">
      <c r="A455" s="22">
        <v>1322964</v>
      </c>
      <c r="B455" s="4">
        <v>7534493</v>
      </c>
      <c r="C455" s="4" t="str">
        <f t="shared" si="2"/>
        <v/>
      </c>
      <c r="D455" s="4" t="s">
        <v>302</v>
      </c>
    </row>
    <row r="456" spans="1:4" ht="15.75" customHeight="1">
      <c r="A456" s="22">
        <v>2156215</v>
      </c>
      <c r="B456" s="4">
        <v>1647138</v>
      </c>
      <c r="C456" s="4" t="str">
        <f t="shared" si="2"/>
        <v/>
      </c>
      <c r="D456" s="4" t="s">
        <v>302</v>
      </c>
    </row>
    <row r="457" spans="1:4" ht="15.75" customHeight="1">
      <c r="A457" s="22">
        <v>7638436</v>
      </c>
      <c r="B457" s="4">
        <v>22647694</v>
      </c>
      <c r="C457" s="4" t="str">
        <f t="shared" si="2"/>
        <v/>
      </c>
      <c r="D457" s="4" t="s">
        <v>302</v>
      </c>
    </row>
    <row r="458" spans="1:4" ht="15.75" customHeight="1">
      <c r="A458" s="22">
        <v>8890036</v>
      </c>
      <c r="B458" s="4">
        <v>12794728</v>
      </c>
      <c r="C458" s="4" t="str">
        <f t="shared" si="2"/>
        <v/>
      </c>
      <c r="D458" s="4" t="s">
        <v>302</v>
      </c>
    </row>
    <row r="459" spans="1:4" ht="15.75" customHeight="1">
      <c r="A459" s="22">
        <v>9645656</v>
      </c>
      <c r="B459" s="4">
        <v>18695326</v>
      </c>
      <c r="C459" s="4" t="str">
        <f t="shared" si="2"/>
        <v/>
      </c>
      <c r="D459" s="4" t="s">
        <v>302</v>
      </c>
    </row>
    <row r="460" spans="1:4" ht="15.75" customHeight="1">
      <c r="A460" s="22">
        <v>2573513</v>
      </c>
      <c r="B460" s="4">
        <v>19656346</v>
      </c>
      <c r="C460" s="4" t="str">
        <f t="shared" si="2"/>
        <v/>
      </c>
      <c r="D460" s="4" t="s">
        <v>302</v>
      </c>
    </row>
    <row r="461" spans="1:4" ht="15.75" customHeight="1">
      <c r="A461" s="22">
        <v>7738149</v>
      </c>
      <c r="B461" s="4">
        <v>16030042</v>
      </c>
      <c r="C461" s="4" t="str">
        <f t="shared" si="2"/>
        <v/>
      </c>
      <c r="D461" s="4" t="s">
        <v>302</v>
      </c>
    </row>
    <row r="462" spans="1:4" ht="15.75" customHeight="1">
      <c r="A462" s="22">
        <v>11753554</v>
      </c>
      <c r="B462" s="4">
        <v>1311135</v>
      </c>
      <c r="C462" s="4" t="str">
        <f t="shared" si="2"/>
        <v/>
      </c>
      <c r="D462" s="4" t="s">
        <v>302</v>
      </c>
    </row>
    <row r="463" spans="1:4" ht="15.75" customHeight="1">
      <c r="A463" s="22">
        <v>11990701</v>
      </c>
      <c r="B463" s="4">
        <v>15914369</v>
      </c>
      <c r="C463" s="4" t="str">
        <f t="shared" si="2"/>
        <v/>
      </c>
      <c r="D463" s="4" t="s">
        <v>302</v>
      </c>
    </row>
    <row r="464" spans="1:4" ht="15.75" customHeight="1">
      <c r="A464" s="22">
        <v>12580952</v>
      </c>
      <c r="B464" s="4">
        <v>1968216</v>
      </c>
      <c r="C464" s="4" t="str">
        <f t="shared" si="2"/>
        <v/>
      </c>
      <c r="D464" s="4" t="s">
        <v>302</v>
      </c>
    </row>
    <row r="465" spans="1:4" ht="15.75" customHeight="1">
      <c r="A465" s="22">
        <v>2161036</v>
      </c>
      <c r="B465" s="4">
        <v>7915373</v>
      </c>
      <c r="C465" s="4" t="str">
        <f t="shared" si="2"/>
        <v/>
      </c>
      <c r="D465" s="4" t="s">
        <v>302</v>
      </c>
    </row>
    <row r="466" spans="1:4" ht="15.75" customHeight="1">
      <c r="A466" s="22">
        <v>1849169</v>
      </c>
      <c r="B466" s="4">
        <v>11389712</v>
      </c>
      <c r="C466" s="4" t="str">
        <f t="shared" si="2"/>
        <v/>
      </c>
      <c r="D466" s="4" t="s">
        <v>302</v>
      </c>
    </row>
    <row r="467" spans="1:4" ht="15.75" customHeight="1">
      <c r="A467" s="22">
        <v>17254798</v>
      </c>
      <c r="B467" s="4">
        <v>18550745</v>
      </c>
      <c r="C467" s="4" t="str">
        <f t="shared" si="2"/>
        <v/>
      </c>
      <c r="D467" s="4" t="s">
        <v>302</v>
      </c>
    </row>
    <row r="468" spans="1:4" ht="15.75" customHeight="1">
      <c r="A468" s="22">
        <v>1654446</v>
      </c>
      <c r="B468" s="4">
        <v>2159541</v>
      </c>
      <c r="C468" s="4" t="str">
        <f t="shared" si="2"/>
        <v/>
      </c>
      <c r="D468" s="4" t="s">
        <v>302</v>
      </c>
    </row>
    <row r="469" spans="1:4" ht="15.75" customHeight="1">
      <c r="A469" s="22">
        <v>18762768</v>
      </c>
      <c r="B469" s="4">
        <v>26489402</v>
      </c>
      <c r="C469" s="4" t="str">
        <f t="shared" si="2"/>
        <v/>
      </c>
      <c r="D469" s="4" t="s">
        <v>302</v>
      </c>
    </row>
    <row r="470" spans="1:4" ht="15.75" customHeight="1">
      <c r="A470" s="22">
        <v>17913577</v>
      </c>
      <c r="B470" s="4">
        <v>14593901</v>
      </c>
      <c r="C470" s="4" t="str">
        <f t="shared" si="2"/>
        <v/>
      </c>
      <c r="D470" s="4" t="s">
        <v>302</v>
      </c>
    </row>
    <row r="471" spans="1:4" ht="15.75" customHeight="1">
      <c r="A471" s="22">
        <v>15619896</v>
      </c>
      <c r="B471" s="4">
        <v>10423733</v>
      </c>
      <c r="C471" s="4" t="str">
        <f t="shared" si="2"/>
        <v/>
      </c>
      <c r="D471" s="4" t="s">
        <v>302</v>
      </c>
    </row>
    <row r="472" spans="1:4" ht="15.75" customHeight="1">
      <c r="A472" s="22">
        <v>16615518</v>
      </c>
      <c r="B472" s="4">
        <v>17704794</v>
      </c>
      <c r="C472" s="4" t="str">
        <f t="shared" si="2"/>
        <v/>
      </c>
      <c r="D472" s="4" t="s">
        <v>302</v>
      </c>
    </row>
    <row r="473" spans="1:4" ht="15.75" customHeight="1">
      <c r="A473" s="22">
        <v>12551983</v>
      </c>
      <c r="B473" s="4">
        <v>11990701</v>
      </c>
      <c r="C473" s="4" t="str">
        <f t="shared" si="2"/>
        <v/>
      </c>
      <c r="D473" s="4" t="s">
        <v>302</v>
      </c>
    </row>
    <row r="474" spans="1:4" ht="15.75" customHeight="1">
      <c r="A474" s="22">
        <v>16615527</v>
      </c>
      <c r="B474" s="4">
        <v>2161036</v>
      </c>
      <c r="C474" s="4" t="str">
        <f t="shared" si="2"/>
        <v/>
      </c>
      <c r="D474" s="4" t="s">
        <v>302</v>
      </c>
    </row>
    <row r="475" spans="1:4" ht="15.75" customHeight="1">
      <c r="A475" s="22">
        <v>8601789</v>
      </c>
      <c r="B475" s="4">
        <v>17204195</v>
      </c>
      <c r="C475" s="4" t="str">
        <f t="shared" si="2"/>
        <v/>
      </c>
      <c r="D475" s="4" t="s">
        <v>302</v>
      </c>
    </row>
    <row r="476" spans="1:4" ht="15.75" customHeight="1">
      <c r="A476" s="22">
        <v>2158189</v>
      </c>
      <c r="B476" s="4">
        <v>7606018</v>
      </c>
      <c r="C476" s="4" t="str">
        <f t="shared" si="2"/>
        <v/>
      </c>
      <c r="D476" s="4" t="s">
        <v>302</v>
      </c>
    </row>
    <row r="477" spans="1:4" ht="15.75" customHeight="1">
      <c r="A477" s="22">
        <v>25571778</v>
      </c>
      <c r="B477" s="4">
        <v>12491213</v>
      </c>
      <c r="C477" s="4" t="str">
        <f t="shared" si="2"/>
        <v/>
      </c>
      <c r="D477" s="4" t="s">
        <v>302</v>
      </c>
    </row>
    <row r="478" spans="1:4" ht="15.75" customHeight="1">
      <c r="A478" s="22">
        <v>12491213</v>
      </c>
      <c r="B478" s="4">
        <v>7939295</v>
      </c>
      <c r="C478" s="4" t="str">
        <f t="shared" si="2"/>
        <v/>
      </c>
      <c r="D478" s="4" t="s">
        <v>302</v>
      </c>
    </row>
    <row r="479" spans="1:4" ht="15.75" customHeight="1">
      <c r="A479" s="22">
        <v>1963027</v>
      </c>
      <c r="B479" s="4">
        <v>1668969</v>
      </c>
      <c r="C479" s="4" t="str">
        <f t="shared" si="2"/>
        <v/>
      </c>
      <c r="D479" s="4" t="s">
        <v>302</v>
      </c>
    </row>
    <row r="480" spans="1:4" ht="15.75" customHeight="1">
      <c r="A480" s="22">
        <v>29898877</v>
      </c>
      <c r="B480" s="4">
        <v>7893986</v>
      </c>
      <c r="C480" s="4" t="str">
        <f t="shared" si="2"/>
        <v/>
      </c>
      <c r="D480" s="4" t="s">
        <v>302</v>
      </c>
    </row>
    <row r="481" spans="1:4" ht="15.75" customHeight="1">
      <c r="A481" s="22">
        <v>16030042</v>
      </c>
      <c r="B481" s="4">
        <v>17254798</v>
      </c>
      <c r="C481" s="4" t="str">
        <f t="shared" si="2"/>
        <v/>
      </c>
      <c r="D481" s="4" t="s">
        <v>302</v>
      </c>
    </row>
    <row r="482" spans="1:4" ht="15.75" customHeight="1">
      <c r="A482" s="22">
        <v>9603179</v>
      </c>
      <c r="B482" s="4">
        <v>7893985</v>
      </c>
      <c r="C482" s="4" t="str">
        <f t="shared" si="2"/>
        <v/>
      </c>
      <c r="D482" s="4" t="s">
        <v>302</v>
      </c>
    </row>
    <row r="483" spans="1:4" ht="15.75" customHeight="1">
      <c r="A483" s="22">
        <v>2574324</v>
      </c>
      <c r="B483" s="4">
        <v>2173796</v>
      </c>
      <c r="C483" s="4" t="str">
        <f t="shared" si="2"/>
        <v/>
      </c>
      <c r="D483" s="4" t="s">
        <v>302</v>
      </c>
    </row>
    <row r="484" spans="1:4" ht="15.75" customHeight="1">
      <c r="A484" s="22">
        <v>12525662</v>
      </c>
      <c r="B484" s="4">
        <v>18024365</v>
      </c>
      <c r="C484" s="4" t="str">
        <f t="shared" si="2"/>
        <v/>
      </c>
      <c r="D484" s="4" t="s">
        <v>302</v>
      </c>
    </row>
    <row r="485" spans="1:4" ht="15.75" customHeight="1">
      <c r="A485" s="22">
        <v>11497221</v>
      </c>
      <c r="B485" s="4">
        <v>1322964</v>
      </c>
      <c r="C485" s="4" t="str">
        <f t="shared" si="2"/>
        <v/>
      </c>
      <c r="D485" s="4" t="s">
        <v>302</v>
      </c>
    </row>
    <row r="486" spans="1:4" ht="15.75" customHeight="1">
      <c r="A486" s="22">
        <v>11317413</v>
      </c>
      <c r="B486" s="4">
        <v>2156361</v>
      </c>
      <c r="C486" s="4" t="str">
        <f t="shared" si="2"/>
        <v/>
      </c>
      <c r="D486" s="4" t="s">
        <v>302</v>
      </c>
    </row>
    <row r="487" spans="1:4" ht="15.75" customHeight="1">
      <c r="A487" s="22">
        <v>1846645</v>
      </c>
      <c r="B487" s="4">
        <v>11497221</v>
      </c>
      <c r="C487" s="4" t="str">
        <f t="shared" si="2"/>
        <v/>
      </c>
      <c r="D487" s="4" t="s">
        <v>302</v>
      </c>
    </row>
    <row r="488" spans="1:4" ht="15.75" customHeight="1">
      <c r="A488" s="22">
        <v>11454544</v>
      </c>
      <c r="B488" s="4">
        <v>24803376</v>
      </c>
      <c r="C488" s="4" t="str">
        <f t="shared" si="2"/>
        <v/>
      </c>
      <c r="D488" s="4" t="s">
        <v>302</v>
      </c>
    </row>
    <row r="489" spans="1:4" ht="15.75" customHeight="1">
      <c r="A489" s="22">
        <v>9752764</v>
      </c>
      <c r="B489" s="4">
        <v>2156215</v>
      </c>
      <c r="C489" s="4" t="str">
        <f t="shared" si="2"/>
        <v/>
      </c>
      <c r="D489" s="4" t="s">
        <v>302</v>
      </c>
    </row>
    <row r="490" spans="1:4" ht="15.75" customHeight="1">
      <c r="A490" s="22">
        <v>26596368</v>
      </c>
      <c r="B490" s="4">
        <v>11317413</v>
      </c>
      <c r="C490" s="4" t="str">
        <f t="shared" si="2"/>
        <v/>
      </c>
      <c r="D490" s="4" t="s">
        <v>302</v>
      </c>
    </row>
    <row r="491" spans="1:4" ht="15.75" customHeight="1">
      <c r="A491" s="22">
        <v>16960791</v>
      </c>
      <c r="B491" s="4">
        <v>12551983</v>
      </c>
      <c r="C491" s="4" t="str">
        <f t="shared" si="2"/>
        <v/>
      </c>
      <c r="D491" s="4" t="s">
        <v>302</v>
      </c>
    </row>
    <row r="492" spans="1:4" ht="15.75" customHeight="1">
      <c r="A492" s="22">
        <v>20053335</v>
      </c>
      <c r="B492" s="4">
        <v>8601789</v>
      </c>
      <c r="C492" s="4" t="str">
        <f t="shared" si="2"/>
        <v/>
      </c>
      <c r="D492" s="4" t="s">
        <v>302</v>
      </c>
    </row>
    <row r="493" spans="1:4" ht="15.75" customHeight="1">
      <c r="A493" s="22">
        <v>7893985</v>
      </c>
      <c r="B493" s="4">
        <v>2158189</v>
      </c>
      <c r="C493" s="4" t="str">
        <f t="shared" si="2"/>
        <v/>
      </c>
      <c r="D493" s="4" t="s">
        <v>302</v>
      </c>
    </row>
    <row r="494" spans="1:4" ht="15.75" customHeight="1">
      <c r="A494" s="22">
        <v>10678076</v>
      </c>
      <c r="B494" s="4">
        <v>7907709</v>
      </c>
      <c r="C494" s="4" t="str">
        <f t="shared" si="2"/>
        <v/>
      </c>
      <c r="D494" s="4" t="s">
        <v>302</v>
      </c>
    </row>
    <row r="495" spans="1:4" ht="15.75" customHeight="1">
      <c r="A495" s="22">
        <v>7939295</v>
      </c>
      <c r="B495" s="4">
        <v>25571778</v>
      </c>
      <c r="C495" s="4" t="str">
        <f t="shared" si="2"/>
        <v/>
      </c>
      <c r="D495" s="4" t="s">
        <v>302</v>
      </c>
    </row>
    <row r="496" spans="1:4" ht="15.75" customHeight="1">
      <c r="A496" s="22">
        <v>8397264</v>
      </c>
      <c r="B496" s="4">
        <v>7738149</v>
      </c>
      <c r="C496" s="4" t="str">
        <f t="shared" si="2"/>
        <v/>
      </c>
      <c r="D496" s="4" t="s">
        <v>302</v>
      </c>
    </row>
    <row r="497" spans="1:4" ht="15.75" customHeight="1">
      <c r="A497" s="22">
        <v>19920771</v>
      </c>
      <c r="B497" s="4">
        <v>8232500</v>
      </c>
      <c r="C497" s="4" t="str">
        <f t="shared" si="2"/>
        <v/>
      </c>
      <c r="D497" s="4" t="s">
        <v>302</v>
      </c>
    </row>
    <row r="498" spans="1:4" ht="15.75" customHeight="1">
      <c r="A498" s="22">
        <v>2173796</v>
      </c>
      <c r="B498" s="4">
        <v>19920771</v>
      </c>
      <c r="C498" s="4" t="str">
        <f t="shared" si="2"/>
        <v/>
      </c>
      <c r="D498" s="4" t="s">
        <v>302</v>
      </c>
    </row>
    <row r="499" spans="1:4" ht="15.75" customHeight="1">
      <c r="A499" s="22">
        <v>17704794</v>
      </c>
      <c r="B499" s="4">
        <v>15619896</v>
      </c>
      <c r="C499" s="4" t="str">
        <f t="shared" si="2"/>
        <v/>
      </c>
      <c r="D499" s="4" t="s">
        <v>302</v>
      </c>
    </row>
    <row r="500" spans="1:4" ht="15.75" customHeight="1">
      <c r="A500" s="22">
        <v>8232500</v>
      </c>
      <c r="B500" s="4">
        <v>11505524</v>
      </c>
      <c r="C500" s="4" t="str">
        <f t="shared" si="2"/>
        <v/>
      </c>
      <c r="D500" s="4" t="s">
        <v>302</v>
      </c>
    </row>
    <row r="501" spans="1:4" ht="15.75" customHeight="1">
      <c r="A501" s="22">
        <v>11505524</v>
      </c>
      <c r="B501" s="4">
        <v>10678076</v>
      </c>
      <c r="C501" s="4" t="str">
        <f t="shared" si="2"/>
        <v/>
      </c>
      <c r="D501" s="4" t="s">
        <v>302</v>
      </c>
    </row>
    <row r="502" spans="1:4" ht="15.75" customHeight="1">
      <c r="A502" s="22">
        <v>7742449</v>
      </c>
      <c r="B502" s="4">
        <v>1353104</v>
      </c>
      <c r="C502" s="4" t="str">
        <f t="shared" si="2"/>
        <v/>
      </c>
      <c r="D502" s="4" t="s">
        <v>302</v>
      </c>
    </row>
    <row r="503" spans="1:4" ht="15.75" customHeight="1">
      <c r="A503" s="22">
        <v>9811708</v>
      </c>
      <c r="B503" s="4">
        <v>7742449</v>
      </c>
      <c r="C503" s="4" t="str">
        <f t="shared" si="2"/>
        <v/>
      </c>
      <c r="D503" s="4" t="s">
        <v>302</v>
      </c>
    </row>
    <row r="504" spans="1:4" ht="15.75" customHeight="1">
      <c r="A504" s="22">
        <v>1353104</v>
      </c>
      <c r="B504" s="4">
        <v>9811708</v>
      </c>
      <c r="C504" s="4" t="str">
        <f t="shared" si="2"/>
        <v/>
      </c>
      <c r="D504" s="4" t="s">
        <v>302</v>
      </c>
    </row>
    <row r="505" spans="1:4" ht="15.75" customHeight="1">
      <c r="A505" s="22">
        <v>19100443</v>
      </c>
      <c r="B505" s="4">
        <v>10233397</v>
      </c>
      <c r="C505" s="4" t="str">
        <f t="shared" si="2"/>
        <v/>
      </c>
      <c r="D505" s="4" t="s">
        <v>302</v>
      </c>
    </row>
    <row r="506" spans="1:4" ht="15.75" customHeight="1">
      <c r="A506" s="22">
        <v>10233397</v>
      </c>
      <c r="B506" s="4">
        <v>24099308</v>
      </c>
      <c r="C506" s="4" t="str">
        <f t="shared" si="2"/>
        <v/>
      </c>
      <c r="D506" s="4" t="s">
        <v>302</v>
      </c>
    </row>
    <row r="507" spans="1:4" ht="15.75" customHeight="1">
      <c r="A507" s="22">
        <v>1332051</v>
      </c>
      <c r="B507" s="4">
        <v>1332051</v>
      </c>
      <c r="C507" s="4" t="str">
        <f t="shared" si="2"/>
        <v/>
      </c>
      <c r="D507" s="4" t="s">
        <v>302</v>
      </c>
    </row>
    <row r="508" spans="1:4" ht="15.75" customHeight="1">
      <c r="A508" s="22">
        <v>24099308</v>
      </c>
      <c r="B508" s="4">
        <v>1846942</v>
      </c>
      <c r="C508" s="4" t="str">
        <f t="shared" si="2"/>
        <v/>
      </c>
      <c r="D508" s="4" t="s">
        <v>302</v>
      </c>
    </row>
    <row r="509" spans="1:4" ht="15.75" customHeight="1">
      <c r="A509" s="22">
        <v>1846942</v>
      </c>
      <c r="B509" s="4">
        <v>30773083</v>
      </c>
      <c r="C509" s="4" t="str">
        <f t="shared" si="2"/>
        <v/>
      </c>
      <c r="D509" s="4" t="s">
        <v>302</v>
      </c>
    </row>
    <row r="510" spans="1:4" ht="15.75" customHeight="1">
      <c r="A510" s="22">
        <v>30773083</v>
      </c>
      <c r="B510" s="4">
        <v>19496184</v>
      </c>
      <c r="C510" s="4" t="str">
        <f t="shared" si="2"/>
        <v/>
      </c>
      <c r="D510" s="4" t="s">
        <v>302</v>
      </c>
    </row>
    <row r="511" spans="1:4" ht="15.75" customHeight="1">
      <c r="A511" s="22">
        <v>18424026</v>
      </c>
      <c r="B511" s="4">
        <v>18424026</v>
      </c>
      <c r="C511" s="4" t="str">
        <f t="shared" si="2"/>
        <v/>
      </c>
      <c r="D511" s="4" t="s">
        <v>302</v>
      </c>
    </row>
    <row r="512" spans="1:4" ht="15.75" customHeight="1">
      <c r="A512" s="22">
        <v>19496184</v>
      </c>
      <c r="B512" s="4">
        <v>8151767</v>
      </c>
      <c r="C512" s="4" t="str">
        <f t="shared" ref="C512:C766" si="3">IFERROR(IF(MATCH(A512,B:B,0)&gt;0,""),A512)</f>
        <v/>
      </c>
      <c r="D512" s="4" t="s">
        <v>302</v>
      </c>
    </row>
    <row r="513" spans="1:4" ht="15.75" customHeight="1">
      <c r="A513" s="22">
        <v>8151767</v>
      </c>
      <c r="B513" s="4">
        <v>30102463</v>
      </c>
      <c r="C513" s="4" t="str">
        <f t="shared" si="3"/>
        <v/>
      </c>
      <c r="D513" s="4" t="s">
        <v>302</v>
      </c>
    </row>
    <row r="514" spans="1:4" ht="15.75" customHeight="1">
      <c r="A514" s="22">
        <v>28782564</v>
      </c>
      <c r="B514" s="4">
        <v>20487413</v>
      </c>
      <c r="C514" s="4" t="str">
        <f t="shared" si="3"/>
        <v/>
      </c>
      <c r="D514" s="4" t="s">
        <v>302</v>
      </c>
    </row>
    <row r="515" spans="1:4" ht="15.75" customHeight="1">
      <c r="A515" s="22">
        <v>30102463</v>
      </c>
      <c r="B515" s="4">
        <v>26809130</v>
      </c>
      <c r="C515" s="4" t="str">
        <f t="shared" si="3"/>
        <v/>
      </c>
      <c r="D515" s="4" t="s">
        <v>302</v>
      </c>
    </row>
    <row r="516" spans="1:4" ht="15.75" customHeight="1">
      <c r="A516" s="22">
        <v>26809130</v>
      </c>
      <c r="B516" s="4">
        <v>7893974</v>
      </c>
      <c r="C516" s="4" t="str">
        <f t="shared" si="3"/>
        <v/>
      </c>
      <c r="D516" s="4" t="s">
        <v>302</v>
      </c>
    </row>
    <row r="517" spans="1:4" ht="15.75" customHeight="1">
      <c r="A517" s="22">
        <v>20487413</v>
      </c>
      <c r="B517" s="4">
        <v>16956672</v>
      </c>
      <c r="C517" s="4" t="str">
        <f t="shared" si="3"/>
        <v/>
      </c>
      <c r="D517" s="4" t="s">
        <v>302</v>
      </c>
    </row>
    <row r="518" spans="1:4" ht="15.75" customHeight="1">
      <c r="A518" s="22">
        <v>35802798</v>
      </c>
      <c r="B518" s="4">
        <v>9847336</v>
      </c>
      <c r="C518" s="4" t="str">
        <f t="shared" si="3"/>
        <v/>
      </c>
      <c r="D518" s="4" t="s">
        <v>302</v>
      </c>
    </row>
    <row r="519" spans="1:4" ht="15.75" customHeight="1">
      <c r="A519" s="22">
        <v>7893974</v>
      </c>
      <c r="B519" s="4">
        <v>18762769</v>
      </c>
      <c r="C519" s="4" t="str">
        <f t="shared" si="3"/>
        <v/>
      </c>
      <c r="D519" s="4" t="s">
        <v>302</v>
      </c>
    </row>
    <row r="520" spans="1:4" ht="15.75" customHeight="1">
      <c r="A520" s="22">
        <v>16956672</v>
      </c>
      <c r="B520" s="4">
        <v>7745310</v>
      </c>
      <c r="C520" s="4" t="str">
        <f t="shared" si="3"/>
        <v/>
      </c>
      <c r="D520" s="4" t="s">
        <v>302</v>
      </c>
    </row>
    <row r="521" spans="1:4" ht="15.75" customHeight="1">
      <c r="A521" s="22">
        <v>9847336</v>
      </c>
      <c r="B521" s="4">
        <v>12858410</v>
      </c>
      <c r="C521" s="4" t="str">
        <f t="shared" si="3"/>
        <v/>
      </c>
      <c r="D521" s="4" t="s">
        <v>302</v>
      </c>
    </row>
    <row r="522" spans="1:4" ht="15.75" customHeight="1">
      <c r="A522" s="22">
        <v>18762769</v>
      </c>
      <c r="B522" s="4">
        <v>11486597</v>
      </c>
      <c r="C522" s="4" t="str">
        <f t="shared" si="3"/>
        <v/>
      </c>
      <c r="D522" s="4" t="s">
        <v>302</v>
      </c>
    </row>
    <row r="523" spans="1:4" ht="15.75" customHeight="1">
      <c r="A523" s="22">
        <v>12858410</v>
      </c>
      <c r="B523" s="4">
        <v>10554818</v>
      </c>
      <c r="C523" s="4" t="str">
        <f t="shared" si="3"/>
        <v/>
      </c>
      <c r="D523" s="4" t="s">
        <v>302</v>
      </c>
    </row>
    <row r="524" spans="1:4" ht="15.75" customHeight="1">
      <c r="A524" s="22">
        <v>10554818</v>
      </c>
      <c r="B524" s="4">
        <v>8652850</v>
      </c>
      <c r="C524" s="4" t="str">
        <f t="shared" si="3"/>
        <v/>
      </c>
      <c r="D524" s="4" t="s">
        <v>302</v>
      </c>
    </row>
    <row r="525" spans="1:4" ht="15.75" customHeight="1">
      <c r="A525" s="22">
        <v>7745310</v>
      </c>
      <c r="B525" s="4">
        <v>21219662</v>
      </c>
      <c r="C525" s="4" t="str">
        <f t="shared" si="3"/>
        <v/>
      </c>
      <c r="D525" s="4" t="s">
        <v>302</v>
      </c>
    </row>
    <row r="526" spans="1:4" ht="15.75" customHeight="1">
      <c r="A526" s="22">
        <v>21219662</v>
      </c>
      <c r="B526" s="4">
        <v>8232499</v>
      </c>
      <c r="C526" s="4" t="str">
        <f t="shared" si="3"/>
        <v/>
      </c>
      <c r="D526" s="4" t="s">
        <v>302</v>
      </c>
    </row>
    <row r="527" spans="1:4" ht="15.75" customHeight="1">
      <c r="A527" s="22">
        <v>17922393</v>
      </c>
      <c r="B527" s="4">
        <v>7803807</v>
      </c>
      <c r="C527" s="4" t="str">
        <f t="shared" si="3"/>
        <v/>
      </c>
      <c r="D527" s="4" t="s">
        <v>302</v>
      </c>
    </row>
    <row r="528" spans="1:4" ht="15.75" customHeight="1">
      <c r="A528" s="22">
        <v>22278837</v>
      </c>
      <c r="B528" s="4">
        <v>12089260</v>
      </c>
      <c r="C528" s="4" t="str">
        <f t="shared" si="3"/>
        <v/>
      </c>
      <c r="D528" s="4" t="s">
        <v>302</v>
      </c>
    </row>
    <row r="529" spans="1:4" ht="15.75" customHeight="1">
      <c r="A529" s="22">
        <v>8232499</v>
      </c>
      <c r="B529" s="4">
        <v>10482064</v>
      </c>
      <c r="C529" s="4" t="str">
        <f t="shared" si="3"/>
        <v/>
      </c>
      <c r="D529" s="4" t="s">
        <v>302</v>
      </c>
    </row>
    <row r="530" spans="1:4" ht="15.75" customHeight="1">
      <c r="A530" s="22">
        <v>11486597</v>
      </c>
      <c r="B530" s="4">
        <v>8703244</v>
      </c>
      <c r="C530" s="4" t="str">
        <f t="shared" si="3"/>
        <v/>
      </c>
      <c r="D530" s="4" t="s">
        <v>302</v>
      </c>
    </row>
    <row r="531" spans="1:4" ht="15.75" customHeight="1">
      <c r="A531" s="22">
        <v>7803807</v>
      </c>
      <c r="B531" s="4">
        <v>35035452</v>
      </c>
      <c r="C531" s="4" t="str">
        <f t="shared" si="3"/>
        <v/>
      </c>
      <c r="D531" s="4" t="s">
        <v>302</v>
      </c>
    </row>
    <row r="532" spans="1:4" ht="15.75" customHeight="1">
      <c r="A532" s="22">
        <v>8652850</v>
      </c>
      <c r="B532" s="4">
        <v>18329730</v>
      </c>
      <c r="C532" s="4" t="str">
        <f t="shared" si="3"/>
        <v/>
      </c>
      <c r="D532" s="4" t="s">
        <v>302</v>
      </c>
    </row>
    <row r="533" spans="1:4" ht="15.75" customHeight="1">
      <c r="A533" s="22">
        <v>35035452</v>
      </c>
      <c r="B533" s="4">
        <v>30523283</v>
      </c>
      <c r="C533" s="4" t="str">
        <f t="shared" si="3"/>
        <v/>
      </c>
      <c r="D533" s="4" t="s">
        <v>302</v>
      </c>
    </row>
    <row r="534" spans="1:4" ht="15.75" customHeight="1">
      <c r="A534" s="22">
        <v>18329730</v>
      </c>
      <c r="B534" s="4">
        <v>16586395</v>
      </c>
      <c r="C534" s="4" t="str">
        <f t="shared" si="3"/>
        <v/>
      </c>
      <c r="D534" s="4" t="s">
        <v>302</v>
      </c>
    </row>
    <row r="535" spans="1:4" ht="15.75" customHeight="1">
      <c r="A535" s="22">
        <v>16586395</v>
      </c>
      <c r="B535" s="4">
        <v>7931158</v>
      </c>
      <c r="C535" s="4" t="str">
        <f t="shared" si="3"/>
        <v/>
      </c>
      <c r="D535" s="4" t="s">
        <v>302</v>
      </c>
    </row>
    <row r="536" spans="1:4" ht="15.75" customHeight="1">
      <c r="A536" s="22">
        <v>33217174</v>
      </c>
      <c r="B536" s="4">
        <v>33217174</v>
      </c>
      <c r="C536" s="4" t="str">
        <f t="shared" si="3"/>
        <v/>
      </c>
      <c r="D536" s="4" t="s">
        <v>302</v>
      </c>
    </row>
    <row r="537" spans="1:4" ht="15.75" customHeight="1">
      <c r="A537" s="22">
        <v>7931158</v>
      </c>
      <c r="B537" s="4">
        <v>32925539</v>
      </c>
      <c r="C537" s="4" t="str">
        <f t="shared" si="3"/>
        <v/>
      </c>
      <c r="D537" s="4" t="s">
        <v>302</v>
      </c>
    </row>
    <row r="538" spans="1:4" ht="15.75" customHeight="1">
      <c r="A538" s="22">
        <v>10482064</v>
      </c>
      <c r="B538" s="4">
        <v>21593170</v>
      </c>
      <c r="C538" s="4" t="str">
        <f t="shared" si="3"/>
        <v/>
      </c>
      <c r="D538" s="4" t="s">
        <v>302</v>
      </c>
    </row>
    <row r="539" spans="1:4" ht="15.75" customHeight="1">
      <c r="A539" s="22">
        <v>30523283</v>
      </c>
      <c r="B539" s="4">
        <v>12182383</v>
      </c>
      <c r="C539" s="4" t="str">
        <f t="shared" si="3"/>
        <v/>
      </c>
      <c r="D539" s="4" t="s">
        <v>302</v>
      </c>
    </row>
    <row r="540" spans="1:4" ht="15.75" customHeight="1">
      <c r="A540" s="22">
        <v>21593170</v>
      </c>
      <c r="B540" s="4">
        <v>30988380</v>
      </c>
      <c r="C540" s="4" t="str">
        <f t="shared" si="3"/>
        <v/>
      </c>
      <c r="D540" s="4" t="s">
        <v>302</v>
      </c>
    </row>
    <row r="541" spans="1:4" ht="15.75" customHeight="1">
      <c r="A541" s="22">
        <v>30988380</v>
      </c>
      <c r="B541" s="4">
        <v>9815234</v>
      </c>
      <c r="C541" s="4" t="str">
        <f t="shared" si="3"/>
        <v/>
      </c>
      <c r="D541" s="4" t="s">
        <v>302</v>
      </c>
    </row>
    <row r="542" spans="1:4" ht="15.75" customHeight="1">
      <c r="A542" s="22">
        <v>12089260</v>
      </c>
      <c r="B542" s="4">
        <v>10228019</v>
      </c>
      <c r="C542" s="4" t="str">
        <f t="shared" si="3"/>
        <v/>
      </c>
      <c r="D542" s="4" t="s">
        <v>302</v>
      </c>
    </row>
    <row r="543" spans="1:4" ht="15.75" customHeight="1">
      <c r="A543" s="22">
        <v>12182383</v>
      </c>
      <c r="B543" s="4">
        <v>8783159</v>
      </c>
      <c r="C543" s="4" t="str">
        <f t="shared" si="3"/>
        <v/>
      </c>
      <c r="D543" s="4" t="s">
        <v>302</v>
      </c>
    </row>
    <row r="544" spans="1:4" ht="15.75" customHeight="1">
      <c r="A544" s="22">
        <v>32925539</v>
      </c>
      <c r="B544" s="4">
        <v>32224590</v>
      </c>
      <c r="C544" s="4" t="str">
        <f t="shared" si="3"/>
        <v/>
      </c>
      <c r="D544" s="4" t="s">
        <v>302</v>
      </c>
    </row>
    <row r="545" spans="1:4" ht="15.75" customHeight="1">
      <c r="A545" s="22">
        <v>11902311</v>
      </c>
      <c r="B545" s="4">
        <v>18695666</v>
      </c>
      <c r="C545" s="4" t="str">
        <f t="shared" si="3"/>
        <v/>
      </c>
      <c r="D545" s="4" t="s">
        <v>302</v>
      </c>
    </row>
    <row r="546" spans="1:4" ht="15.75" customHeight="1">
      <c r="A546" s="22">
        <v>32224590</v>
      </c>
      <c r="B546" s="4">
        <v>11902311</v>
      </c>
      <c r="C546" s="4" t="str">
        <f t="shared" si="3"/>
        <v/>
      </c>
      <c r="D546" s="4" t="s">
        <v>302</v>
      </c>
    </row>
    <row r="547" spans="1:4" ht="15.75" customHeight="1">
      <c r="A547" s="22">
        <v>10228019</v>
      </c>
      <c r="B547" s="4">
        <v>22820131</v>
      </c>
      <c r="C547" s="4" t="str">
        <f t="shared" si="3"/>
        <v/>
      </c>
      <c r="D547" s="4" t="s">
        <v>302</v>
      </c>
    </row>
    <row r="548" spans="1:4" ht="15.75" customHeight="1">
      <c r="A548" s="22">
        <v>9815234</v>
      </c>
      <c r="B548" s="4">
        <v>7844362</v>
      </c>
      <c r="C548" s="4" t="str">
        <f t="shared" si="3"/>
        <v/>
      </c>
      <c r="D548" s="4" t="s">
        <v>302</v>
      </c>
    </row>
    <row r="549" spans="1:4" ht="15.75" customHeight="1">
      <c r="A549" s="22">
        <v>22820131</v>
      </c>
      <c r="B549" s="4">
        <v>1329241</v>
      </c>
      <c r="C549" s="4" t="str">
        <f t="shared" si="3"/>
        <v/>
      </c>
      <c r="D549" s="4" t="s">
        <v>302</v>
      </c>
    </row>
    <row r="550" spans="1:4" ht="15.75" customHeight="1">
      <c r="A550" s="22">
        <v>8703244</v>
      </c>
      <c r="B550" s="4">
        <v>1975142</v>
      </c>
      <c r="C550" s="4" t="str">
        <f t="shared" si="3"/>
        <v/>
      </c>
      <c r="D550" s="4" t="s">
        <v>302</v>
      </c>
    </row>
    <row r="551" spans="1:4" ht="15.75" customHeight="1">
      <c r="A551" s="22">
        <v>7844362</v>
      </c>
      <c r="B551" s="4">
        <v>30048732</v>
      </c>
      <c r="C551" s="4" t="str">
        <f t="shared" si="3"/>
        <v/>
      </c>
      <c r="D551" s="4" t="s">
        <v>302</v>
      </c>
    </row>
    <row r="552" spans="1:4" ht="15.75" customHeight="1">
      <c r="A552" s="22">
        <v>1329241</v>
      </c>
      <c r="B552" s="4">
        <v>11213075</v>
      </c>
      <c r="C552" s="4" t="str">
        <f t="shared" si="3"/>
        <v/>
      </c>
      <c r="D552" s="4" t="s">
        <v>302</v>
      </c>
    </row>
    <row r="553" spans="1:4" ht="15.75" customHeight="1">
      <c r="A553" s="22">
        <v>1975142</v>
      </c>
      <c r="B553" s="4">
        <v>29454651</v>
      </c>
      <c r="C553" s="4" t="str">
        <f t="shared" si="3"/>
        <v/>
      </c>
      <c r="D553" s="4" t="s">
        <v>302</v>
      </c>
    </row>
    <row r="554" spans="1:4" ht="15.75" customHeight="1">
      <c r="A554" s="22">
        <v>8783159</v>
      </c>
      <c r="B554" s="4">
        <v>25243920</v>
      </c>
      <c r="C554" s="4" t="str">
        <f t="shared" si="3"/>
        <v/>
      </c>
      <c r="D554" s="4" t="s">
        <v>302</v>
      </c>
    </row>
    <row r="555" spans="1:4" ht="15.75" customHeight="1">
      <c r="A555" s="22">
        <v>29454651</v>
      </c>
      <c r="B555" s="4">
        <v>7893978</v>
      </c>
      <c r="C555" s="4" t="str">
        <f t="shared" si="3"/>
        <v/>
      </c>
      <c r="D555" s="4" t="s">
        <v>302</v>
      </c>
    </row>
    <row r="556" spans="1:4" ht="15.75" customHeight="1">
      <c r="A556" s="22">
        <v>11213075</v>
      </c>
      <c r="B556" s="4">
        <v>7751716</v>
      </c>
      <c r="C556" s="4" t="str">
        <f t="shared" si="3"/>
        <v/>
      </c>
      <c r="D556" s="4" t="s">
        <v>302</v>
      </c>
    </row>
    <row r="557" spans="1:4" ht="15.75" customHeight="1">
      <c r="A557" s="22">
        <v>7915373</v>
      </c>
      <c r="B557" s="4">
        <v>12971497</v>
      </c>
      <c r="C557" s="4" t="str">
        <f t="shared" si="3"/>
        <v/>
      </c>
      <c r="D557" s="4" t="s">
        <v>302</v>
      </c>
    </row>
    <row r="558" spans="1:4" ht="15.75" customHeight="1">
      <c r="A558" s="22">
        <v>30048732</v>
      </c>
      <c r="B558" s="4">
        <v>8394407</v>
      </c>
      <c r="C558" s="4" t="str">
        <f t="shared" si="3"/>
        <v/>
      </c>
      <c r="D558" s="4" t="s">
        <v>302</v>
      </c>
    </row>
    <row r="559" spans="1:4" ht="15.75" customHeight="1">
      <c r="A559" s="22">
        <v>25243920</v>
      </c>
      <c r="B559" s="4">
        <v>16140273</v>
      </c>
      <c r="C559" s="4" t="str">
        <f t="shared" si="3"/>
        <v/>
      </c>
      <c r="D559" s="4" t="s">
        <v>302</v>
      </c>
    </row>
    <row r="560" spans="1:4" ht="15.75" customHeight="1">
      <c r="A560" s="22">
        <v>7751716</v>
      </c>
      <c r="B560" s="4">
        <v>30846739</v>
      </c>
      <c r="C560" s="4" t="str">
        <f t="shared" si="3"/>
        <v/>
      </c>
      <c r="D560" s="4" t="s">
        <v>302</v>
      </c>
    </row>
    <row r="561" spans="1:4" ht="15.75" customHeight="1">
      <c r="A561" s="22">
        <v>7893978</v>
      </c>
      <c r="B561" s="4">
        <v>20592533</v>
      </c>
      <c r="C561" s="4" t="str">
        <f t="shared" si="3"/>
        <v/>
      </c>
      <c r="D561" s="4" t="s">
        <v>302</v>
      </c>
    </row>
    <row r="562" spans="1:4" ht="15.75" customHeight="1">
      <c r="A562" s="22">
        <v>16140273</v>
      </c>
      <c r="B562" s="4">
        <v>17050202</v>
      </c>
      <c r="C562" s="4" t="str">
        <f t="shared" si="3"/>
        <v/>
      </c>
      <c r="D562" s="4" t="s">
        <v>302</v>
      </c>
    </row>
    <row r="563" spans="1:4" ht="15.75" customHeight="1">
      <c r="A563" s="22">
        <v>30846739</v>
      </c>
      <c r="B563" s="4">
        <v>8904436</v>
      </c>
      <c r="C563" s="4" t="str">
        <f t="shared" si="3"/>
        <v/>
      </c>
      <c r="D563" s="4" t="s">
        <v>302</v>
      </c>
    </row>
    <row r="564" spans="1:4" ht="15.75" customHeight="1">
      <c r="A564" s="22">
        <v>20592533</v>
      </c>
      <c r="B564" s="4">
        <v>10954574</v>
      </c>
      <c r="C564" s="4" t="str">
        <f t="shared" si="3"/>
        <v/>
      </c>
      <c r="D564" s="4" t="s">
        <v>302</v>
      </c>
    </row>
    <row r="565" spans="1:4" ht="15.75" customHeight="1">
      <c r="A565" s="22">
        <v>12971497</v>
      </c>
      <c r="B565" s="4">
        <v>15625542</v>
      </c>
      <c r="C565" s="4" t="str">
        <f t="shared" si="3"/>
        <v/>
      </c>
      <c r="D565" s="4" t="s">
        <v>302</v>
      </c>
    </row>
    <row r="566" spans="1:4" ht="15.75" customHeight="1">
      <c r="A566" s="22">
        <v>15625542</v>
      </c>
      <c r="B566" s="4">
        <v>12857897</v>
      </c>
      <c r="C566" s="4" t="str">
        <f t="shared" si="3"/>
        <v/>
      </c>
      <c r="D566" s="4" t="s">
        <v>302</v>
      </c>
    </row>
    <row r="567" spans="1:4" ht="15.75" customHeight="1">
      <c r="A567" s="22">
        <v>10954574</v>
      </c>
      <c r="B567" s="4">
        <v>21883755</v>
      </c>
      <c r="C567" s="4" t="str">
        <f t="shared" si="3"/>
        <v/>
      </c>
      <c r="D567" s="4" t="s">
        <v>302</v>
      </c>
    </row>
    <row r="568" spans="1:4" ht="15.75" customHeight="1">
      <c r="A568" s="22">
        <v>21883755</v>
      </c>
      <c r="B568" s="4">
        <v>34600133</v>
      </c>
      <c r="C568" s="4" t="str">
        <f t="shared" si="3"/>
        <v/>
      </c>
      <c r="D568" s="4" t="s">
        <v>302</v>
      </c>
    </row>
    <row r="569" spans="1:4" ht="15.75" customHeight="1">
      <c r="A569" s="22">
        <v>8122364</v>
      </c>
      <c r="B569" s="4">
        <v>8122364</v>
      </c>
      <c r="C569" s="4" t="str">
        <f t="shared" si="3"/>
        <v/>
      </c>
      <c r="D569" s="4" t="s">
        <v>302</v>
      </c>
    </row>
    <row r="570" spans="1:4" ht="15.75" customHeight="1">
      <c r="A570" s="22">
        <v>34600133</v>
      </c>
      <c r="B570" s="4">
        <v>28241767</v>
      </c>
      <c r="C570" s="4" t="str">
        <f t="shared" si="3"/>
        <v/>
      </c>
      <c r="D570" s="4" t="s">
        <v>302</v>
      </c>
    </row>
    <row r="571" spans="1:4" ht="15.75" customHeight="1">
      <c r="A571" s="22">
        <v>1309285</v>
      </c>
      <c r="B571" s="4">
        <v>30130603</v>
      </c>
      <c r="C571" s="4" t="str">
        <f t="shared" si="3"/>
        <v/>
      </c>
      <c r="D571" s="4" t="s">
        <v>302</v>
      </c>
    </row>
    <row r="572" spans="1:4" ht="15.75" customHeight="1">
      <c r="A572" s="22">
        <v>8904436</v>
      </c>
      <c r="B572" s="4">
        <v>29939480</v>
      </c>
      <c r="C572" s="4" t="str">
        <f t="shared" si="3"/>
        <v/>
      </c>
      <c r="D572" s="4" t="s">
        <v>302</v>
      </c>
    </row>
    <row r="573" spans="1:4" ht="15.75" customHeight="1">
      <c r="A573" s="22">
        <v>19422536</v>
      </c>
      <c r="B573" s="4">
        <v>8002785</v>
      </c>
      <c r="C573" s="4" t="str">
        <f t="shared" si="3"/>
        <v/>
      </c>
      <c r="D573" s="4" t="s">
        <v>302</v>
      </c>
    </row>
    <row r="574" spans="1:4" ht="15.75" customHeight="1">
      <c r="A574" s="22">
        <v>27535049</v>
      </c>
      <c r="B574" s="4">
        <v>27535049</v>
      </c>
      <c r="C574" s="4" t="str">
        <f t="shared" si="3"/>
        <v/>
      </c>
      <c r="D574" s="4" t="s">
        <v>302</v>
      </c>
    </row>
    <row r="575" spans="1:4" ht="15.75" customHeight="1">
      <c r="A575" s="22">
        <v>12857897</v>
      </c>
      <c r="B575" s="4">
        <v>19422536</v>
      </c>
      <c r="C575" s="4" t="str">
        <f t="shared" si="3"/>
        <v/>
      </c>
      <c r="D575" s="4" t="s">
        <v>302</v>
      </c>
    </row>
    <row r="576" spans="1:4" ht="15.75" customHeight="1">
      <c r="A576" s="22">
        <v>8002785</v>
      </c>
      <c r="B576" s="4">
        <v>24198406</v>
      </c>
      <c r="C576" s="4" t="str">
        <f t="shared" si="3"/>
        <v/>
      </c>
      <c r="D576" s="4" t="s">
        <v>302</v>
      </c>
    </row>
    <row r="577" spans="1:4" ht="15.75" customHeight="1">
      <c r="A577" s="22">
        <v>30130603</v>
      </c>
      <c r="B577" s="4">
        <v>15129646</v>
      </c>
      <c r="C577" s="4" t="str">
        <f t="shared" si="3"/>
        <v/>
      </c>
      <c r="D577" s="4" t="s">
        <v>302</v>
      </c>
    </row>
    <row r="578" spans="1:4" ht="15.75" customHeight="1">
      <c r="A578" s="22">
        <v>17050202</v>
      </c>
      <c r="B578" s="4">
        <v>15078955</v>
      </c>
      <c r="C578" s="4" t="str">
        <f t="shared" si="3"/>
        <v/>
      </c>
      <c r="D578" s="4" t="s">
        <v>302</v>
      </c>
    </row>
    <row r="579" spans="1:4" ht="15.75" customHeight="1">
      <c r="A579" s="22">
        <v>24198406</v>
      </c>
      <c r="B579" s="4">
        <v>17148094</v>
      </c>
      <c r="C579" s="4" t="str">
        <f t="shared" si="3"/>
        <v/>
      </c>
      <c r="D579" s="4" t="s">
        <v>302</v>
      </c>
    </row>
    <row r="580" spans="1:4" ht="15.75" customHeight="1">
      <c r="A580" s="22">
        <v>11122137</v>
      </c>
      <c r="B580" s="4">
        <v>21604575</v>
      </c>
      <c r="C580" s="4" t="str">
        <f t="shared" si="3"/>
        <v/>
      </c>
      <c r="D580" s="4" t="s">
        <v>302</v>
      </c>
    </row>
    <row r="581" spans="1:4" ht="15.75" customHeight="1">
      <c r="A581" s="22">
        <v>29939480</v>
      </c>
      <c r="B581" s="4">
        <v>17366067</v>
      </c>
      <c r="C581" s="4" t="str">
        <f t="shared" si="3"/>
        <v/>
      </c>
      <c r="D581" s="4" t="s">
        <v>302</v>
      </c>
    </row>
    <row r="582" spans="1:4" ht="15.75" customHeight="1">
      <c r="A582" s="22">
        <v>17148094</v>
      </c>
      <c r="B582" s="4">
        <v>33326670</v>
      </c>
      <c r="C582" s="4" t="str">
        <f t="shared" si="3"/>
        <v/>
      </c>
      <c r="D582" s="4" t="s">
        <v>302</v>
      </c>
    </row>
    <row r="583" spans="1:4" ht="15.75" customHeight="1">
      <c r="A583" s="22">
        <v>9465670</v>
      </c>
      <c r="B583" s="4">
        <v>11122137</v>
      </c>
      <c r="C583" s="4" t="str">
        <f t="shared" si="3"/>
        <v/>
      </c>
      <c r="D583" s="4" t="s">
        <v>302</v>
      </c>
    </row>
    <row r="584" spans="1:4" ht="15.75" customHeight="1">
      <c r="A584" s="22">
        <v>15078955</v>
      </c>
      <c r="B584" s="4">
        <v>9460935</v>
      </c>
      <c r="C584" s="4" t="str">
        <f t="shared" si="3"/>
        <v/>
      </c>
      <c r="D584" s="4" t="s">
        <v>302</v>
      </c>
    </row>
    <row r="585" spans="1:4" ht="15.75" customHeight="1">
      <c r="A585" s="22">
        <v>9460935</v>
      </c>
      <c r="B585" s="4">
        <v>8824992</v>
      </c>
      <c r="C585" s="4" t="str">
        <f t="shared" si="3"/>
        <v/>
      </c>
      <c r="D585" s="4" t="s">
        <v>302</v>
      </c>
    </row>
    <row r="586" spans="1:4" ht="15.75" customHeight="1">
      <c r="A586" s="22">
        <v>28241767</v>
      </c>
      <c r="B586" s="4">
        <v>9465670</v>
      </c>
      <c r="C586" s="4" t="str">
        <f t="shared" si="3"/>
        <v/>
      </c>
      <c r="D586" s="4" t="s">
        <v>302</v>
      </c>
    </row>
    <row r="587" spans="1:4" ht="15.75" customHeight="1">
      <c r="A587" s="22">
        <v>8824992</v>
      </c>
      <c r="B587" s="4">
        <v>28179532</v>
      </c>
      <c r="C587" s="4" t="str">
        <f t="shared" si="3"/>
        <v/>
      </c>
      <c r="D587" s="4" t="s">
        <v>302</v>
      </c>
    </row>
    <row r="588" spans="1:4" ht="15.75" customHeight="1">
      <c r="A588" s="22">
        <v>17013421</v>
      </c>
      <c r="B588" s="4">
        <v>11196603</v>
      </c>
      <c r="C588" s="4" t="str">
        <f t="shared" si="3"/>
        <v/>
      </c>
      <c r="D588" s="4" t="s">
        <v>302</v>
      </c>
    </row>
    <row r="589" spans="1:4" ht="15.75" customHeight="1">
      <c r="A589" s="22">
        <v>11887330</v>
      </c>
      <c r="B589" s="4">
        <v>23723198</v>
      </c>
      <c r="C589" s="4" t="str">
        <f t="shared" si="3"/>
        <v/>
      </c>
      <c r="D589" s="4" t="s">
        <v>302</v>
      </c>
    </row>
    <row r="590" spans="1:4" ht="15.75" customHeight="1">
      <c r="A590" s="22">
        <v>9094650</v>
      </c>
      <c r="B590" s="4">
        <v>8525536</v>
      </c>
      <c r="C590" s="4" t="str">
        <f t="shared" si="3"/>
        <v/>
      </c>
      <c r="D590" s="4" t="s">
        <v>302</v>
      </c>
    </row>
    <row r="591" spans="1:4" ht="15.75" customHeight="1">
      <c r="A591" s="22">
        <v>26921738</v>
      </c>
      <c r="B591" s="4">
        <v>17013421</v>
      </c>
      <c r="C591" s="4" t="str">
        <f t="shared" si="3"/>
        <v/>
      </c>
      <c r="D591" s="4" t="s">
        <v>302</v>
      </c>
    </row>
    <row r="592" spans="1:4" ht="15.75" customHeight="1">
      <c r="A592" s="22">
        <v>21808857</v>
      </c>
      <c r="B592" s="4">
        <v>21808857</v>
      </c>
      <c r="C592" s="4" t="str">
        <f t="shared" si="3"/>
        <v/>
      </c>
      <c r="D592" s="4" t="s">
        <v>302</v>
      </c>
    </row>
    <row r="593" spans="1:4" ht="15.75" customHeight="1">
      <c r="A593" s="22">
        <v>10555208</v>
      </c>
      <c r="B593" s="4">
        <v>9094650</v>
      </c>
      <c r="C593" s="4" t="str">
        <f t="shared" si="3"/>
        <v/>
      </c>
      <c r="D593" s="4" t="s">
        <v>302</v>
      </c>
    </row>
    <row r="594" spans="1:4" ht="15.75" customHeight="1">
      <c r="A594" s="22">
        <v>18367292</v>
      </c>
      <c r="B594" s="4">
        <v>18367292</v>
      </c>
      <c r="C594" s="4" t="str">
        <f t="shared" si="3"/>
        <v/>
      </c>
      <c r="D594" s="4" t="s">
        <v>302</v>
      </c>
    </row>
    <row r="595" spans="1:4" ht="15.75" customHeight="1">
      <c r="A595" s="22">
        <v>28179532</v>
      </c>
      <c r="B595" s="4">
        <v>10555208</v>
      </c>
      <c r="C595" s="4" t="str">
        <f t="shared" si="3"/>
        <v/>
      </c>
      <c r="D595" s="4" t="s">
        <v>302</v>
      </c>
    </row>
    <row r="596" spans="1:4" ht="15.75" customHeight="1">
      <c r="A596" s="22">
        <v>18695666</v>
      </c>
      <c r="B596" s="4">
        <v>11887330</v>
      </c>
      <c r="C596" s="4" t="str">
        <f t="shared" si="3"/>
        <v/>
      </c>
      <c r="D596" s="4" t="s">
        <v>302</v>
      </c>
    </row>
    <row r="597" spans="1:4" ht="15.75" customHeight="1">
      <c r="A597" s="22">
        <v>11196603</v>
      </c>
      <c r="B597" s="4">
        <v>1331312</v>
      </c>
      <c r="C597" s="4" t="str">
        <f t="shared" si="3"/>
        <v/>
      </c>
      <c r="D597" s="4" t="s">
        <v>302</v>
      </c>
    </row>
    <row r="598" spans="1:4" ht="15.75" customHeight="1">
      <c r="A598" s="22">
        <v>1331312</v>
      </c>
      <c r="B598" s="4">
        <v>17921853</v>
      </c>
      <c r="C598" s="4" t="str">
        <f t="shared" si="3"/>
        <v/>
      </c>
      <c r="D598" s="4" t="s">
        <v>302</v>
      </c>
    </row>
    <row r="599" spans="1:4" ht="15.75" customHeight="1">
      <c r="A599" s="22">
        <v>8525536</v>
      </c>
      <c r="B599" s="4">
        <v>10489348</v>
      </c>
      <c r="C599" s="4" t="str">
        <f t="shared" si="3"/>
        <v/>
      </c>
      <c r="D599" s="4" t="s">
        <v>302</v>
      </c>
    </row>
    <row r="600" spans="1:4" ht="15.75" customHeight="1">
      <c r="A600" s="22">
        <v>17921853</v>
      </c>
      <c r="B600" s="4">
        <v>11168749</v>
      </c>
      <c r="C600" s="4" t="str">
        <f t="shared" si="3"/>
        <v/>
      </c>
      <c r="D600" s="4" t="s">
        <v>302</v>
      </c>
    </row>
    <row r="601" spans="1:4" ht="15.75" customHeight="1">
      <c r="A601" s="22">
        <v>15129646</v>
      </c>
      <c r="B601" s="4">
        <v>29985560</v>
      </c>
      <c r="C601" s="4" t="str">
        <f t="shared" si="3"/>
        <v/>
      </c>
      <c r="D601" s="4" t="s">
        <v>302</v>
      </c>
    </row>
    <row r="602" spans="1:4" ht="15.75" customHeight="1">
      <c r="A602" s="22">
        <v>10489348</v>
      </c>
      <c r="B602" s="4">
        <v>18564986</v>
      </c>
      <c r="C602" s="4" t="str">
        <f t="shared" si="3"/>
        <v/>
      </c>
      <c r="D602" s="4" t="s">
        <v>302</v>
      </c>
    </row>
    <row r="603" spans="1:4" ht="15.75" customHeight="1">
      <c r="A603" s="22">
        <v>17366067</v>
      </c>
      <c r="B603" s="4">
        <v>28902954</v>
      </c>
      <c r="C603" s="4" t="str">
        <f t="shared" si="3"/>
        <v/>
      </c>
      <c r="D603" s="4" t="s">
        <v>302</v>
      </c>
    </row>
    <row r="604" spans="1:4" ht="15.75" customHeight="1">
      <c r="A604" s="22">
        <v>21604575</v>
      </c>
      <c r="B604" s="4">
        <v>19107978</v>
      </c>
      <c r="C604" s="4" t="str">
        <f t="shared" si="3"/>
        <v/>
      </c>
      <c r="D604" s="4" t="s">
        <v>302</v>
      </c>
    </row>
    <row r="605" spans="1:4" ht="15.75" customHeight="1">
      <c r="A605" s="22">
        <v>11168749</v>
      </c>
      <c r="B605" s="4">
        <v>7911490</v>
      </c>
      <c r="C605" s="4" t="str">
        <f t="shared" si="3"/>
        <v/>
      </c>
      <c r="D605" s="4" t="s">
        <v>302</v>
      </c>
    </row>
    <row r="606" spans="1:4" ht="15.75" customHeight="1">
      <c r="A606" s="22">
        <v>23723198</v>
      </c>
      <c r="B606" s="4">
        <v>26525035</v>
      </c>
      <c r="C606" s="4" t="str">
        <f t="shared" si="3"/>
        <v/>
      </c>
      <c r="D606" s="4" t="s">
        <v>302</v>
      </c>
    </row>
    <row r="607" spans="1:4" ht="15.75" customHeight="1">
      <c r="A607" s="22">
        <v>29985560</v>
      </c>
      <c r="B607" s="4">
        <v>17922393</v>
      </c>
      <c r="C607" s="4" t="str">
        <f t="shared" si="3"/>
        <v/>
      </c>
      <c r="D607" s="4" t="s">
        <v>302</v>
      </c>
    </row>
    <row r="608" spans="1:4" ht="15.75" customHeight="1">
      <c r="A608" s="22">
        <v>33326670</v>
      </c>
      <c r="B608" s="4">
        <v>2178187</v>
      </c>
      <c r="C608" s="4" t="str">
        <f t="shared" si="3"/>
        <v/>
      </c>
      <c r="D608" s="4" t="s">
        <v>302</v>
      </c>
    </row>
    <row r="609" spans="1:4" ht="15.75" customHeight="1">
      <c r="A609" s="22">
        <v>18564986</v>
      </c>
      <c r="B609" s="4">
        <v>32782352</v>
      </c>
      <c r="C609" s="4" t="str">
        <f t="shared" si="3"/>
        <v/>
      </c>
      <c r="D609" s="4" t="s">
        <v>302</v>
      </c>
    </row>
    <row r="610" spans="1:4" ht="15.75" customHeight="1">
      <c r="A610" s="22">
        <v>7911490</v>
      </c>
      <c r="B610" s="4">
        <v>10030285</v>
      </c>
      <c r="C610" s="4" t="str">
        <f t="shared" si="3"/>
        <v/>
      </c>
      <c r="D610" s="4" t="s">
        <v>302</v>
      </c>
    </row>
    <row r="611" spans="1:4" ht="15.75" customHeight="1">
      <c r="A611" s="22">
        <v>29390152</v>
      </c>
      <c r="B611" s="4">
        <v>16647570</v>
      </c>
      <c r="C611" s="4" t="str">
        <f t="shared" si="3"/>
        <v/>
      </c>
      <c r="D611" s="4" t="s">
        <v>302</v>
      </c>
    </row>
    <row r="612" spans="1:4" ht="15.75" customHeight="1">
      <c r="A612" s="22">
        <v>26525035</v>
      </c>
      <c r="B612" s="4">
        <v>20714035</v>
      </c>
      <c r="C612" s="4" t="str">
        <f t="shared" si="3"/>
        <v/>
      </c>
      <c r="D612" s="4" t="s">
        <v>302</v>
      </c>
    </row>
    <row r="613" spans="1:4" ht="15.75" customHeight="1">
      <c r="A613" s="22">
        <v>32782352</v>
      </c>
      <c r="B613" s="4">
        <v>19522223</v>
      </c>
      <c r="C613" s="4" t="str">
        <f t="shared" si="3"/>
        <v/>
      </c>
      <c r="D613" s="4" t="s">
        <v>302</v>
      </c>
    </row>
    <row r="614" spans="1:4" ht="15.75" customHeight="1">
      <c r="A614" s="22">
        <v>19522223</v>
      </c>
      <c r="B614" s="4">
        <v>18094951</v>
      </c>
      <c r="C614" s="4" t="str">
        <f t="shared" si="3"/>
        <v/>
      </c>
      <c r="D614" s="4" t="s">
        <v>302</v>
      </c>
    </row>
    <row r="615" spans="1:4" ht="15.75" customHeight="1">
      <c r="A615" s="22">
        <v>2178187</v>
      </c>
      <c r="B615" s="4">
        <v>17376882</v>
      </c>
      <c r="C615" s="4" t="str">
        <f t="shared" si="3"/>
        <v/>
      </c>
      <c r="D615" s="4" t="s">
        <v>302</v>
      </c>
    </row>
    <row r="616" spans="1:4" ht="15.75" customHeight="1">
      <c r="A616" s="22">
        <v>17376882</v>
      </c>
      <c r="B616" s="4">
        <v>22357271</v>
      </c>
      <c r="C616" s="4" t="str">
        <f t="shared" si="3"/>
        <v/>
      </c>
      <c r="D616" s="4" t="s">
        <v>302</v>
      </c>
    </row>
    <row r="617" spans="1:4" ht="15.75" customHeight="1">
      <c r="A617" s="22">
        <v>20714035</v>
      </c>
      <c r="B617" s="4">
        <v>10223548</v>
      </c>
      <c r="C617" s="4" t="str">
        <f t="shared" si="3"/>
        <v/>
      </c>
      <c r="D617" s="4" t="s">
        <v>302</v>
      </c>
    </row>
    <row r="618" spans="1:4" ht="15.75" customHeight="1">
      <c r="A618" s="22">
        <v>16647570</v>
      </c>
      <c r="B618" s="4">
        <v>17276374</v>
      </c>
      <c r="C618" s="4" t="str">
        <f t="shared" si="3"/>
        <v/>
      </c>
      <c r="D618" s="4" t="s">
        <v>302</v>
      </c>
    </row>
    <row r="619" spans="1:4" ht="15.75" customHeight="1">
      <c r="A619" s="22">
        <v>18094951</v>
      </c>
      <c r="B619" s="4">
        <v>23955460</v>
      </c>
      <c r="C619" s="4" t="str">
        <f t="shared" si="3"/>
        <v/>
      </c>
      <c r="D619" s="4" t="s">
        <v>302</v>
      </c>
    </row>
    <row r="620" spans="1:4" ht="15.75" customHeight="1">
      <c r="A620" s="22">
        <v>28902954</v>
      </c>
      <c r="B620" s="4">
        <v>8699160</v>
      </c>
      <c r="C620" s="4" t="str">
        <f t="shared" si="3"/>
        <v/>
      </c>
      <c r="D620" s="4" t="s">
        <v>302</v>
      </c>
    </row>
    <row r="621" spans="1:4" ht="15.75" customHeight="1">
      <c r="A621" s="22">
        <v>17276374</v>
      </c>
      <c r="B621" s="4">
        <v>11715608</v>
      </c>
      <c r="C621" s="4" t="str">
        <f t="shared" si="3"/>
        <v/>
      </c>
      <c r="D621" s="4" t="s">
        <v>302</v>
      </c>
    </row>
    <row r="622" spans="1:4" ht="15.75" customHeight="1">
      <c r="A622" s="22">
        <v>22357271</v>
      </c>
      <c r="B622" s="4">
        <v>24330091</v>
      </c>
      <c r="C622" s="4" t="str">
        <f t="shared" si="3"/>
        <v/>
      </c>
      <c r="D622" s="4" t="s">
        <v>302</v>
      </c>
    </row>
    <row r="623" spans="1:4" ht="15.75" customHeight="1">
      <c r="A623" s="22">
        <v>19107978</v>
      </c>
      <c r="B623" s="4">
        <v>23088724</v>
      </c>
      <c r="C623" s="4" t="str">
        <f t="shared" si="3"/>
        <v/>
      </c>
      <c r="D623" s="4" t="s">
        <v>302</v>
      </c>
    </row>
    <row r="624" spans="1:4" ht="15.75" customHeight="1">
      <c r="A624" s="22">
        <v>8699160</v>
      </c>
      <c r="B624" s="4">
        <v>11889438</v>
      </c>
      <c r="C624" s="4" t="str">
        <f t="shared" si="3"/>
        <v/>
      </c>
      <c r="D624" s="4" t="s">
        <v>302</v>
      </c>
    </row>
    <row r="625" spans="1:4" ht="15.75" customHeight="1">
      <c r="A625" s="22">
        <v>11715608</v>
      </c>
      <c r="B625" s="4">
        <v>26146808</v>
      </c>
      <c r="C625" s="4" t="str">
        <f t="shared" si="3"/>
        <v/>
      </c>
      <c r="D625" s="4" t="s">
        <v>302</v>
      </c>
    </row>
    <row r="626" spans="1:4" ht="15.75" customHeight="1">
      <c r="A626" s="22">
        <v>10030285</v>
      </c>
      <c r="B626" s="4">
        <v>7832888</v>
      </c>
      <c r="C626" s="4" t="str">
        <f t="shared" si="3"/>
        <v/>
      </c>
      <c r="D626" s="4" t="s">
        <v>302</v>
      </c>
    </row>
    <row r="627" spans="1:4" ht="15.75" customHeight="1">
      <c r="A627" s="22">
        <v>11889438</v>
      </c>
      <c r="B627" s="4">
        <v>12134252</v>
      </c>
      <c r="C627" s="4" t="str">
        <f t="shared" si="3"/>
        <v/>
      </c>
      <c r="D627" s="4" t="s">
        <v>302</v>
      </c>
    </row>
    <row r="628" spans="1:4" ht="15.75" customHeight="1">
      <c r="A628" s="22">
        <v>23955460</v>
      </c>
      <c r="B628" s="4">
        <v>16247430</v>
      </c>
      <c r="C628" s="4" t="str">
        <f t="shared" si="3"/>
        <v/>
      </c>
      <c r="D628" s="4" t="s">
        <v>302</v>
      </c>
    </row>
    <row r="629" spans="1:4" ht="15.75" customHeight="1">
      <c r="A629" s="22">
        <v>23088724</v>
      </c>
      <c r="B629" s="4">
        <v>31852793</v>
      </c>
      <c r="C629" s="4" t="str">
        <f t="shared" si="3"/>
        <v/>
      </c>
      <c r="D629" s="4" t="s">
        <v>302</v>
      </c>
    </row>
    <row r="630" spans="1:4" ht="15.75" customHeight="1">
      <c r="A630" s="22">
        <v>26146808</v>
      </c>
      <c r="B630" s="4">
        <v>33443593</v>
      </c>
      <c r="C630" s="4" t="str">
        <f t="shared" si="3"/>
        <v/>
      </c>
      <c r="D630" s="4" t="s">
        <v>302</v>
      </c>
    </row>
    <row r="631" spans="1:4" ht="15.75" customHeight="1">
      <c r="A631" s="22">
        <v>12134252</v>
      </c>
      <c r="B631" s="4">
        <v>16612979</v>
      </c>
      <c r="C631" s="4" t="str">
        <f t="shared" si="3"/>
        <v/>
      </c>
      <c r="D631" s="4" t="s">
        <v>302</v>
      </c>
    </row>
    <row r="632" spans="1:4" ht="15.75" customHeight="1">
      <c r="A632" s="22">
        <v>31852793</v>
      </c>
      <c r="B632" s="4">
        <v>23173742</v>
      </c>
      <c r="C632" s="4" t="str">
        <f t="shared" si="3"/>
        <v/>
      </c>
      <c r="D632" s="4" t="s">
        <v>302</v>
      </c>
    </row>
    <row r="633" spans="1:4" ht="15.75" customHeight="1">
      <c r="A633" s="22">
        <v>7832888</v>
      </c>
      <c r="B633" s="4">
        <v>15543584</v>
      </c>
      <c r="C633" s="4" t="str">
        <f t="shared" si="3"/>
        <v/>
      </c>
      <c r="D633" s="4" t="s">
        <v>302</v>
      </c>
    </row>
    <row r="634" spans="1:4" ht="15.75" customHeight="1">
      <c r="A634" s="22">
        <v>33443593</v>
      </c>
      <c r="B634" s="4">
        <v>19619326</v>
      </c>
      <c r="C634" s="4" t="str">
        <f t="shared" si="3"/>
        <v/>
      </c>
      <c r="D634" s="4" t="s">
        <v>302</v>
      </c>
    </row>
    <row r="635" spans="1:4" ht="15.75" customHeight="1">
      <c r="A635" s="22">
        <v>10223548</v>
      </c>
      <c r="B635" s="4">
        <v>1332225</v>
      </c>
      <c r="C635" s="4" t="str">
        <f t="shared" si="3"/>
        <v/>
      </c>
      <c r="D635" s="4" t="s">
        <v>302</v>
      </c>
    </row>
    <row r="636" spans="1:4" ht="15.75" customHeight="1">
      <c r="A636" s="22">
        <v>16247430</v>
      </c>
      <c r="B636" s="4">
        <v>19490982</v>
      </c>
      <c r="C636" s="4" t="str">
        <f t="shared" si="3"/>
        <v/>
      </c>
      <c r="D636" s="4" t="s">
        <v>302</v>
      </c>
    </row>
    <row r="637" spans="1:4" ht="15.75" customHeight="1">
      <c r="A637" s="22">
        <v>23173742</v>
      </c>
      <c r="B637" s="4">
        <v>20513090</v>
      </c>
      <c r="C637" s="4" t="str">
        <f t="shared" si="3"/>
        <v/>
      </c>
      <c r="D637" s="4" t="s">
        <v>302</v>
      </c>
    </row>
    <row r="638" spans="1:4" ht="15.75" customHeight="1">
      <c r="A638" s="22">
        <v>24330091</v>
      </c>
      <c r="B638" s="4">
        <v>10910264</v>
      </c>
      <c r="C638" s="4" t="str">
        <f t="shared" si="3"/>
        <v/>
      </c>
      <c r="D638" s="4" t="s">
        <v>302</v>
      </c>
    </row>
    <row r="639" spans="1:4" ht="15.75" customHeight="1">
      <c r="A639" s="22">
        <v>16612979</v>
      </c>
      <c r="B639" s="4">
        <v>25209806</v>
      </c>
      <c r="C639" s="4" t="str">
        <f t="shared" si="3"/>
        <v/>
      </c>
      <c r="D639" s="4" t="s">
        <v>302</v>
      </c>
    </row>
    <row r="640" spans="1:4" ht="15.75" customHeight="1">
      <c r="A640" s="22">
        <v>19619326</v>
      </c>
      <c r="B640" s="4">
        <v>24604770</v>
      </c>
      <c r="C640" s="4" t="str">
        <f t="shared" si="3"/>
        <v/>
      </c>
      <c r="D640" s="4" t="s">
        <v>302</v>
      </c>
    </row>
    <row r="641" spans="1:4" ht="15.75" customHeight="1">
      <c r="A641" s="22">
        <v>1332225</v>
      </c>
      <c r="B641" s="4">
        <v>30346638</v>
      </c>
      <c r="C641" s="4" t="str">
        <f t="shared" si="3"/>
        <v/>
      </c>
      <c r="D641" s="4" t="s">
        <v>302</v>
      </c>
    </row>
    <row r="642" spans="1:4" ht="15.75" customHeight="1">
      <c r="A642" s="22">
        <v>24604770</v>
      </c>
      <c r="B642" s="4">
        <v>1651362</v>
      </c>
      <c r="C642" s="4" t="str">
        <f t="shared" si="3"/>
        <v/>
      </c>
      <c r="D642" s="4" t="s">
        <v>302</v>
      </c>
    </row>
    <row r="643" spans="1:4" ht="15.75" customHeight="1">
      <c r="A643" s="22">
        <v>30346638</v>
      </c>
      <c r="B643" s="4">
        <v>35150885</v>
      </c>
      <c r="C643" s="4" t="str">
        <f t="shared" si="3"/>
        <v/>
      </c>
      <c r="D643" s="4" t="s">
        <v>302</v>
      </c>
    </row>
    <row r="644" spans="1:4" ht="15.75" customHeight="1">
      <c r="A644" s="22">
        <v>15543584</v>
      </c>
      <c r="B644" s="4">
        <v>20088693</v>
      </c>
      <c r="C644" s="4" t="str">
        <f t="shared" si="3"/>
        <v/>
      </c>
      <c r="D644" s="4" t="s">
        <v>302</v>
      </c>
    </row>
    <row r="645" spans="1:4" ht="15.75" customHeight="1">
      <c r="A645" s="22">
        <v>25209806</v>
      </c>
      <c r="B645" s="4">
        <v>19923186</v>
      </c>
      <c r="C645" s="4" t="str">
        <f t="shared" si="3"/>
        <v/>
      </c>
      <c r="D645" s="4" t="s">
        <v>302</v>
      </c>
    </row>
    <row r="646" spans="1:4" ht="15.75" customHeight="1">
      <c r="A646" s="22">
        <v>10910264</v>
      </c>
      <c r="B646" s="4">
        <v>8152447</v>
      </c>
      <c r="C646" s="4" t="str">
        <f t="shared" si="3"/>
        <v/>
      </c>
      <c r="D646" s="4" t="s">
        <v>302</v>
      </c>
    </row>
    <row r="647" spans="1:4" ht="15.75" customHeight="1">
      <c r="A647" s="22">
        <v>20088693</v>
      </c>
      <c r="B647" s="4">
        <v>18541204</v>
      </c>
      <c r="C647" s="4" t="str">
        <f t="shared" si="3"/>
        <v/>
      </c>
      <c r="D647" s="4" t="s">
        <v>302</v>
      </c>
    </row>
    <row r="648" spans="1:4" ht="15.75" customHeight="1">
      <c r="A648" s="22">
        <v>35150885</v>
      </c>
      <c r="B648" s="4">
        <v>1354806</v>
      </c>
      <c r="C648" s="4" t="str">
        <f t="shared" si="3"/>
        <v/>
      </c>
      <c r="D648" s="4" t="s">
        <v>302</v>
      </c>
    </row>
    <row r="649" spans="1:4" ht="15.75" customHeight="1">
      <c r="A649" s="22">
        <v>1651362</v>
      </c>
      <c r="B649" s="4">
        <v>26984480</v>
      </c>
      <c r="C649" s="4" t="str">
        <f t="shared" si="3"/>
        <v/>
      </c>
      <c r="D649" s="4" t="s">
        <v>302</v>
      </c>
    </row>
    <row r="650" spans="1:4" ht="15.75" customHeight="1">
      <c r="A650" s="22">
        <v>19490982</v>
      </c>
      <c r="B650" s="4">
        <v>11345532</v>
      </c>
      <c r="C650" s="4" t="str">
        <f t="shared" si="3"/>
        <v/>
      </c>
      <c r="D650" s="4" t="s">
        <v>302</v>
      </c>
    </row>
    <row r="651" spans="1:4" ht="15.75" customHeight="1">
      <c r="A651" s="22">
        <v>26984480</v>
      </c>
      <c r="B651" s="4">
        <v>27859994</v>
      </c>
      <c r="C651" s="4" t="str">
        <f t="shared" si="3"/>
        <v/>
      </c>
      <c r="D651" s="4" t="s">
        <v>302</v>
      </c>
    </row>
    <row r="652" spans="1:4" ht="15.75" customHeight="1">
      <c r="A652" s="22">
        <v>1354806</v>
      </c>
      <c r="B652" s="4">
        <v>23535036</v>
      </c>
      <c r="C652" s="4" t="str">
        <f t="shared" si="3"/>
        <v/>
      </c>
      <c r="D652" s="4" t="s">
        <v>302</v>
      </c>
    </row>
    <row r="653" spans="1:4" ht="15.75" customHeight="1">
      <c r="A653" s="22">
        <v>20513090</v>
      </c>
      <c r="B653" s="4">
        <v>31520510</v>
      </c>
      <c r="C653" s="4" t="str">
        <f t="shared" si="3"/>
        <v/>
      </c>
      <c r="D653" s="4" t="s">
        <v>302</v>
      </c>
    </row>
    <row r="654" spans="1:4" ht="15.75" customHeight="1">
      <c r="A654" s="22">
        <v>8152447</v>
      </c>
      <c r="B654" s="4">
        <v>10910277</v>
      </c>
      <c r="C654" s="4" t="str">
        <f t="shared" si="3"/>
        <v/>
      </c>
      <c r="D654" s="4" t="s">
        <v>302</v>
      </c>
    </row>
    <row r="655" spans="1:4" ht="15.75" customHeight="1">
      <c r="A655" s="22">
        <v>23535036</v>
      </c>
      <c r="B655" s="4">
        <v>10642816</v>
      </c>
      <c r="C655" s="4" t="str">
        <f t="shared" si="3"/>
        <v/>
      </c>
      <c r="D655" s="4" t="s">
        <v>302</v>
      </c>
    </row>
    <row r="656" spans="1:4" ht="15.75" customHeight="1">
      <c r="A656" s="22">
        <v>27859994</v>
      </c>
      <c r="B656" s="4">
        <v>25398808</v>
      </c>
      <c r="C656" s="4" t="str">
        <f t="shared" si="3"/>
        <v/>
      </c>
      <c r="D656" s="4" t="s">
        <v>302</v>
      </c>
    </row>
    <row r="657" spans="1:4" ht="15.75" customHeight="1">
      <c r="A657" s="22">
        <v>31520510</v>
      </c>
      <c r="B657" s="4">
        <v>11168178</v>
      </c>
      <c r="C657" s="4" t="str">
        <f t="shared" si="3"/>
        <v/>
      </c>
      <c r="D657" s="4" t="s">
        <v>302</v>
      </c>
    </row>
    <row r="658" spans="1:4" ht="15.75" customHeight="1">
      <c r="A658" s="22">
        <v>19923186</v>
      </c>
      <c r="B658" s="4">
        <v>21389320</v>
      </c>
      <c r="C658" s="4" t="str">
        <f t="shared" si="3"/>
        <v/>
      </c>
      <c r="D658" s="4" t="s">
        <v>302</v>
      </c>
    </row>
    <row r="659" spans="1:4" ht="15.75" customHeight="1">
      <c r="A659" s="22">
        <v>10910277</v>
      </c>
      <c r="B659" s="4">
        <v>35349121</v>
      </c>
      <c r="C659" s="4" t="str">
        <f t="shared" si="3"/>
        <v/>
      </c>
      <c r="D659" s="4" t="s">
        <v>302</v>
      </c>
    </row>
    <row r="660" spans="1:4" ht="15.75" customHeight="1">
      <c r="A660" s="22">
        <v>10642816</v>
      </c>
      <c r="B660" s="4">
        <v>23938304</v>
      </c>
      <c r="C660" s="4" t="str">
        <f t="shared" si="3"/>
        <v/>
      </c>
      <c r="D660" s="4" t="s">
        <v>302</v>
      </c>
    </row>
    <row r="661" spans="1:4" ht="15.75" customHeight="1">
      <c r="A661" s="22">
        <v>25398808</v>
      </c>
      <c r="B661" s="4">
        <v>32162382</v>
      </c>
      <c r="C661" s="4" t="str">
        <f t="shared" si="3"/>
        <v/>
      </c>
      <c r="D661" s="4" t="s">
        <v>302</v>
      </c>
    </row>
    <row r="662" spans="1:4" ht="15.75" customHeight="1">
      <c r="A662" s="22">
        <v>11345532</v>
      </c>
      <c r="B662" s="4">
        <v>19497784</v>
      </c>
      <c r="C662" s="4" t="str">
        <f t="shared" si="3"/>
        <v/>
      </c>
      <c r="D662" s="4" t="s">
        <v>302</v>
      </c>
    </row>
    <row r="663" spans="1:4" ht="15.75" customHeight="1">
      <c r="A663" s="22">
        <v>11168178</v>
      </c>
      <c r="B663" s="4">
        <v>1963044</v>
      </c>
      <c r="C663" s="4" t="str">
        <f t="shared" si="3"/>
        <v/>
      </c>
      <c r="D663" s="4" t="s">
        <v>302</v>
      </c>
    </row>
    <row r="664" spans="1:4" ht="15.75" customHeight="1">
      <c r="A664" s="22">
        <v>35349121</v>
      </c>
      <c r="B664" s="4">
        <v>11990308</v>
      </c>
      <c r="C664" s="4" t="str">
        <f t="shared" si="3"/>
        <v/>
      </c>
      <c r="D664" s="4" t="s">
        <v>302</v>
      </c>
    </row>
    <row r="665" spans="1:4" ht="15.75" customHeight="1">
      <c r="A665" s="22">
        <v>32162382</v>
      </c>
      <c r="B665" s="4">
        <v>1309285</v>
      </c>
      <c r="C665" s="4" t="str">
        <f t="shared" si="3"/>
        <v/>
      </c>
      <c r="D665" s="4" t="s">
        <v>302</v>
      </c>
    </row>
    <row r="666" spans="1:4" ht="15.75" customHeight="1">
      <c r="A666" s="22">
        <v>23938304</v>
      </c>
      <c r="B666" s="4">
        <v>26340541</v>
      </c>
      <c r="C666" s="4" t="str">
        <f t="shared" si="3"/>
        <v/>
      </c>
      <c r="D666" s="4" t="s">
        <v>302</v>
      </c>
    </row>
    <row r="667" spans="1:4" ht="15.75" customHeight="1">
      <c r="A667" s="22">
        <v>18541204</v>
      </c>
      <c r="B667" s="4">
        <v>22352035</v>
      </c>
      <c r="C667" s="4" t="str">
        <f t="shared" si="3"/>
        <v/>
      </c>
      <c r="D667" s="4" t="s">
        <v>302</v>
      </c>
    </row>
    <row r="668" spans="1:4" ht="15.75" customHeight="1">
      <c r="A668" s="22">
        <v>1963044</v>
      </c>
      <c r="B668" s="4">
        <v>16628576</v>
      </c>
      <c r="C668" s="4" t="str">
        <f t="shared" si="3"/>
        <v/>
      </c>
      <c r="D668" s="4" t="s">
        <v>302</v>
      </c>
    </row>
    <row r="669" spans="1:4" ht="15.75" customHeight="1">
      <c r="A669" s="22">
        <v>26340541</v>
      </c>
      <c r="B669" s="4">
        <v>30689576</v>
      </c>
      <c r="C669" s="4" t="str">
        <f t="shared" si="3"/>
        <v/>
      </c>
      <c r="D669" s="4" t="s">
        <v>302</v>
      </c>
    </row>
    <row r="670" spans="1:4" ht="15.75" customHeight="1">
      <c r="A670" s="22">
        <v>22352035</v>
      </c>
      <c r="B670" s="4">
        <v>15767029</v>
      </c>
      <c r="C670" s="4" t="str">
        <f t="shared" si="3"/>
        <v/>
      </c>
      <c r="D670" s="4" t="s">
        <v>302</v>
      </c>
    </row>
    <row r="671" spans="1:4" ht="15.75" customHeight="1">
      <c r="A671" s="22">
        <v>23347215</v>
      </c>
      <c r="B671" s="4">
        <v>7913511</v>
      </c>
      <c r="C671" s="4" t="str">
        <f t="shared" si="3"/>
        <v/>
      </c>
      <c r="D671" s="4" t="s">
        <v>302</v>
      </c>
    </row>
    <row r="672" spans="1:4" ht="15.75" customHeight="1">
      <c r="A672" s="22">
        <v>16628576</v>
      </c>
      <c r="B672" s="4">
        <v>23196622</v>
      </c>
      <c r="C672" s="4" t="str">
        <f t="shared" si="3"/>
        <v/>
      </c>
      <c r="D672" s="4" t="s">
        <v>302</v>
      </c>
    </row>
    <row r="673" spans="1:4" ht="15.75" customHeight="1">
      <c r="A673" s="22">
        <v>15767029</v>
      </c>
      <c r="B673" s="4">
        <v>34721942</v>
      </c>
      <c r="C673" s="4" t="str">
        <f t="shared" si="3"/>
        <v/>
      </c>
      <c r="D673" s="4" t="s">
        <v>302</v>
      </c>
    </row>
    <row r="674" spans="1:4" ht="15.75" customHeight="1">
      <c r="A674" s="22">
        <v>26681781</v>
      </c>
      <c r="B674" s="4">
        <v>23347215</v>
      </c>
      <c r="C674" s="4" t="str">
        <f t="shared" si="3"/>
        <v/>
      </c>
      <c r="D674" s="4" t="s">
        <v>302</v>
      </c>
    </row>
    <row r="675" spans="1:4" ht="15.75" customHeight="1">
      <c r="A675" s="22">
        <v>10194079</v>
      </c>
      <c r="B675" s="4">
        <v>26681781</v>
      </c>
      <c r="C675" s="4" t="str">
        <f t="shared" si="3"/>
        <v/>
      </c>
      <c r="D675" s="4" t="s">
        <v>302</v>
      </c>
    </row>
    <row r="676" spans="1:4" ht="15.75" customHeight="1">
      <c r="A676" s="22">
        <v>7913511</v>
      </c>
      <c r="B676" s="4">
        <v>10194079</v>
      </c>
      <c r="C676" s="4" t="str">
        <f t="shared" si="3"/>
        <v/>
      </c>
      <c r="D676" s="4" t="s">
        <v>302</v>
      </c>
    </row>
    <row r="677" spans="1:4" ht="15.75" customHeight="1">
      <c r="A677" s="22">
        <v>23196622</v>
      </c>
      <c r="B677" s="4">
        <v>1325026</v>
      </c>
      <c r="C677" s="4" t="str">
        <f t="shared" si="3"/>
        <v/>
      </c>
      <c r="D677" s="4" t="s">
        <v>302</v>
      </c>
    </row>
    <row r="678" spans="1:4" ht="15.75" customHeight="1">
      <c r="A678" s="22">
        <v>1325026</v>
      </c>
      <c r="B678" s="4">
        <v>26542463</v>
      </c>
      <c r="C678" s="4" t="str">
        <f t="shared" si="3"/>
        <v/>
      </c>
      <c r="D678" s="4" t="s">
        <v>302</v>
      </c>
    </row>
    <row r="679" spans="1:4" ht="15.75" customHeight="1">
      <c r="A679" s="22">
        <v>34370861</v>
      </c>
      <c r="B679" s="4">
        <v>34370861</v>
      </c>
      <c r="C679" s="4" t="str">
        <f t="shared" si="3"/>
        <v/>
      </c>
      <c r="D679" s="4" t="s">
        <v>302</v>
      </c>
    </row>
    <row r="680" spans="1:4" ht="15.75" customHeight="1">
      <c r="A680" s="22">
        <v>11990308</v>
      </c>
      <c r="B680" s="4">
        <v>29150836</v>
      </c>
      <c r="C680" s="4" t="str">
        <f t="shared" si="3"/>
        <v/>
      </c>
      <c r="D680" s="4" t="s">
        <v>302</v>
      </c>
    </row>
    <row r="681" spans="1:4" ht="15.75" customHeight="1">
      <c r="A681" s="22">
        <v>26542463</v>
      </c>
      <c r="B681" s="4">
        <v>24407957</v>
      </c>
      <c r="C681" s="4" t="str">
        <f t="shared" si="3"/>
        <v/>
      </c>
      <c r="D681" s="4" t="s">
        <v>302</v>
      </c>
    </row>
    <row r="682" spans="1:4" ht="15.75" customHeight="1">
      <c r="A682" s="22">
        <v>21389320</v>
      </c>
      <c r="B682" s="4">
        <v>24057213</v>
      </c>
      <c r="C682" s="4" t="str">
        <f t="shared" si="3"/>
        <v/>
      </c>
      <c r="D682" s="4" t="s">
        <v>302</v>
      </c>
    </row>
    <row r="683" spans="1:4" ht="15.75" customHeight="1">
      <c r="A683" s="22">
        <v>30689576</v>
      </c>
      <c r="B683" s="4">
        <v>16615507</v>
      </c>
      <c r="C683" s="4" t="str">
        <f t="shared" si="3"/>
        <v/>
      </c>
      <c r="D683" s="4" t="s">
        <v>302</v>
      </c>
    </row>
    <row r="684" spans="1:4" ht="15.75" customHeight="1">
      <c r="A684" s="22">
        <v>29150836</v>
      </c>
      <c r="B684" s="4">
        <v>9594451</v>
      </c>
      <c r="C684" s="4" t="str">
        <f t="shared" si="3"/>
        <v/>
      </c>
      <c r="D684" s="4" t="s">
        <v>302</v>
      </c>
    </row>
    <row r="685" spans="1:4" ht="15.75" customHeight="1">
      <c r="A685" s="22">
        <v>24057213</v>
      </c>
      <c r="B685" s="4">
        <v>1964694</v>
      </c>
      <c r="C685" s="4" t="str">
        <f t="shared" si="3"/>
        <v/>
      </c>
      <c r="D685" s="4" t="s">
        <v>302</v>
      </c>
    </row>
    <row r="686" spans="1:4" ht="15.75" customHeight="1">
      <c r="A686" s="22">
        <v>26599878</v>
      </c>
      <c r="B686" s="4">
        <v>15223915</v>
      </c>
      <c r="C686" s="4" t="str">
        <f t="shared" si="3"/>
        <v/>
      </c>
      <c r="D686" s="4" t="s">
        <v>302</v>
      </c>
    </row>
    <row r="687" spans="1:4" ht="15.75" customHeight="1">
      <c r="A687" s="22">
        <v>34721942</v>
      </c>
      <c r="B687" s="4">
        <v>26599878</v>
      </c>
      <c r="C687" s="4" t="str">
        <f t="shared" si="3"/>
        <v/>
      </c>
      <c r="D687" s="4" t="s">
        <v>302</v>
      </c>
    </row>
    <row r="688" spans="1:4" ht="15.75" customHeight="1">
      <c r="A688" s="22">
        <v>1964694</v>
      </c>
      <c r="B688" s="4">
        <v>20534278</v>
      </c>
      <c r="C688" s="4" t="str">
        <f t="shared" si="3"/>
        <v/>
      </c>
      <c r="D688" s="4" t="s">
        <v>302</v>
      </c>
    </row>
    <row r="689" spans="1:4" ht="15.75" customHeight="1">
      <c r="A689" s="22">
        <v>16615507</v>
      </c>
      <c r="B689" s="4">
        <v>16758753</v>
      </c>
      <c r="C689" s="4" t="str">
        <f t="shared" si="3"/>
        <v/>
      </c>
      <c r="D689" s="4" t="s">
        <v>302</v>
      </c>
    </row>
    <row r="690" spans="1:4" ht="15.75" customHeight="1">
      <c r="A690" s="22">
        <v>12021348</v>
      </c>
      <c r="B690" s="4">
        <v>23573902</v>
      </c>
      <c r="C690" s="4" t="str">
        <f t="shared" si="3"/>
        <v/>
      </c>
      <c r="D690" s="4" t="s">
        <v>302</v>
      </c>
    </row>
    <row r="691" spans="1:4" ht="15.75" customHeight="1">
      <c r="A691" s="22">
        <v>19497784</v>
      </c>
      <c r="B691" s="4">
        <v>9524848</v>
      </c>
      <c r="C691" s="4" t="str">
        <f t="shared" si="3"/>
        <v/>
      </c>
      <c r="D691" s="4" t="s">
        <v>302</v>
      </c>
    </row>
    <row r="692" spans="1:4" ht="15.75" customHeight="1">
      <c r="A692" s="22">
        <v>15223915</v>
      </c>
      <c r="B692" s="4">
        <v>26137657</v>
      </c>
      <c r="C692" s="4" t="str">
        <f t="shared" si="3"/>
        <v/>
      </c>
      <c r="D692" s="4" t="s">
        <v>302</v>
      </c>
    </row>
    <row r="693" spans="1:4" ht="15.75" customHeight="1">
      <c r="A693" s="22">
        <v>9594451</v>
      </c>
      <c r="B693" s="4">
        <v>18297709</v>
      </c>
      <c r="C693" s="4" t="str">
        <f t="shared" si="3"/>
        <v/>
      </c>
      <c r="D693" s="4" t="s">
        <v>302</v>
      </c>
    </row>
    <row r="694" spans="1:4" ht="15.75" customHeight="1">
      <c r="A694" s="22">
        <v>14870894</v>
      </c>
      <c r="B694" s="4">
        <v>14870894</v>
      </c>
      <c r="C694" s="4" t="str">
        <f t="shared" si="3"/>
        <v/>
      </c>
      <c r="D694" s="4" t="s">
        <v>302</v>
      </c>
    </row>
    <row r="695" spans="1:4" ht="15.75" customHeight="1">
      <c r="A695" s="22">
        <v>26137657</v>
      </c>
      <c r="B695" s="4">
        <v>26329541</v>
      </c>
      <c r="C695" s="4" t="str">
        <f t="shared" si="3"/>
        <v/>
      </c>
      <c r="D695" s="4" t="s">
        <v>302</v>
      </c>
    </row>
    <row r="696" spans="1:4" ht="15.75" customHeight="1">
      <c r="A696" s="22">
        <v>26329541</v>
      </c>
      <c r="B696" s="4">
        <v>26921738</v>
      </c>
      <c r="C696" s="4" t="str">
        <f t="shared" si="3"/>
        <v/>
      </c>
      <c r="D696" s="4" t="s">
        <v>302</v>
      </c>
    </row>
    <row r="697" spans="1:4" ht="15.75" customHeight="1">
      <c r="A697" s="22">
        <v>18297709</v>
      </c>
      <c r="B697" s="4">
        <v>11241800</v>
      </c>
      <c r="C697" s="4" t="str">
        <f t="shared" si="3"/>
        <v/>
      </c>
      <c r="D697" s="4" t="s">
        <v>302</v>
      </c>
    </row>
    <row r="698" spans="1:4" ht="15.75" customHeight="1">
      <c r="A698" s="22">
        <v>24407957</v>
      </c>
      <c r="B698" s="4">
        <v>2172295</v>
      </c>
      <c r="C698" s="4" t="str">
        <f t="shared" si="3"/>
        <v/>
      </c>
      <c r="D698" s="4" t="s">
        <v>302</v>
      </c>
    </row>
    <row r="699" spans="1:4" ht="15.75" customHeight="1">
      <c r="A699" s="22">
        <v>9524848</v>
      </c>
      <c r="B699" s="4">
        <v>32604892</v>
      </c>
      <c r="C699" s="4" t="str">
        <f t="shared" si="3"/>
        <v/>
      </c>
      <c r="D699" s="4" t="s">
        <v>302</v>
      </c>
    </row>
    <row r="700" spans="1:4" ht="15.75" customHeight="1">
      <c r="A700" s="22">
        <v>11241800</v>
      </c>
      <c r="B700" s="4">
        <v>22415068</v>
      </c>
      <c r="C700" s="4" t="str">
        <f t="shared" si="3"/>
        <v/>
      </c>
      <c r="D700" s="4" t="s">
        <v>302</v>
      </c>
    </row>
    <row r="701" spans="1:4" ht="15.75" customHeight="1">
      <c r="A701" s="22">
        <v>32604892</v>
      </c>
      <c r="B701" s="4">
        <v>17519796</v>
      </c>
      <c r="C701" s="4" t="str">
        <f t="shared" si="3"/>
        <v/>
      </c>
      <c r="D701" s="4" t="s">
        <v>302</v>
      </c>
    </row>
    <row r="702" spans="1:4" ht="15.75" customHeight="1">
      <c r="A702" s="22">
        <v>20534278</v>
      </c>
      <c r="B702" s="4">
        <v>9820639</v>
      </c>
      <c r="C702" s="4" t="str">
        <f t="shared" si="3"/>
        <v/>
      </c>
      <c r="D702" s="4" t="s">
        <v>302</v>
      </c>
    </row>
    <row r="703" spans="1:4" ht="15.75" customHeight="1">
      <c r="A703" s="22">
        <v>22415068</v>
      </c>
      <c r="B703" s="4">
        <v>29390152</v>
      </c>
      <c r="C703" s="4" t="str">
        <f t="shared" si="3"/>
        <v/>
      </c>
      <c r="D703" s="4" t="s">
        <v>302</v>
      </c>
    </row>
    <row r="704" spans="1:4" ht="15.75" customHeight="1">
      <c r="A704" s="22">
        <v>17519796</v>
      </c>
      <c r="B704" s="4">
        <v>21525341</v>
      </c>
      <c r="C704" s="4" t="str">
        <f t="shared" si="3"/>
        <v/>
      </c>
      <c r="D704" s="4" t="s">
        <v>302</v>
      </c>
    </row>
    <row r="705" spans="1:4" ht="15.75" customHeight="1">
      <c r="A705" s="22">
        <v>23573902</v>
      </c>
      <c r="B705" s="4">
        <v>9260752</v>
      </c>
      <c r="C705" s="4" t="str">
        <f t="shared" si="3"/>
        <v/>
      </c>
      <c r="D705" s="4" t="s">
        <v>302</v>
      </c>
    </row>
    <row r="706" spans="1:4" ht="15.75" customHeight="1">
      <c r="A706" s="22">
        <v>2172295</v>
      </c>
      <c r="B706" s="4">
        <v>20345999</v>
      </c>
      <c r="C706" s="4" t="str">
        <f t="shared" si="3"/>
        <v/>
      </c>
      <c r="D706" s="4" t="s">
        <v>302</v>
      </c>
    </row>
    <row r="707" spans="1:4" ht="15.75" customHeight="1">
      <c r="A707" s="22">
        <v>9820639</v>
      </c>
      <c r="B707" s="4">
        <v>24548875</v>
      </c>
      <c r="C707" s="4" t="str">
        <f t="shared" si="3"/>
        <v/>
      </c>
      <c r="D707" s="4" t="s">
        <v>302</v>
      </c>
    </row>
    <row r="708" spans="1:4" ht="15.75" customHeight="1">
      <c r="A708" s="22">
        <v>9260752</v>
      </c>
      <c r="B708" s="4">
        <v>12399238</v>
      </c>
      <c r="C708" s="4" t="str">
        <f t="shared" si="3"/>
        <v/>
      </c>
      <c r="D708" s="4" t="s">
        <v>302</v>
      </c>
    </row>
    <row r="709" spans="1:4" ht="15.75" customHeight="1">
      <c r="A709" s="22">
        <v>24548875</v>
      </c>
      <c r="B709" s="4">
        <v>12239310</v>
      </c>
      <c r="C709" s="4" t="str">
        <f t="shared" si="3"/>
        <v/>
      </c>
      <c r="D709" s="4" t="s">
        <v>302</v>
      </c>
    </row>
    <row r="710" spans="1:4" ht="15.75" customHeight="1">
      <c r="A710" s="22">
        <v>21525341</v>
      </c>
      <c r="B710" s="4">
        <v>8151768</v>
      </c>
      <c r="C710" s="4" t="str">
        <f t="shared" si="3"/>
        <v/>
      </c>
      <c r="D710" s="4" t="s">
        <v>302</v>
      </c>
    </row>
    <row r="711" spans="1:4" ht="15.75" customHeight="1">
      <c r="A711" s="22">
        <v>12239310</v>
      </c>
      <c r="B711" s="4">
        <v>9266465</v>
      </c>
      <c r="C711" s="4" t="str">
        <f t="shared" si="3"/>
        <v/>
      </c>
      <c r="D711" s="4" t="s">
        <v>302</v>
      </c>
    </row>
    <row r="712" spans="1:4" ht="15.75" customHeight="1">
      <c r="A712" s="22">
        <v>8151768</v>
      </c>
      <c r="B712" s="4">
        <v>32324868</v>
      </c>
      <c r="C712" s="4" t="str">
        <f t="shared" si="3"/>
        <v/>
      </c>
      <c r="D712" s="4" t="s">
        <v>302</v>
      </c>
    </row>
    <row r="713" spans="1:4" ht="15.75" customHeight="1">
      <c r="A713" s="22">
        <v>12399238</v>
      </c>
      <c r="B713" s="4">
        <v>9781644</v>
      </c>
      <c r="C713" s="4" t="str">
        <f t="shared" si="3"/>
        <v/>
      </c>
      <c r="D713" s="4" t="s">
        <v>302</v>
      </c>
    </row>
    <row r="714" spans="1:4" ht="15.75" customHeight="1">
      <c r="A714" s="22">
        <v>9781644</v>
      </c>
      <c r="B714" s="4">
        <v>16401906</v>
      </c>
      <c r="C714" s="4" t="str">
        <f t="shared" si="3"/>
        <v/>
      </c>
      <c r="D714" s="4" t="s">
        <v>302</v>
      </c>
    </row>
    <row r="715" spans="1:4" ht="15.75" customHeight="1">
      <c r="A715" s="22">
        <v>19856546</v>
      </c>
      <c r="B715" s="4">
        <v>19856546</v>
      </c>
      <c r="C715" s="4" t="str">
        <f t="shared" si="3"/>
        <v/>
      </c>
      <c r="D715" s="4" t="s">
        <v>302</v>
      </c>
    </row>
    <row r="716" spans="1:4" ht="15.75" customHeight="1">
      <c r="A716" s="22">
        <v>25915811</v>
      </c>
      <c r="B716" s="4">
        <v>32516328</v>
      </c>
      <c r="C716" s="4" t="str">
        <f t="shared" si="3"/>
        <v/>
      </c>
      <c r="D716" s="4" t="s">
        <v>302</v>
      </c>
    </row>
    <row r="717" spans="1:4" ht="15.75" customHeight="1">
      <c r="A717" s="22">
        <v>32324868</v>
      </c>
      <c r="B717" s="4">
        <v>12116027</v>
      </c>
      <c r="C717" s="4" t="str">
        <f t="shared" si="3"/>
        <v/>
      </c>
      <c r="D717" s="4" t="s">
        <v>302</v>
      </c>
    </row>
    <row r="718" spans="1:4" ht="15.75" customHeight="1">
      <c r="A718" s="22">
        <v>16401906</v>
      </c>
      <c r="B718" s="4">
        <v>1963049</v>
      </c>
      <c r="C718" s="4" t="str">
        <f t="shared" si="3"/>
        <v/>
      </c>
      <c r="D718" s="4" t="s">
        <v>302</v>
      </c>
    </row>
    <row r="719" spans="1:4" ht="15.75" customHeight="1">
      <c r="A719" s="22">
        <v>24740222</v>
      </c>
      <c r="B719" s="4">
        <v>17222758</v>
      </c>
      <c r="C719" s="4" t="str">
        <f t="shared" si="3"/>
        <v/>
      </c>
      <c r="D719" s="4" t="s">
        <v>302</v>
      </c>
    </row>
    <row r="720" spans="1:4" ht="15.75" customHeight="1">
      <c r="A720" s="22">
        <v>1963049</v>
      </c>
      <c r="B720" s="4">
        <v>24740222</v>
      </c>
      <c r="C720" s="4" t="str">
        <f t="shared" si="3"/>
        <v/>
      </c>
      <c r="D720" s="4" t="s">
        <v>302</v>
      </c>
    </row>
    <row r="721" spans="1:4" ht="15.75" customHeight="1">
      <c r="A721" s="22">
        <v>1348547</v>
      </c>
      <c r="B721" s="4">
        <v>1313531</v>
      </c>
      <c r="C721" s="4" t="str">
        <f t="shared" si="3"/>
        <v/>
      </c>
      <c r="D721" s="4" t="s">
        <v>302</v>
      </c>
    </row>
    <row r="722" spans="1:4" ht="15.75" customHeight="1">
      <c r="A722" s="22">
        <v>16758753</v>
      </c>
      <c r="B722" s="4">
        <v>25915811</v>
      </c>
      <c r="C722" s="4" t="str">
        <f t="shared" si="3"/>
        <v/>
      </c>
      <c r="D722" s="4" t="s">
        <v>302</v>
      </c>
    </row>
    <row r="723" spans="1:4" ht="15.75" customHeight="1">
      <c r="A723" s="22">
        <v>20345999</v>
      </c>
      <c r="B723" s="4">
        <v>1348547</v>
      </c>
      <c r="C723" s="4" t="str">
        <f t="shared" si="3"/>
        <v/>
      </c>
      <c r="D723" s="4" t="s">
        <v>302</v>
      </c>
    </row>
    <row r="724" spans="1:4" ht="15.75" customHeight="1">
      <c r="A724" s="22">
        <v>28783148</v>
      </c>
      <c r="B724" s="4">
        <v>9632282</v>
      </c>
      <c r="C724" s="4" t="str">
        <f t="shared" si="3"/>
        <v/>
      </c>
      <c r="D724" s="4" t="s">
        <v>302</v>
      </c>
    </row>
    <row r="725" spans="1:4" ht="15.75" customHeight="1">
      <c r="A725" s="22">
        <v>26474793</v>
      </c>
      <c r="B725" s="4">
        <v>26474793</v>
      </c>
      <c r="C725" s="4" t="str">
        <f t="shared" si="3"/>
        <v/>
      </c>
      <c r="D725" s="4" t="s">
        <v>302</v>
      </c>
    </row>
    <row r="726" spans="1:4" ht="15.75" customHeight="1">
      <c r="A726" s="22">
        <v>23409116</v>
      </c>
      <c r="B726" s="4">
        <v>28783148</v>
      </c>
      <c r="C726" s="4" t="str">
        <f t="shared" si="3"/>
        <v/>
      </c>
      <c r="D726" s="4" t="s">
        <v>302</v>
      </c>
    </row>
    <row r="727" spans="1:4" ht="15.75" customHeight="1">
      <c r="A727" s="22">
        <v>1313531</v>
      </c>
      <c r="B727" s="4">
        <v>10698157</v>
      </c>
      <c r="C727" s="4" t="str">
        <f t="shared" si="3"/>
        <v/>
      </c>
      <c r="D727" s="4" t="s">
        <v>302</v>
      </c>
    </row>
    <row r="728" spans="1:4" ht="15.75" customHeight="1">
      <c r="A728" s="22">
        <v>32516328</v>
      </c>
      <c r="B728" s="4">
        <v>1652618</v>
      </c>
      <c r="C728" s="4" t="str">
        <f t="shared" si="3"/>
        <v/>
      </c>
      <c r="D728" s="4" t="s">
        <v>302</v>
      </c>
    </row>
    <row r="729" spans="1:4" ht="15.75" customHeight="1">
      <c r="A729" s="22">
        <v>8283170</v>
      </c>
      <c r="B729" s="4">
        <v>8283170</v>
      </c>
      <c r="C729" s="4" t="str">
        <f t="shared" si="3"/>
        <v/>
      </c>
      <c r="D729" s="4" t="s">
        <v>302</v>
      </c>
    </row>
    <row r="730" spans="1:4" ht="15.75" customHeight="1">
      <c r="A730" s="22">
        <v>10698157</v>
      </c>
      <c r="B730" s="4">
        <v>17299707</v>
      </c>
      <c r="C730" s="4" t="str">
        <f t="shared" si="3"/>
        <v/>
      </c>
      <c r="D730" s="4" t="s">
        <v>302</v>
      </c>
    </row>
    <row r="731" spans="1:4" ht="15.75" customHeight="1">
      <c r="A731" s="22">
        <v>17299707</v>
      </c>
      <c r="B731" s="4">
        <v>8059523</v>
      </c>
      <c r="C731" s="4" t="str">
        <f t="shared" si="3"/>
        <v/>
      </c>
      <c r="D731" s="4" t="s">
        <v>302</v>
      </c>
    </row>
    <row r="732" spans="1:4" ht="15.75" customHeight="1">
      <c r="A732" s="22">
        <v>9207138</v>
      </c>
      <c r="B732" s="4">
        <v>9207138</v>
      </c>
      <c r="C732" s="4" t="str">
        <f t="shared" si="3"/>
        <v/>
      </c>
      <c r="D732" s="4" t="s">
        <v>302</v>
      </c>
    </row>
    <row r="733" spans="1:4" ht="15.75" customHeight="1">
      <c r="A733" s="22">
        <v>9266465</v>
      </c>
      <c r="B733" s="4">
        <v>16474928</v>
      </c>
      <c r="C733" s="4" t="str">
        <f t="shared" si="3"/>
        <v/>
      </c>
      <c r="D733" s="4" t="s">
        <v>302</v>
      </c>
    </row>
    <row r="734" spans="1:4" ht="15.75" customHeight="1">
      <c r="A734" s="22">
        <v>12116027</v>
      </c>
      <c r="B734" s="4">
        <v>18691755</v>
      </c>
      <c r="C734" s="4" t="str">
        <f t="shared" si="3"/>
        <v/>
      </c>
      <c r="D734" s="4" t="s">
        <v>302</v>
      </c>
    </row>
    <row r="735" spans="1:4" ht="15.75" customHeight="1">
      <c r="A735" s="22">
        <v>8059523</v>
      </c>
      <c r="B735" s="4">
        <v>28092892</v>
      </c>
      <c r="C735" s="4" t="str">
        <f t="shared" si="3"/>
        <v/>
      </c>
      <c r="D735" s="4" t="s">
        <v>302</v>
      </c>
    </row>
    <row r="736" spans="1:4" ht="15.75" customHeight="1">
      <c r="A736" s="22">
        <v>28092892</v>
      </c>
      <c r="B736" s="4">
        <v>23852888</v>
      </c>
      <c r="C736" s="4" t="str">
        <f t="shared" si="3"/>
        <v/>
      </c>
      <c r="D736" s="4" t="s">
        <v>302</v>
      </c>
    </row>
    <row r="737" spans="1:4" ht="15.75" customHeight="1">
      <c r="A737" s="22">
        <v>38377081</v>
      </c>
      <c r="B737" s="4">
        <v>8710068</v>
      </c>
      <c r="C737" s="4">
        <f t="shared" si="3"/>
        <v>38377081</v>
      </c>
      <c r="D737" s="4" t="s">
        <v>302</v>
      </c>
    </row>
    <row r="738" spans="1:4" ht="15.75" customHeight="1">
      <c r="A738" s="22">
        <v>16474928</v>
      </c>
      <c r="B738" s="4">
        <v>8227605</v>
      </c>
      <c r="C738" s="4" t="str">
        <f t="shared" si="3"/>
        <v/>
      </c>
      <c r="D738" s="4" t="s">
        <v>302</v>
      </c>
    </row>
    <row r="739" spans="1:4" ht="15.75" customHeight="1">
      <c r="A739" s="22">
        <v>17222758</v>
      </c>
      <c r="B739" s="4">
        <v>18166808</v>
      </c>
      <c r="C739" s="4" t="str">
        <f t="shared" si="3"/>
        <v/>
      </c>
      <c r="D739" s="4" t="s">
        <v>302</v>
      </c>
    </row>
    <row r="740" spans="1:4" ht="15.75" customHeight="1">
      <c r="A740" s="22">
        <v>18691755</v>
      </c>
      <c r="B740" s="4">
        <v>9469397</v>
      </c>
      <c r="C740" s="4" t="str">
        <f t="shared" si="3"/>
        <v/>
      </c>
      <c r="D740" s="4" t="s">
        <v>302</v>
      </c>
    </row>
    <row r="741" spans="1:4" ht="15.75" customHeight="1">
      <c r="A741" s="22">
        <v>1652618</v>
      </c>
      <c r="B741" s="4">
        <v>22245897</v>
      </c>
      <c r="C741" s="4" t="str">
        <f t="shared" si="3"/>
        <v/>
      </c>
      <c r="D741" s="4" t="s">
        <v>302</v>
      </c>
    </row>
    <row r="742" spans="1:4" ht="15.75" customHeight="1">
      <c r="A742" s="22">
        <v>8710068</v>
      </c>
      <c r="B742" s="4">
        <v>31567413</v>
      </c>
      <c r="C742" s="4" t="str">
        <f t="shared" si="3"/>
        <v/>
      </c>
      <c r="D742" s="4" t="s">
        <v>302</v>
      </c>
    </row>
    <row r="743" spans="1:4" ht="15.75" customHeight="1">
      <c r="A743" s="22">
        <v>8227605</v>
      </c>
      <c r="B743" s="4">
        <v>15904975</v>
      </c>
      <c r="C743" s="4" t="str">
        <f t="shared" si="3"/>
        <v/>
      </c>
      <c r="D743" s="4" t="s">
        <v>302</v>
      </c>
    </row>
    <row r="744" spans="1:4" ht="15.75" customHeight="1">
      <c r="A744" s="22">
        <v>9632282</v>
      </c>
      <c r="B744" s="4">
        <v>1378586</v>
      </c>
      <c r="C744" s="4" t="str">
        <f t="shared" si="3"/>
        <v/>
      </c>
      <c r="D744" s="4" t="s">
        <v>302</v>
      </c>
    </row>
    <row r="745" spans="1:4" ht="15.75" customHeight="1">
      <c r="A745" s="22">
        <v>15196083</v>
      </c>
      <c r="B745" s="4">
        <v>10800159</v>
      </c>
      <c r="C745" s="4" t="str">
        <f t="shared" si="3"/>
        <v/>
      </c>
      <c r="D745" s="4" t="s">
        <v>302</v>
      </c>
    </row>
    <row r="746" spans="1:4" ht="15.75" customHeight="1">
      <c r="A746" s="22">
        <v>10800159</v>
      </c>
      <c r="B746" s="4">
        <v>29618688</v>
      </c>
      <c r="C746" s="4" t="str">
        <f t="shared" si="3"/>
        <v/>
      </c>
      <c r="D746" s="4" t="s">
        <v>302</v>
      </c>
    </row>
    <row r="747" spans="1:4" ht="15.75" customHeight="1">
      <c r="A747" s="22">
        <v>9469397</v>
      </c>
      <c r="B747" s="4">
        <v>24335704</v>
      </c>
      <c r="C747" s="4" t="str">
        <f t="shared" si="3"/>
        <v/>
      </c>
      <c r="D747" s="4" t="s">
        <v>302</v>
      </c>
    </row>
    <row r="748" spans="1:4" ht="15.75" customHeight="1">
      <c r="A748" s="22">
        <v>18166808</v>
      </c>
      <c r="B748" s="4">
        <v>31745253</v>
      </c>
      <c r="C748" s="4" t="str">
        <f t="shared" si="3"/>
        <v/>
      </c>
      <c r="D748" s="4" t="s">
        <v>302</v>
      </c>
    </row>
    <row r="749" spans="1:4" ht="15.75" customHeight="1">
      <c r="A749" s="22">
        <v>31567413</v>
      </c>
      <c r="B749" s="4">
        <v>10633848</v>
      </c>
      <c r="C749" s="4" t="str">
        <f t="shared" si="3"/>
        <v/>
      </c>
      <c r="D749" s="4" t="s">
        <v>302</v>
      </c>
    </row>
    <row r="750" spans="1:4" ht="15.75" customHeight="1">
      <c r="A750" s="22">
        <v>31745253</v>
      </c>
      <c r="B750" s="4">
        <v>15078943</v>
      </c>
      <c r="C750" s="4" t="str">
        <f t="shared" si="3"/>
        <v/>
      </c>
      <c r="D750" s="4" t="s">
        <v>302</v>
      </c>
    </row>
    <row r="751" spans="1:4" ht="15.75" customHeight="1">
      <c r="A751" s="22">
        <v>15078943</v>
      </c>
      <c r="B751" s="4">
        <v>25066883</v>
      </c>
      <c r="C751" s="4" t="str">
        <f t="shared" si="3"/>
        <v/>
      </c>
      <c r="D751" s="4" t="s">
        <v>302</v>
      </c>
    </row>
    <row r="752" spans="1:4" ht="15.75" customHeight="1">
      <c r="A752" s="22">
        <v>25066883</v>
      </c>
      <c r="B752" s="4">
        <v>33207265</v>
      </c>
      <c r="C752" s="4" t="str">
        <f t="shared" si="3"/>
        <v/>
      </c>
      <c r="D752" s="4" t="s">
        <v>302</v>
      </c>
    </row>
    <row r="753" spans="1:4" ht="15.75" customHeight="1">
      <c r="A753" s="22">
        <v>10633848</v>
      </c>
      <c r="B753" s="4">
        <v>9033979</v>
      </c>
      <c r="C753" s="4" t="str">
        <f t="shared" si="3"/>
        <v/>
      </c>
      <c r="D753" s="4" t="s">
        <v>302</v>
      </c>
    </row>
    <row r="754" spans="1:4" ht="15.75" customHeight="1">
      <c r="A754" s="22">
        <v>18818265</v>
      </c>
      <c r="B754" s="4">
        <v>29156094</v>
      </c>
      <c r="C754" s="4" t="str">
        <f t="shared" si="3"/>
        <v/>
      </c>
      <c r="D754" s="4" t="s">
        <v>302</v>
      </c>
    </row>
    <row r="755" spans="1:4" ht="15.75" customHeight="1">
      <c r="A755" s="22">
        <v>24335704</v>
      </c>
      <c r="B755" s="4">
        <v>12704592</v>
      </c>
      <c r="C755" s="4" t="str">
        <f t="shared" si="3"/>
        <v/>
      </c>
      <c r="D755" s="4" t="s">
        <v>302</v>
      </c>
    </row>
    <row r="756" spans="1:4" ht="15.75" customHeight="1">
      <c r="A756" s="22">
        <v>33207265</v>
      </c>
      <c r="B756" s="4">
        <v>11055083</v>
      </c>
      <c r="C756" s="4" t="str">
        <f t="shared" si="3"/>
        <v/>
      </c>
      <c r="D756" s="4" t="s">
        <v>302</v>
      </c>
    </row>
    <row r="757" spans="1:4" ht="15.75" customHeight="1">
      <c r="A757" s="22">
        <v>9033979</v>
      </c>
      <c r="B757" s="4">
        <v>33491073</v>
      </c>
      <c r="C757" s="4" t="str">
        <f t="shared" si="3"/>
        <v/>
      </c>
      <c r="D757" s="4" t="s">
        <v>302</v>
      </c>
    </row>
    <row r="758" spans="1:4" ht="15.75" customHeight="1">
      <c r="A758" s="22">
        <v>29156094</v>
      </c>
      <c r="B758" s="4">
        <v>11920307</v>
      </c>
      <c r="C758" s="4" t="str">
        <f t="shared" si="3"/>
        <v/>
      </c>
      <c r="D758" s="4" t="s">
        <v>302</v>
      </c>
    </row>
    <row r="759" spans="1:4" ht="15.75" customHeight="1">
      <c r="A759" s="22">
        <v>15904975</v>
      </c>
      <c r="B759" s="4">
        <v>1656131</v>
      </c>
      <c r="C759" s="4" t="str">
        <f t="shared" si="3"/>
        <v/>
      </c>
      <c r="D759" s="4" t="s">
        <v>302</v>
      </c>
    </row>
    <row r="760" spans="1:4" ht="15.75" customHeight="1">
      <c r="A760" s="22">
        <v>1378586</v>
      </c>
      <c r="B760" s="4">
        <v>17432230</v>
      </c>
      <c r="C760" s="4" t="str">
        <f t="shared" si="3"/>
        <v/>
      </c>
      <c r="D760" s="4" t="s">
        <v>302</v>
      </c>
    </row>
    <row r="761" spans="1:4" ht="15.75" customHeight="1">
      <c r="A761" s="22">
        <v>12704592</v>
      </c>
      <c r="B761" s="4">
        <v>9770176</v>
      </c>
      <c r="C761" s="4" t="str">
        <f t="shared" si="3"/>
        <v/>
      </c>
      <c r="D761" s="4" t="s">
        <v>302</v>
      </c>
    </row>
    <row r="762" spans="1:4" ht="15.75" customHeight="1">
      <c r="A762" s="22">
        <v>29618688</v>
      </c>
      <c r="B762" s="4">
        <v>31378873</v>
      </c>
      <c r="C762" s="4" t="str">
        <f t="shared" si="3"/>
        <v/>
      </c>
      <c r="D762" s="4" t="s">
        <v>302</v>
      </c>
    </row>
    <row r="763" spans="1:4" ht="15.75" customHeight="1">
      <c r="A763" s="22">
        <v>33491073</v>
      </c>
      <c r="B763" s="4">
        <v>26465970</v>
      </c>
      <c r="C763" s="4" t="str">
        <f t="shared" si="3"/>
        <v/>
      </c>
      <c r="D763" s="4" t="s">
        <v>302</v>
      </c>
    </row>
    <row r="764" spans="1:4" ht="15.75" customHeight="1">
      <c r="A764" s="22">
        <v>1656131</v>
      </c>
      <c r="B764" s="4">
        <v>11785448</v>
      </c>
      <c r="C764" s="4" t="str">
        <f t="shared" si="3"/>
        <v/>
      </c>
      <c r="D764" s="4" t="s">
        <v>302</v>
      </c>
    </row>
    <row r="765" spans="1:4" ht="15.75" customHeight="1">
      <c r="A765" s="22">
        <v>38953028</v>
      </c>
      <c r="B765" s="4">
        <v>28783452</v>
      </c>
      <c r="C765" s="4">
        <f t="shared" si="3"/>
        <v>38953028</v>
      </c>
      <c r="D765" s="4" t="s">
        <v>302</v>
      </c>
    </row>
    <row r="766" spans="1:4" ht="15.75" customHeight="1">
      <c r="A766" s="22">
        <v>11920307</v>
      </c>
      <c r="B766" s="4">
        <v>11192519</v>
      </c>
      <c r="C766" s="4" t="str">
        <f t="shared" si="3"/>
        <v/>
      </c>
      <c r="D766" s="4" t="s">
        <v>302</v>
      </c>
    </row>
    <row r="767" spans="1:4" ht="15.75" customHeight="1">
      <c r="A767" s="22">
        <v>17432230</v>
      </c>
      <c r="B767" s="4">
        <v>1657514</v>
      </c>
      <c r="C767" s="4" t="str">
        <f t="shared" ref="C767:C1021" si="4">IFERROR(IF(MATCH(A767,B:B,0)&gt;0,""),A767)</f>
        <v/>
      </c>
      <c r="D767" s="4" t="s">
        <v>302</v>
      </c>
    </row>
    <row r="768" spans="1:4" ht="15.75" customHeight="1">
      <c r="A768" s="22">
        <v>22245897</v>
      </c>
      <c r="B768" s="4">
        <v>26482270</v>
      </c>
      <c r="C768" s="4" t="str">
        <f t="shared" si="4"/>
        <v/>
      </c>
      <c r="D768" s="4" t="s">
        <v>302</v>
      </c>
    </row>
    <row r="769" spans="1:4" ht="15.75" customHeight="1">
      <c r="A769" s="22">
        <v>9770176</v>
      </c>
      <c r="B769" s="4">
        <v>29169653</v>
      </c>
      <c r="C769" s="4" t="str">
        <f t="shared" si="4"/>
        <v/>
      </c>
      <c r="D769" s="4" t="s">
        <v>302</v>
      </c>
    </row>
    <row r="770" spans="1:4" ht="15.75" customHeight="1">
      <c r="A770" s="22">
        <v>26465970</v>
      </c>
      <c r="B770" s="4">
        <v>28822107</v>
      </c>
      <c r="C770" s="4" t="str">
        <f t="shared" si="4"/>
        <v/>
      </c>
      <c r="D770" s="4" t="s">
        <v>302</v>
      </c>
    </row>
    <row r="771" spans="1:4" ht="15.75" customHeight="1">
      <c r="A771" s="22">
        <v>31378873</v>
      </c>
      <c r="B771" s="4">
        <v>25249343</v>
      </c>
      <c r="C771" s="4" t="str">
        <f t="shared" si="4"/>
        <v/>
      </c>
      <c r="D771" s="4" t="s">
        <v>302</v>
      </c>
    </row>
    <row r="772" spans="1:4" ht="15.75" customHeight="1">
      <c r="A772" s="22">
        <v>11055083</v>
      </c>
      <c r="B772" s="4">
        <v>12529677</v>
      </c>
      <c r="C772" s="4" t="str">
        <f t="shared" si="4"/>
        <v/>
      </c>
      <c r="D772" s="4" t="s">
        <v>302</v>
      </c>
    </row>
    <row r="773" spans="1:4" ht="15.75" customHeight="1">
      <c r="A773" s="22">
        <v>11785448</v>
      </c>
      <c r="B773" s="4">
        <v>32786154</v>
      </c>
      <c r="C773" s="4" t="str">
        <f t="shared" si="4"/>
        <v/>
      </c>
      <c r="D773" s="4" t="s">
        <v>302</v>
      </c>
    </row>
    <row r="774" spans="1:4" ht="15.75" customHeight="1">
      <c r="A774" s="22">
        <v>28783452</v>
      </c>
      <c r="B774" s="4">
        <v>12379892</v>
      </c>
      <c r="C774" s="4" t="str">
        <f t="shared" si="4"/>
        <v/>
      </c>
      <c r="D774" s="4" t="s">
        <v>302</v>
      </c>
    </row>
    <row r="775" spans="1:4" ht="15.75" customHeight="1">
      <c r="A775" s="22">
        <v>1657514</v>
      </c>
      <c r="B775" s="4">
        <v>22246831</v>
      </c>
      <c r="C775" s="4" t="str">
        <f t="shared" si="4"/>
        <v/>
      </c>
      <c r="D775" s="4" t="s">
        <v>302</v>
      </c>
    </row>
    <row r="776" spans="1:4" ht="15.75" customHeight="1">
      <c r="A776" s="22">
        <v>29169653</v>
      </c>
      <c r="B776" s="4">
        <v>8392166</v>
      </c>
      <c r="C776" s="4" t="str">
        <f t="shared" si="4"/>
        <v/>
      </c>
      <c r="D776" s="4" t="s">
        <v>302</v>
      </c>
    </row>
    <row r="777" spans="1:4" ht="15.75" customHeight="1">
      <c r="A777" s="22">
        <v>28822107</v>
      </c>
      <c r="B777" s="4">
        <v>11938764</v>
      </c>
      <c r="C777" s="4" t="str">
        <f t="shared" si="4"/>
        <v/>
      </c>
      <c r="D777" s="4" t="s">
        <v>302</v>
      </c>
    </row>
    <row r="778" spans="1:4" ht="15.75" customHeight="1">
      <c r="A778" s="22">
        <v>23852888</v>
      </c>
      <c r="B778" s="4">
        <v>21565944</v>
      </c>
      <c r="C778" s="4" t="str">
        <f t="shared" si="4"/>
        <v/>
      </c>
      <c r="D778" s="4" t="s">
        <v>302</v>
      </c>
    </row>
    <row r="779" spans="1:4" ht="15.75" customHeight="1">
      <c r="A779" s="22">
        <v>25249343</v>
      </c>
      <c r="B779" s="4">
        <v>20661655</v>
      </c>
      <c r="C779" s="4" t="str">
        <f t="shared" si="4"/>
        <v/>
      </c>
      <c r="D779" s="4" t="s">
        <v>302</v>
      </c>
    </row>
    <row r="780" spans="1:4" ht="15.75" customHeight="1">
      <c r="A780" s="22">
        <v>12379892</v>
      </c>
      <c r="B780" s="4">
        <v>11689646</v>
      </c>
      <c r="C780" s="4" t="str">
        <f t="shared" si="4"/>
        <v/>
      </c>
      <c r="D780" s="4" t="s">
        <v>302</v>
      </c>
    </row>
    <row r="781" spans="1:4" ht="15.75" customHeight="1">
      <c r="A781" s="22">
        <v>32786154</v>
      </c>
      <c r="B781" s="4">
        <v>9882361</v>
      </c>
      <c r="C781" s="4" t="str">
        <f t="shared" si="4"/>
        <v/>
      </c>
      <c r="D781" s="4" t="s">
        <v>302</v>
      </c>
    </row>
    <row r="782" spans="1:4" ht="15.75" customHeight="1">
      <c r="A782" s="22">
        <v>22246831</v>
      </c>
      <c r="B782" s="4">
        <v>10221519</v>
      </c>
      <c r="C782" s="4" t="str">
        <f t="shared" si="4"/>
        <v/>
      </c>
      <c r="D782" s="4" t="s">
        <v>302</v>
      </c>
    </row>
    <row r="783" spans="1:4" ht="15.75" customHeight="1">
      <c r="A783" s="22">
        <v>10221519</v>
      </c>
      <c r="B783" s="4">
        <v>25982843</v>
      </c>
      <c r="C783" s="4" t="str">
        <f t="shared" si="4"/>
        <v/>
      </c>
      <c r="D783" s="4" t="s">
        <v>302</v>
      </c>
    </row>
    <row r="784" spans="1:4" ht="15.75" customHeight="1">
      <c r="A784" s="22">
        <v>20661655</v>
      </c>
      <c r="B784" s="4">
        <v>12925104</v>
      </c>
      <c r="C784" s="4" t="str">
        <f t="shared" si="4"/>
        <v/>
      </c>
      <c r="D784" s="4" t="s">
        <v>302</v>
      </c>
    </row>
    <row r="785" spans="1:4" ht="15.75" customHeight="1">
      <c r="A785" s="22">
        <v>11689646</v>
      </c>
      <c r="B785" s="4">
        <v>30590622</v>
      </c>
      <c r="C785" s="4" t="str">
        <f t="shared" si="4"/>
        <v/>
      </c>
      <c r="D785" s="4" t="s">
        <v>302</v>
      </c>
    </row>
    <row r="786" spans="1:4" ht="15.75" customHeight="1">
      <c r="A786" s="22">
        <v>12529677</v>
      </c>
      <c r="B786" s="4">
        <v>9359527</v>
      </c>
      <c r="C786" s="4" t="str">
        <f t="shared" si="4"/>
        <v/>
      </c>
      <c r="D786" s="4" t="s">
        <v>302</v>
      </c>
    </row>
    <row r="787" spans="1:4" ht="15.75" customHeight="1">
      <c r="A787" s="22">
        <v>25982843</v>
      </c>
      <c r="B787" s="4">
        <v>31754252</v>
      </c>
      <c r="C787" s="4" t="str">
        <f t="shared" si="4"/>
        <v/>
      </c>
      <c r="D787" s="4" t="s">
        <v>302</v>
      </c>
    </row>
    <row r="788" spans="1:4" ht="15.75" customHeight="1">
      <c r="A788" s="22">
        <v>9882361</v>
      </c>
      <c r="B788" s="4">
        <v>1851861</v>
      </c>
      <c r="C788" s="4" t="str">
        <f t="shared" si="4"/>
        <v/>
      </c>
      <c r="D788" s="4" t="s">
        <v>302</v>
      </c>
    </row>
    <row r="789" spans="1:4" ht="15.75" customHeight="1">
      <c r="A789" s="22">
        <v>8392166</v>
      </c>
      <c r="B789" s="4">
        <v>11139213</v>
      </c>
      <c r="C789" s="4" t="str">
        <f t="shared" si="4"/>
        <v/>
      </c>
      <c r="D789" s="4" t="s">
        <v>302</v>
      </c>
    </row>
    <row r="790" spans="1:4" ht="15.75" customHeight="1">
      <c r="A790" s="22">
        <v>9359527</v>
      </c>
      <c r="B790" s="4">
        <v>22178541</v>
      </c>
      <c r="C790" s="4" t="str">
        <f t="shared" si="4"/>
        <v/>
      </c>
      <c r="D790" s="4" t="s">
        <v>302</v>
      </c>
    </row>
    <row r="791" spans="1:4" ht="15.75" customHeight="1">
      <c r="A791" s="22">
        <v>31754252</v>
      </c>
      <c r="B791" s="4">
        <v>23535574</v>
      </c>
      <c r="C791" s="4" t="str">
        <f t="shared" si="4"/>
        <v/>
      </c>
      <c r="D791" s="4" t="s">
        <v>302</v>
      </c>
    </row>
    <row r="792" spans="1:4" ht="15.75" customHeight="1">
      <c r="A792" s="22">
        <v>12925104</v>
      </c>
      <c r="B792" s="4">
        <v>11966777</v>
      </c>
      <c r="C792" s="4" t="str">
        <f t="shared" si="4"/>
        <v/>
      </c>
      <c r="D792" s="4" t="s">
        <v>302</v>
      </c>
    </row>
    <row r="793" spans="1:4" ht="15.75" customHeight="1">
      <c r="A793" s="22">
        <v>30590622</v>
      </c>
      <c r="B793" s="4">
        <v>28209721</v>
      </c>
      <c r="C793" s="4" t="str">
        <f t="shared" si="4"/>
        <v/>
      </c>
      <c r="D793" s="4" t="s">
        <v>302</v>
      </c>
    </row>
    <row r="794" spans="1:4" ht="15.75" customHeight="1">
      <c r="A794" s="22">
        <v>1851861</v>
      </c>
      <c r="B794" s="4">
        <v>9786754</v>
      </c>
      <c r="C794" s="4" t="str">
        <f t="shared" si="4"/>
        <v/>
      </c>
      <c r="D794" s="4" t="s">
        <v>302</v>
      </c>
    </row>
    <row r="795" spans="1:4" ht="15.75" customHeight="1">
      <c r="A795" s="22">
        <v>21565944</v>
      </c>
      <c r="B795" s="4">
        <v>23026619</v>
      </c>
      <c r="C795" s="4" t="str">
        <f t="shared" si="4"/>
        <v/>
      </c>
      <c r="D795" s="4" t="s">
        <v>302</v>
      </c>
    </row>
    <row r="796" spans="1:4" ht="15.75" customHeight="1">
      <c r="A796" s="22">
        <v>11938764</v>
      </c>
      <c r="B796" s="4">
        <v>26566646</v>
      </c>
      <c r="C796" s="4" t="str">
        <f t="shared" si="4"/>
        <v/>
      </c>
      <c r="D796" s="4" t="s">
        <v>302</v>
      </c>
    </row>
    <row r="797" spans="1:4" ht="15.75" customHeight="1">
      <c r="A797" s="22">
        <v>11139213</v>
      </c>
      <c r="B797" s="4">
        <v>9749608</v>
      </c>
      <c r="C797" s="4" t="str">
        <f t="shared" si="4"/>
        <v/>
      </c>
      <c r="D797" s="4" t="s">
        <v>302</v>
      </c>
    </row>
    <row r="798" spans="1:4" ht="15.75" customHeight="1">
      <c r="A798" s="22">
        <v>26482270</v>
      </c>
      <c r="B798" s="4">
        <v>31724929</v>
      </c>
      <c r="C798" s="4" t="str">
        <f t="shared" si="4"/>
        <v/>
      </c>
      <c r="D798" s="4" t="s">
        <v>302</v>
      </c>
    </row>
    <row r="799" spans="1:4" ht="15.75" customHeight="1">
      <c r="A799" s="22">
        <v>11192519</v>
      </c>
      <c r="B799" s="4">
        <v>1658217</v>
      </c>
      <c r="C799" s="4" t="str">
        <f t="shared" si="4"/>
        <v/>
      </c>
      <c r="D799" s="4" t="s">
        <v>302</v>
      </c>
    </row>
    <row r="800" spans="1:4" ht="15.75" customHeight="1">
      <c r="A800" s="22">
        <v>11966777</v>
      </c>
      <c r="B800" s="4">
        <v>10910278</v>
      </c>
      <c r="C800" s="4" t="str">
        <f t="shared" si="4"/>
        <v/>
      </c>
      <c r="D800" s="4" t="s">
        <v>302</v>
      </c>
    </row>
    <row r="801" spans="1:4" ht="15.75" customHeight="1">
      <c r="A801" s="22">
        <v>1846951</v>
      </c>
      <c r="B801" s="4">
        <v>22554258</v>
      </c>
      <c r="C801" s="4" t="str">
        <f t="shared" si="4"/>
        <v/>
      </c>
      <c r="D801" s="4" t="s">
        <v>302</v>
      </c>
    </row>
    <row r="802" spans="1:4" ht="15.75" customHeight="1">
      <c r="A802" s="22">
        <v>28209721</v>
      </c>
      <c r="B802" s="4">
        <v>12174928</v>
      </c>
      <c r="C802" s="4" t="str">
        <f t="shared" si="4"/>
        <v/>
      </c>
      <c r="D802" s="4" t="s">
        <v>302</v>
      </c>
    </row>
    <row r="803" spans="1:4" ht="15.75" customHeight="1">
      <c r="A803" s="22">
        <v>26566646</v>
      </c>
      <c r="B803" s="4">
        <v>12173776</v>
      </c>
      <c r="C803" s="4" t="str">
        <f t="shared" si="4"/>
        <v/>
      </c>
      <c r="D803" s="4" t="s">
        <v>302</v>
      </c>
    </row>
    <row r="804" spans="1:4" ht="15.75" customHeight="1">
      <c r="A804" s="22">
        <v>9786754</v>
      </c>
      <c r="B804" s="4">
        <v>23461659</v>
      </c>
      <c r="C804" s="4" t="str">
        <f t="shared" si="4"/>
        <v/>
      </c>
      <c r="D804" s="4" t="s">
        <v>302</v>
      </c>
    </row>
    <row r="805" spans="1:4" ht="15.75" customHeight="1">
      <c r="A805" s="22">
        <v>23535574</v>
      </c>
      <c r="B805" s="4">
        <v>22186115</v>
      </c>
      <c r="C805" s="4" t="str">
        <f t="shared" si="4"/>
        <v/>
      </c>
      <c r="D805" s="4" t="s">
        <v>302</v>
      </c>
    </row>
    <row r="806" spans="1:4" ht="15.75" customHeight="1">
      <c r="A806" s="22">
        <v>22178541</v>
      </c>
      <c r="B806" s="4">
        <v>31020640</v>
      </c>
      <c r="C806" s="4" t="str">
        <f t="shared" si="4"/>
        <v/>
      </c>
      <c r="D806" s="4" t="s">
        <v>302</v>
      </c>
    </row>
    <row r="807" spans="1:4" ht="15.75" customHeight="1">
      <c r="A807" s="22">
        <v>12174928</v>
      </c>
      <c r="B807" s="4">
        <v>25510656</v>
      </c>
      <c r="C807" s="4" t="str">
        <f t="shared" si="4"/>
        <v/>
      </c>
      <c r="D807" s="4" t="s">
        <v>302</v>
      </c>
    </row>
    <row r="808" spans="1:4" ht="15.75" customHeight="1">
      <c r="A808" s="22">
        <v>10910278</v>
      </c>
      <c r="B808" s="4">
        <v>7858257</v>
      </c>
      <c r="C808" s="4" t="str">
        <f t="shared" si="4"/>
        <v/>
      </c>
      <c r="D808" s="4" t="s">
        <v>302</v>
      </c>
    </row>
    <row r="809" spans="1:4" ht="15.75" customHeight="1">
      <c r="A809" s="22">
        <v>31724929</v>
      </c>
      <c r="B809" s="4">
        <v>29907960</v>
      </c>
      <c r="C809" s="4" t="str">
        <f t="shared" si="4"/>
        <v/>
      </c>
      <c r="D809" s="4" t="s">
        <v>302</v>
      </c>
    </row>
    <row r="810" spans="1:4" ht="15.75" customHeight="1">
      <c r="A810" s="22">
        <v>9749608</v>
      </c>
      <c r="B810" s="4">
        <v>11255287</v>
      </c>
      <c r="C810" s="4" t="str">
        <f t="shared" si="4"/>
        <v/>
      </c>
      <c r="D810" s="4" t="s">
        <v>302</v>
      </c>
    </row>
    <row r="811" spans="1:4" ht="15.75" customHeight="1">
      <c r="A811" s="22">
        <v>25510656</v>
      </c>
      <c r="B811" s="4">
        <v>8721028</v>
      </c>
      <c r="C811" s="4" t="str">
        <f t="shared" si="4"/>
        <v/>
      </c>
      <c r="D811" s="4" t="s">
        <v>302</v>
      </c>
    </row>
    <row r="812" spans="1:4" ht="15.75" customHeight="1">
      <c r="A812" s="22">
        <v>23026619</v>
      </c>
      <c r="B812" s="4">
        <v>8607365</v>
      </c>
      <c r="C812" s="4" t="str">
        <f t="shared" si="4"/>
        <v/>
      </c>
      <c r="D812" s="4" t="s">
        <v>302</v>
      </c>
    </row>
    <row r="813" spans="1:4" ht="15.75" customHeight="1">
      <c r="A813" s="22">
        <v>22186115</v>
      </c>
      <c r="B813" s="4">
        <v>22027897</v>
      </c>
      <c r="C813" s="4" t="str">
        <f t="shared" si="4"/>
        <v/>
      </c>
      <c r="D813" s="4" t="s">
        <v>302</v>
      </c>
    </row>
    <row r="814" spans="1:4" ht="15.75" customHeight="1">
      <c r="A814" s="22">
        <v>31020640</v>
      </c>
      <c r="B814" s="4">
        <v>12021348</v>
      </c>
      <c r="C814" s="4" t="str">
        <f t="shared" si="4"/>
        <v/>
      </c>
      <c r="D814" s="4" t="s">
        <v>302</v>
      </c>
    </row>
    <row r="815" spans="1:4" ht="15.75" customHeight="1">
      <c r="A815" s="22">
        <v>7858257</v>
      </c>
      <c r="B815" s="4">
        <v>9745761</v>
      </c>
      <c r="C815" s="4" t="str">
        <f t="shared" si="4"/>
        <v/>
      </c>
      <c r="D815" s="4" t="s">
        <v>302</v>
      </c>
    </row>
    <row r="816" spans="1:4" ht="15.75" customHeight="1">
      <c r="A816" s="22">
        <v>29907960</v>
      </c>
      <c r="B816" s="4">
        <v>23769093</v>
      </c>
      <c r="C816" s="4" t="str">
        <f t="shared" si="4"/>
        <v/>
      </c>
      <c r="D816" s="4" t="s">
        <v>302</v>
      </c>
    </row>
    <row r="817" spans="1:4" ht="15.75" customHeight="1">
      <c r="A817" s="22">
        <v>8721028</v>
      </c>
      <c r="B817" s="4">
        <v>29487057</v>
      </c>
      <c r="C817" s="4" t="str">
        <f t="shared" si="4"/>
        <v/>
      </c>
      <c r="D817" s="4" t="s">
        <v>302</v>
      </c>
    </row>
    <row r="818" spans="1:4" ht="15.75" customHeight="1">
      <c r="A818" s="22">
        <v>1658217</v>
      </c>
      <c r="B818" s="4">
        <v>10872679</v>
      </c>
      <c r="C818" s="4" t="str">
        <f t="shared" si="4"/>
        <v/>
      </c>
      <c r="D818" s="4" t="s">
        <v>302</v>
      </c>
    </row>
    <row r="819" spans="1:4" ht="15.75" customHeight="1">
      <c r="A819" s="22">
        <v>9745761</v>
      </c>
      <c r="B819" s="4">
        <v>24579822</v>
      </c>
      <c r="C819" s="4" t="str">
        <f t="shared" si="4"/>
        <v/>
      </c>
      <c r="D819" s="4" t="s">
        <v>302</v>
      </c>
    </row>
    <row r="820" spans="1:4" ht="15.75" customHeight="1">
      <c r="A820" s="22">
        <v>22027897</v>
      </c>
      <c r="B820" s="4">
        <v>12220240</v>
      </c>
      <c r="C820" s="4" t="str">
        <f t="shared" si="4"/>
        <v/>
      </c>
      <c r="D820" s="4" t="s">
        <v>302</v>
      </c>
    </row>
    <row r="821" spans="1:4" ht="15.75" customHeight="1">
      <c r="A821" s="22">
        <v>23769093</v>
      </c>
      <c r="B821" s="4">
        <v>25007510</v>
      </c>
      <c r="C821" s="4" t="str">
        <f t="shared" si="4"/>
        <v/>
      </c>
      <c r="D821" s="4" t="s">
        <v>302</v>
      </c>
    </row>
    <row r="822" spans="1:4" ht="15.75" customHeight="1">
      <c r="A822" s="22">
        <v>8607365</v>
      </c>
      <c r="B822" s="4">
        <v>27552439</v>
      </c>
      <c r="C822" s="4" t="str">
        <f t="shared" si="4"/>
        <v/>
      </c>
      <c r="D822" s="4" t="s">
        <v>302</v>
      </c>
    </row>
    <row r="823" spans="1:4" ht="15.75" customHeight="1">
      <c r="A823" s="22">
        <v>23461659</v>
      </c>
      <c r="B823" s="4">
        <v>9078464</v>
      </c>
      <c r="C823" s="4" t="str">
        <f t="shared" si="4"/>
        <v/>
      </c>
      <c r="D823" s="4" t="s">
        <v>302</v>
      </c>
    </row>
    <row r="824" spans="1:4" ht="15.75" customHeight="1">
      <c r="A824" s="22">
        <v>10872679</v>
      </c>
      <c r="B824" s="4">
        <v>11149730</v>
      </c>
      <c r="C824" s="4" t="str">
        <f t="shared" si="4"/>
        <v/>
      </c>
      <c r="D824" s="4" t="s">
        <v>302</v>
      </c>
    </row>
    <row r="825" spans="1:4" ht="15.75" customHeight="1">
      <c r="A825" s="22">
        <v>22554258</v>
      </c>
      <c r="B825" s="4">
        <v>14981771</v>
      </c>
      <c r="C825" s="4" t="str">
        <f t="shared" si="4"/>
        <v/>
      </c>
      <c r="D825" s="4" t="s">
        <v>302</v>
      </c>
    </row>
    <row r="826" spans="1:4" ht="15.75" customHeight="1">
      <c r="A826" s="22">
        <v>12173776</v>
      </c>
      <c r="B826" s="4">
        <v>10919606</v>
      </c>
      <c r="C826" s="4" t="str">
        <f t="shared" si="4"/>
        <v/>
      </c>
      <c r="D826" s="4" t="s">
        <v>302</v>
      </c>
    </row>
    <row r="827" spans="1:4" ht="15.75" customHeight="1">
      <c r="A827" s="22">
        <v>29487057</v>
      </c>
      <c r="B827" s="4">
        <v>28376035</v>
      </c>
      <c r="C827" s="4" t="str">
        <f t="shared" si="4"/>
        <v/>
      </c>
      <c r="D827" s="4" t="s">
        <v>302</v>
      </c>
    </row>
    <row r="828" spans="1:4" ht="15.75" customHeight="1">
      <c r="A828" s="22">
        <v>25007510</v>
      </c>
      <c r="B828" s="4">
        <v>21397473</v>
      </c>
      <c r="C828" s="4" t="str">
        <f t="shared" si="4"/>
        <v/>
      </c>
      <c r="D828" s="4" t="s">
        <v>302</v>
      </c>
    </row>
    <row r="829" spans="1:4" ht="15.75" customHeight="1">
      <c r="A829" s="22">
        <v>27552439</v>
      </c>
      <c r="B829" s="4">
        <v>23080502</v>
      </c>
      <c r="C829" s="4" t="str">
        <f t="shared" si="4"/>
        <v/>
      </c>
      <c r="D829" s="4" t="s">
        <v>302</v>
      </c>
    </row>
    <row r="830" spans="1:4" ht="15.75" customHeight="1">
      <c r="A830" s="22">
        <v>11255287</v>
      </c>
      <c r="B830" s="4">
        <v>15700258</v>
      </c>
      <c r="C830" s="4" t="str">
        <f t="shared" si="4"/>
        <v/>
      </c>
      <c r="D830" s="4" t="s">
        <v>302</v>
      </c>
    </row>
    <row r="831" spans="1:4" ht="15.75" customHeight="1">
      <c r="A831" s="22">
        <v>14981771</v>
      </c>
      <c r="B831" s="4">
        <v>1318588</v>
      </c>
      <c r="C831" s="4" t="str">
        <f t="shared" si="4"/>
        <v/>
      </c>
      <c r="D831" s="4" t="s">
        <v>302</v>
      </c>
    </row>
    <row r="832" spans="1:4" ht="15.75" customHeight="1">
      <c r="A832" s="22">
        <v>9078464</v>
      </c>
      <c r="B832" s="4">
        <v>26567842</v>
      </c>
      <c r="C832" s="4" t="str">
        <f t="shared" si="4"/>
        <v/>
      </c>
      <c r="D832" s="4" t="s">
        <v>302</v>
      </c>
    </row>
    <row r="833" spans="1:4" ht="15.75" customHeight="1">
      <c r="A833" s="22">
        <v>11149730</v>
      </c>
      <c r="B833" s="4">
        <v>12728905</v>
      </c>
      <c r="C833" s="4" t="str">
        <f t="shared" si="4"/>
        <v/>
      </c>
      <c r="D833" s="4" t="s">
        <v>302</v>
      </c>
    </row>
    <row r="834" spans="1:4" ht="15.75" customHeight="1">
      <c r="A834" s="22">
        <v>10919606</v>
      </c>
      <c r="B834" s="4">
        <v>2174371</v>
      </c>
      <c r="C834" s="4" t="str">
        <f t="shared" si="4"/>
        <v/>
      </c>
      <c r="D834" s="4" t="s">
        <v>302</v>
      </c>
    </row>
    <row r="835" spans="1:4" ht="15.75" customHeight="1">
      <c r="A835" s="22">
        <v>21397473</v>
      </c>
      <c r="B835" s="4">
        <v>24611562</v>
      </c>
      <c r="C835" s="4" t="str">
        <f t="shared" si="4"/>
        <v/>
      </c>
      <c r="D835" s="4" t="s">
        <v>302</v>
      </c>
    </row>
    <row r="836" spans="1:4" ht="15.75" customHeight="1">
      <c r="A836" s="22">
        <v>28376035</v>
      </c>
      <c r="B836" s="4">
        <v>28617304</v>
      </c>
      <c r="C836" s="4" t="str">
        <f t="shared" si="4"/>
        <v/>
      </c>
      <c r="D836" s="4" t="s">
        <v>302</v>
      </c>
    </row>
    <row r="837" spans="1:4" ht="15.75" customHeight="1">
      <c r="A837" s="22">
        <v>12220240</v>
      </c>
      <c r="B837" s="4">
        <v>21804462</v>
      </c>
      <c r="C837" s="4" t="str">
        <f t="shared" si="4"/>
        <v/>
      </c>
      <c r="D837" s="4" t="s">
        <v>302</v>
      </c>
    </row>
    <row r="838" spans="1:4" ht="15.75" customHeight="1">
      <c r="A838" s="22">
        <v>23080502</v>
      </c>
      <c r="B838" s="4">
        <v>17116137</v>
      </c>
      <c r="C838" s="4" t="str">
        <f t="shared" si="4"/>
        <v/>
      </c>
      <c r="D838" s="4" t="s">
        <v>302</v>
      </c>
    </row>
    <row r="839" spans="1:4" ht="15.75" customHeight="1">
      <c r="A839" s="22">
        <v>24579822</v>
      </c>
      <c r="B839" s="4">
        <v>9365898</v>
      </c>
      <c r="C839" s="4" t="str">
        <f t="shared" si="4"/>
        <v/>
      </c>
      <c r="D839" s="4" t="s">
        <v>302</v>
      </c>
    </row>
    <row r="840" spans="1:4" ht="15.75" customHeight="1">
      <c r="A840" s="22">
        <v>26567842</v>
      </c>
      <c r="B840" s="4">
        <v>12352923</v>
      </c>
      <c r="C840" s="4" t="str">
        <f t="shared" si="4"/>
        <v/>
      </c>
      <c r="D840" s="4" t="s">
        <v>302</v>
      </c>
    </row>
    <row r="841" spans="1:4" ht="15.75" customHeight="1">
      <c r="A841" s="22">
        <v>24611562</v>
      </c>
      <c r="B841" s="4">
        <v>17555446</v>
      </c>
      <c r="C841" s="4" t="str">
        <f t="shared" si="4"/>
        <v/>
      </c>
      <c r="D841" s="4" t="s">
        <v>302</v>
      </c>
    </row>
    <row r="842" spans="1:4" ht="15.75" customHeight="1">
      <c r="A842" s="22">
        <v>1318588</v>
      </c>
      <c r="B842" s="4">
        <v>10223549</v>
      </c>
      <c r="C842" s="4" t="str">
        <f t="shared" si="4"/>
        <v/>
      </c>
      <c r="D842" s="4" t="s">
        <v>302</v>
      </c>
    </row>
    <row r="843" spans="1:4" ht="15.75" customHeight="1">
      <c r="A843" s="22">
        <v>21804462</v>
      </c>
      <c r="B843" s="4">
        <v>1310766</v>
      </c>
      <c r="C843" s="4" t="str">
        <f t="shared" si="4"/>
        <v/>
      </c>
      <c r="D843" s="4" t="s">
        <v>302</v>
      </c>
    </row>
    <row r="844" spans="1:4" ht="15.75" customHeight="1">
      <c r="A844" s="22">
        <v>17116137</v>
      </c>
      <c r="B844" s="4">
        <v>16792943</v>
      </c>
      <c r="C844" s="4" t="str">
        <f t="shared" si="4"/>
        <v/>
      </c>
      <c r="D844" s="4" t="s">
        <v>302</v>
      </c>
    </row>
    <row r="845" spans="1:4" ht="15.75" customHeight="1">
      <c r="A845" s="22">
        <v>28617304</v>
      </c>
      <c r="B845" s="4">
        <v>11763382</v>
      </c>
      <c r="C845" s="4" t="str">
        <f t="shared" si="4"/>
        <v/>
      </c>
      <c r="D845" s="4" t="s">
        <v>302</v>
      </c>
    </row>
    <row r="846" spans="1:4" ht="15.75" customHeight="1">
      <c r="A846" s="22">
        <v>10223549</v>
      </c>
      <c r="B846" s="4">
        <v>22710317</v>
      </c>
      <c r="C846" s="4" t="str">
        <f t="shared" si="4"/>
        <v/>
      </c>
      <c r="D846" s="4" t="s">
        <v>302</v>
      </c>
    </row>
    <row r="847" spans="1:4" ht="15.75" customHeight="1">
      <c r="A847" s="22">
        <v>12352923</v>
      </c>
      <c r="B847" s="4">
        <v>20070702</v>
      </c>
      <c r="C847" s="4" t="str">
        <f t="shared" si="4"/>
        <v/>
      </c>
      <c r="D847" s="4" t="s">
        <v>302</v>
      </c>
    </row>
    <row r="848" spans="1:4" ht="15.75" customHeight="1">
      <c r="A848" s="22">
        <v>1310766</v>
      </c>
      <c r="B848" s="4">
        <v>15848678</v>
      </c>
      <c r="C848" s="4" t="str">
        <f t="shared" si="4"/>
        <v/>
      </c>
      <c r="D848" s="4" t="s">
        <v>302</v>
      </c>
    </row>
    <row r="849" spans="1:4" ht="15.75" customHeight="1">
      <c r="A849" s="22">
        <v>16792943</v>
      </c>
      <c r="B849" s="4">
        <v>21629177</v>
      </c>
      <c r="C849" s="4" t="str">
        <f t="shared" si="4"/>
        <v/>
      </c>
      <c r="D849" s="4" t="s">
        <v>302</v>
      </c>
    </row>
    <row r="850" spans="1:4" ht="15.75" customHeight="1">
      <c r="A850" s="22">
        <v>20070702</v>
      </c>
      <c r="B850" s="4">
        <v>11145693</v>
      </c>
      <c r="C850" s="4" t="str">
        <f t="shared" si="4"/>
        <v/>
      </c>
      <c r="D850" s="4" t="s">
        <v>302</v>
      </c>
    </row>
    <row r="851" spans="1:4" ht="15.75" customHeight="1">
      <c r="A851" s="22">
        <v>11763382</v>
      </c>
      <c r="B851" s="4">
        <v>23409116</v>
      </c>
      <c r="C851" s="4" t="str">
        <f t="shared" si="4"/>
        <v/>
      </c>
      <c r="D851" s="4" t="s">
        <v>302</v>
      </c>
    </row>
    <row r="852" spans="1:4" ht="15.75" customHeight="1">
      <c r="A852" s="22">
        <v>22710317</v>
      </c>
      <c r="B852" s="4">
        <v>20739682</v>
      </c>
      <c r="C852" s="4" t="str">
        <f t="shared" si="4"/>
        <v/>
      </c>
      <c r="D852" s="4" t="s">
        <v>302</v>
      </c>
    </row>
    <row r="853" spans="1:4" ht="15.75" customHeight="1">
      <c r="A853" s="22">
        <v>12728905</v>
      </c>
      <c r="B853" s="4">
        <v>15660876</v>
      </c>
      <c r="C853" s="4" t="str">
        <f t="shared" si="4"/>
        <v/>
      </c>
      <c r="D853" s="4" t="s">
        <v>302</v>
      </c>
    </row>
    <row r="854" spans="1:4" ht="15.75" customHeight="1">
      <c r="A854" s="22">
        <v>2174371</v>
      </c>
      <c r="B854" s="4">
        <v>15196083</v>
      </c>
      <c r="C854" s="4" t="str">
        <f t="shared" si="4"/>
        <v/>
      </c>
      <c r="D854" s="4" t="s">
        <v>302</v>
      </c>
    </row>
    <row r="855" spans="1:4" ht="15.75" customHeight="1">
      <c r="A855" s="22">
        <v>15700258</v>
      </c>
      <c r="B855" s="4">
        <v>15964357</v>
      </c>
      <c r="C855" s="4" t="str">
        <f t="shared" si="4"/>
        <v/>
      </c>
      <c r="D855" s="4" t="s">
        <v>302</v>
      </c>
    </row>
    <row r="856" spans="1:4" ht="15.75" customHeight="1">
      <c r="A856" s="22">
        <v>9365898</v>
      </c>
      <c r="B856" s="4">
        <v>25870901</v>
      </c>
      <c r="C856" s="4" t="str">
        <f t="shared" si="4"/>
        <v/>
      </c>
      <c r="D856" s="4" t="s">
        <v>302</v>
      </c>
    </row>
    <row r="857" spans="1:4" ht="15.75" customHeight="1">
      <c r="A857" s="22">
        <v>11145693</v>
      </c>
      <c r="B857" s="4">
        <v>20331520</v>
      </c>
      <c r="C857" s="4" t="str">
        <f t="shared" si="4"/>
        <v/>
      </c>
      <c r="D857" s="4" t="s">
        <v>302</v>
      </c>
    </row>
    <row r="858" spans="1:4" ht="15.75" customHeight="1">
      <c r="A858" s="22">
        <v>20739682</v>
      </c>
      <c r="B858" s="4">
        <v>27174092</v>
      </c>
      <c r="C858" s="4" t="str">
        <f t="shared" si="4"/>
        <v/>
      </c>
      <c r="D858" s="4" t="s">
        <v>302</v>
      </c>
    </row>
    <row r="859" spans="1:4" ht="15.75" customHeight="1">
      <c r="A859" s="22">
        <v>17555446</v>
      </c>
      <c r="B859" s="4">
        <v>31467131</v>
      </c>
      <c r="C859" s="4" t="str">
        <f t="shared" si="4"/>
        <v/>
      </c>
      <c r="D859" s="4" t="s">
        <v>302</v>
      </c>
    </row>
    <row r="860" spans="1:4" ht="15.75" customHeight="1">
      <c r="A860" s="22">
        <v>15660876</v>
      </c>
      <c r="B860" s="4">
        <v>29143761</v>
      </c>
      <c r="C860" s="4" t="str">
        <f t="shared" si="4"/>
        <v/>
      </c>
      <c r="D860" s="4" t="s">
        <v>302</v>
      </c>
    </row>
    <row r="861" spans="1:4" ht="15.75" customHeight="1">
      <c r="A861" s="22">
        <v>15848678</v>
      </c>
      <c r="B861" s="4">
        <v>17038915</v>
      </c>
      <c r="C861" s="4" t="str">
        <f t="shared" si="4"/>
        <v/>
      </c>
      <c r="D861" s="4" t="s">
        <v>302</v>
      </c>
    </row>
    <row r="862" spans="1:4" ht="15.75" customHeight="1">
      <c r="A862" s="22">
        <v>21629177</v>
      </c>
      <c r="B862" s="4">
        <v>11695232</v>
      </c>
      <c r="C862" s="4" t="str">
        <f t="shared" si="4"/>
        <v/>
      </c>
      <c r="D862" s="4" t="s">
        <v>302</v>
      </c>
    </row>
    <row r="863" spans="1:4" ht="15.75" customHeight="1">
      <c r="A863" s="22">
        <v>27862208</v>
      </c>
      <c r="B863" s="4">
        <v>27862208</v>
      </c>
      <c r="C863" s="4" t="str">
        <f t="shared" si="4"/>
        <v/>
      </c>
      <c r="D863" s="4" t="s">
        <v>302</v>
      </c>
    </row>
    <row r="864" spans="1:4" ht="15.75" customHeight="1">
      <c r="A864" s="22">
        <v>11695232</v>
      </c>
      <c r="B864" s="4">
        <v>20070668</v>
      </c>
      <c r="C864" s="4" t="str">
        <f t="shared" si="4"/>
        <v/>
      </c>
      <c r="D864" s="4" t="s">
        <v>302</v>
      </c>
    </row>
    <row r="865" spans="1:4" ht="15.75" customHeight="1">
      <c r="A865" s="22">
        <v>29143761</v>
      </c>
      <c r="B865" s="4">
        <v>9625030</v>
      </c>
      <c r="C865" s="4" t="str">
        <f t="shared" si="4"/>
        <v/>
      </c>
      <c r="D865" s="4" t="s">
        <v>302</v>
      </c>
    </row>
    <row r="866" spans="1:4" ht="15.75" customHeight="1">
      <c r="A866" s="22">
        <v>27174092</v>
      </c>
      <c r="B866" s="4">
        <v>8639844</v>
      </c>
      <c r="C866" s="4" t="str">
        <f t="shared" si="4"/>
        <v/>
      </c>
      <c r="D866" s="4" t="s">
        <v>302</v>
      </c>
    </row>
    <row r="867" spans="1:4" ht="15.75" customHeight="1">
      <c r="A867" s="22">
        <v>17038915</v>
      </c>
      <c r="B867" s="4">
        <v>8396680</v>
      </c>
      <c r="C867" s="4" t="str">
        <f t="shared" si="4"/>
        <v/>
      </c>
      <c r="D867" s="4" t="s">
        <v>302</v>
      </c>
    </row>
    <row r="868" spans="1:4" ht="15.75" customHeight="1">
      <c r="A868" s="22">
        <v>18308510</v>
      </c>
      <c r="B868" s="4">
        <v>18308510</v>
      </c>
      <c r="C868" s="4" t="str">
        <f t="shared" si="4"/>
        <v/>
      </c>
      <c r="D868" s="4" t="s">
        <v>302</v>
      </c>
    </row>
    <row r="869" spans="1:4" ht="15.75" customHeight="1">
      <c r="A869" s="22">
        <v>20070668</v>
      </c>
      <c r="B869" s="4">
        <v>2176675</v>
      </c>
      <c r="C869" s="4" t="str">
        <f t="shared" si="4"/>
        <v/>
      </c>
      <c r="D869" s="4" t="s">
        <v>302</v>
      </c>
    </row>
    <row r="870" spans="1:4" ht="15.75" customHeight="1">
      <c r="A870" s="22">
        <v>8396680</v>
      </c>
      <c r="B870" s="4">
        <v>28162933</v>
      </c>
      <c r="C870" s="4" t="str">
        <f t="shared" si="4"/>
        <v/>
      </c>
      <c r="D870" s="4" t="s">
        <v>302</v>
      </c>
    </row>
    <row r="871" spans="1:4" ht="15.75" customHeight="1">
      <c r="A871" s="22">
        <v>25870901</v>
      </c>
      <c r="B871" s="4">
        <v>11498748</v>
      </c>
      <c r="C871" s="4" t="str">
        <f t="shared" si="4"/>
        <v/>
      </c>
      <c r="D871" s="4" t="s">
        <v>302</v>
      </c>
    </row>
    <row r="872" spans="1:4" ht="15.75" customHeight="1">
      <c r="A872" s="22">
        <v>20331520</v>
      </c>
      <c r="B872" s="4">
        <v>12153190</v>
      </c>
      <c r="C872" s="4" t="str">
        <f t="shared" si="4"/>
        <v/>
      </c>
      <c r="D872" s="4" t="s">
        <v>302</v>
      </c>
    </row>
    <row r="873" spans="1:4" ht="15.75" customHeight="1">
      <c r="A873" s="22">
        <v>2176675</v>
      </c>
      <c r="B873" s="4">
        <v>18818265</v>
      </c>
      <c r="C873" s="4" t="str">
        <f t="shared" si="4"/>
        <v/>
      </c>
      <c r="D873" s="4" t="s">
        <v>302</v>
      </c>
    </row>
    <row r="874" spans="1:4" ht="15.75" customHeight="1">
      <c r="A874" s="22">
        <v>28162933</v>
      </c>
      <c r="B874" s="4">
        <v>35764288</v>
      </c>
      <c r="C874" s="4" t="str">
        <f t="shared" si="4"/>
        <v/>
      </c>
      <c r="D874" s="4" t="s">
        <v>302</v>
      </c>
    </row>
    <row r="875" spans="1:4" ht="15.75" customHeight="1">
      <c r="A875" s="22">
        <v>15964357</v>
      </c>
      <c r="B875" s="4">
        <v>27664550</v>
      </c>
      <c r="C875" s="4" t="str">
        <f t="shared" si="4"/>
        <v/>
      </c>
      <c r="D875" s="4" t="s">
        <v>302</v>
      </c>
    </row>
    <row r="876" spans="1:4" ht="15.75" customHeight="1">
      <c r="A876" s="22">
        <v>9625030</v>
      </c>
      <c r="B876" s="4">
        <v>25040797</v>
      </c>
      <c r="C876" s="4" t="str">
        <f t="shared" si="4"/>
        <v/>
      </c>
      <c r="D876" s="4" t="s">
        <v>302</v>
      </c>
    </row>
    <row r="877" spans="1:4" ht="15.75" customHeight="1">
      <c r="A877" s="22">
        <v>12153190</v>
      </c>
      <c r="B877" s="4">
        <v>37121773</v>
      </c>
      <c r="C877" s="4" t="str">
        <f t="shared" si="4"/>
        <v/>
      </c>
      <c r="D877" s="4" t="s">
        <v>302</v>
      </c>
    </row>
    <row r="878" spans="1:4" ht="15.75" customHeight="1">
      <c r="A878" s="22">
        <v>27664550</v>
      </c>
      <c r="B878" s="4">
        <v>32017805</v>
      </c>
      <c r="C878" s="4" t="str">
        <f t="shared" si="4"/>
        <v/>
      </c>
      <c r="D878" s="4" t="s">
        <v>302</v>
      </c>
    </row>
    <row r="879" spans="1:4" ht="15.75" customHeight="1">
      <c r="A879" s="22">
        <v>37121773</v>
      </c>
      <c r="B879" s="4">
        <v>14984492</v>
      </c>
      <c r="C879" s="4" t="str">
        <f t="shared" si="4"/>
        <v/>
      </c>
      <c r="D879" s="4" t="s">
        <v>302</v>
      </c>
    </row>
    <row r="880" spans="1:4" ht="15.75" customHeight="1">
      <c r="A880" s="22">
        <v>25040797</v>
      </c>
      <c r="B880" s="4">
        <v>19120074</v>
      </c>
      <c r="C880" s="4" t="str">
        <f t="shared" si="4"/>
        <v/>
      </c>
      <c r="D880" s="4" t="s">
        <v>302</v>
      </c>
    </row>
    <row r="881" spans="1:4" ht="15.75" customHeight="1">
      <c r="A881" s="22">
        <v>28596425</v>
      </c>
      <c r="B881" s="4">
        <v>28596425</v>
      </c>
      <c r="C881" s="4" t="str">
        <f t="shared" si="4"/>
        <v/>
      </c>
      <c r="D881" s="4" t="s">
        <v>302</v>
      </c>
    </row>
    <row r="882" spans="1:4" ht="15.75" customHeight="1">
      <c r="A882" s="22">
        <v>8639844</v>
      </c>
      <c r="B882" s="4">
        <v>35060253</v>
      </c>
      <c r="C882" s="4" t="str">
        <f t="shared" si="4"/>
        <v/>
      </c>
      <c r="D882" s="4" t="s">
        <v>302</v>
      </c>
    </row>
    <row r="883" spans="1:4" ht="15.75" customHeight="1">
      <c r="A883" s="22">
        <v>11498748</v>
      </c>
      <c r="B883" s="4">
        <v>10972002</v>
      </c>
      <c r="C883" s="4" t="str">
        <f t="shared" si="4"/>
        <v/>
      </c>
      <c r="D883" s="4" t="s">
        <v>302</v>
      </c>
    </row>
    <row r="884" spans="1:4" ht="15.75" customHeight="1">
      <c r="A884" s="22">
        <v>35060253</v>
      </c>
      <c r="B884" s="4">
        <v>21895663</v>
      </c>
      <c r="C884" s="4" t="str">
        <f t="shared" si="4"/>
        <v/>
      </c>
      <c r="D884" s="4" t="s">
        <v>302</v>
      </c>
    </row>
    <row r="885" spans="1:4" ht="15.75" customHeight="1">
      <c r="A885" s="22">
        <v>14984492</v>
      </c>
      <c r="B885" s="4">
        <v>36372142</v>
      </c>
      <c r="C885" s="4" t="str">
        <f t="shared" si="4"/>
        <v/>
      </c>
      <c r="D885" s="4" t="s">
        <v>302</v>
      </c>
    </row>
    <row r="886" spans="1:4" ht="15.75" customHeight="1">
      <c r="A886" s="22">
        <v>31467131</v>
      </c>
      <c r="B886" s="4">
        <v>25309913</v>
      </c>
      <c r="C886" s="4" t="str">
        <f t="shared" si="4"/>
        <v/>
      </c>
      <c r="D886" s="4" t="s">
        <v>302</v>
      </c>
    </row>
    <row r="887" spans="1:4" ht="15.75" customHeight="1">
      <c r="A887" s="22">
        <v>36372142</v>
      </c>
      <c r="B887" s="4">
        <v>17053315</v>
      </c>
      <c r="C887" s="4" t="str">
        <f t="shared" si="4"/>
        <v/>
      </c>
      <c r="D887" s="4" t="s">
        <v>302</v>
      </c>
    </row>
    <row r="888" spans="1:4" ht="15.75" customHeight="1">
      <c r="A888" s="22">
        <v>21895663</v>
      </c>
      <c r="B888" s="4">
        <v>12829600</v>
      </c>
      <c r="C888" s="4" t="str">
        <f t="shared" si="4"/>
        <v/>
      </c>
      <c r="D888" s="4" t="s">
        <v>302</v>
      </c>
    </row>
    <row r="889" spans="1:4" ht="15.75" customHeight="1">
      <c r="A889" s="22">
        <v>10972002</v>
      </c>
      <c r="B889" s="4">
        <v>24132547</v>
      </c>
      <c r="C889" s="4" t="str">
        <f t="shared" si="4"/>
        <v/>
      </c>
      <c r="D889" s="4" t="s">
        <v>302</v>
      </c>
    </row>
    <row r="890" spans="1:4" ht="15.75" customHeight="1">
      <c r="A890" s="22">
        <v>25309913</v>
      </c>
      <c r="B890" s="4">
        <v>1846951</v>
      </c>
      <c r="C890" s="4" t="str">
        <f t="shared" si="4"/>
        <v/>
      </c>
      <c r="D890" s="4" t="s">
        <v>302</v>
      </c>
    </row>
    <row r="891" spans="1:4" ht="15.75" customHeight="1">
      <c r="A891" s="22">
        <v>24132547</v>
      </c>
      <c r="B891" s="4">
        <v>28954348</v>
      </c>
      <c r="C891" s="4" t="str">
        <f t="shared" si="4"/>
        <v/>
      </c>
      <c r="D891" s="4" t="s">
        <v>302</v>
      </c>
    </row>
    <row r="892" spans="1:4" ht="15.75" customHeight="1">
      <c r="A892" s="22">
        <v>12829600</v>
      </c>
      <c r="B892" s="4">
        <v>10918408</v>
      </c>
      <c r="C892" s="4" t="str">
        <f t="shared" si="4"/>
        <v/>
      </c>
      <c r="D892" s="4" t="s">
        <v>302</v>
      </c>
    </row>
    <row r="893" spans="1:4" ht="15.75" customHeight="1">
      <c r="A893" s="22">
        <v>19120074</v>
      </c>
      <c r="B893" s="4">
        <v>11332675</v>
      </c>
      <c r="C893" s="4" t="str">
        <f t="shared" si="4"/>
        <v/>
      </c>
      <c r="D893" s="4" t="s">
        <v>302</v>
      </c>
    </row>
    <row r="894" spans="1:4" ht="15.75" customHeight="1">
      <c r="A894" s="22">
        <v>32017805</v>
      </c>
      <c r="B894" s="4">
        <v>10995927</v>
      </c>
      <c r="C894" s="4" t="str">
        <f t="shared" si="4"/>
        <v/>
      </c>
      <c r="D894" s="4" t="s">
        <v>302</v>
      </c>
    </row>
    <row r="895" spans="1:4" ht="15.75" customHeight="1">
      <c r="A895" s="22">
        <v>11332675</v>
      </c>
      <c r="B895" s="4">
        <v>8212852</v>
      </c>
      <c r="C895" s="4" t="str">
        <f t="shared" si="4"/>
        <v/>
      </c>
      <c r="D895" s="4" t="s">
        <v>302</v>
      </c>
    </row>
    <row r="896" spans="1:4" ht="15.75" customHeight="1">
      <c r="A896" s="22">
        <v>28954348</v>
      </c>
      <c r="B896" s="4">
        <v>8947298</v>
      </c>
      <c r="C896" s="4" t="str">
        <f t="shared" si="4"/>
        <v/>
      </c>
      <c r="D896" s="4" t="s">
        <v>302</v>
      </c>
    </row>
    <row r="897" spans="1:4" ht="15.75" customHeight="1">
      <c r="A897" s="22">
        <v>8212852</v>
      </c>
      <c r="B897" s="4">
        <v>28207973</v>
      </c>
      <c r="C897" s="4" t="str">
        <f t="shared" si="4"/>
        <v/>
      </c>
      <c r="D897" s="4" t="s">
        <v>302</v>
      </c>
    </row>
    <row r="898" spans="1:4" ht="15.75" customHeight="1">
      <c r="A898" s="22">
        <v>10995927</v>
      </c>
      <c r="B898" s="4">
        <v>22691524</v>
      </c>
      <c r="C898" s="4" t="str">
        <f t="shared" si="4"/>
        <v/>
      </c>
      <c r="D898" s="4" t="s">
        <v>302</v>
      </c>
    </row>
    <row r="899" spans="1:4" ht="15.75" customHeight="1">
      <c r="A899" s="22">
        <v>17053315</v>
      </c>
      <c r="B899" s="4">
        <v>32028025</v>
      </c>
      <c r="C899" s="4" t="str">
        <f t="shared" si="4"/>
        <v/>
      </c>
      <c r="D899" s="4" t="s">
        <v>302</v>
      </c>
    </row>
    <row r="900" spans="1:4" ht="15.75" customHeight="1">
      <c r="A900" s="22">
        <v>22691524</v>
      </c>
      <c r="B900" s="4">
        <v>17234516</v>
      </c>
      <c r="C900" s="4" t="str">
        <f t="shared" si="4"/>
        <v/>
      </c>
      <c r="D900" s="4" t="s">
        <v>302</v>
      </c>
    </row>
    <row r="901" spans="1:4" ht="15.75" customHeight="1">
      <c r="A901" s="22">
        <v>35764288</v>
      </c>
      <c r="B901" s="4">
        <v>11303272</v>
      </c>
      <c r="C901" s="4" t="str">
        <f t="shared" si="4"/>
        <v/>
      </c>
      <c r="D901" s="4" t="s">
        <v>302</v>
      </c>
    </row>
    <row r="902" spans="1:4" ht="15.75" customHeight="1">
      <c r="A902" s="22">
        <v>8947298</v>
      </c>
      <c r="B902" s="4">
        <v>1337563</v>
      </c>
      <c r="C902" s="4" t="str">
        <f t="shared" si="4"/>
        <v/>
      </c>
      <c r="D902" s="4" t="s">
        <v>302</v>
      </c>
    </row>
    <row r="903" spans="1:4" ht="15.75" customHeight="1">
      <c r="A903" s="22">
        <v>32028025</v>
      </c>
      <c r="B903" s="4">
        <v>17110691</v>
      </c>
      <c r="C903" s="4" t="str">
        <f t="shared" si="4"/>
        <v/>
      </c>
      <c r="D903" s="4" t="s">
        <v>302</v>
      </c>
    </row>
    <row r="904" spans="1:4" ht="15.75" customHeight="1">
      <c r="A904" s="22">
        <v>11303272</v>
      </c>
      <c r="B904" s="4">
        <v>22862952</v>
      </c>
      <c r="C904" s="4" t="str">
        <f t="shared" si="4"/>
        <v/>
      </c>
      <c r="D904" s="4" t="s">
        <v>302</v>
      </c>
    </row>
    <row r="905" spans="1:4" ht="15.75" customHeight="1">
      <c r="A905" s="22">
        <v>10918408</v>
      </c>
      <c r="B905" s="4">
        <v>9630332</v>
      </c>
      <c r="C905" s="4" t="str">
        <f t="shared" si="4"/>
        <v/>
      </c>
      <c r="D905" s="4" t="s">
        <v>302</v>
      </c>
    </row>
    <row r="906" spans="1:4" ht="15.75" customHeight="1">
      <c r="A906" s="22">
        <v>9630332</v>
      </c>
      <c r="B906" s="4">
        <v>15667619</v>
      </c>
      <c r="C906" s="4" t="str">
        <f t="shared" si="4"/>
        <v/>
      </c>
      <c r="D906" s="4" t="s">
        <v>302</v>
      </c>
    </row>
    <row r="907" spans="1:4" ht="15.75" customHeight="1">
      <c r="A907" s="22">
        <v>22862952</v>
      </c>
      <c r="B907" s="4">
        <v>15151761</v>
      </c>
      <c r="C907" s="4" t="str">
        <f t="shared" si="4"/>
        <v/>
      </c>
      <c r="D907" s="4" t="s">
        <v>302</v>
      </c>
    </row>
    <row r="908" spans="1:4" ht="15.75" customHeight="1">
      <c r="A908" s="22">
        <v>28207973</v>
      </c>
      <c r="B908" s="4">
        <v>22971937</v>
      </c>
      <c r="C908" s="4" t="str">
        <f t="shared" si="4"/>
        <v/>
      </c>
      <c r="D908" s="4" t="s">
        <v>302</v>
      </c>
    </row>
    <row r="909" spans="1:4" ht="15.75" customHeight="1">
      <c r="A909" s="22">
        <v>15667619</v>
      </c>
      <c r="B909" s="4">
        <v>23354300</v>
      </c>
      <c r="C909" s="4" t="str">
        <f t="shared" si="4"/>
        <v/>
      </c>
      <c r="D909" s="4" t="s">
        <v>302</v>
      </c>
    </row>
    <row r="910" spans="1:4" ht="15.75" customHeight="1">
      <c r="A910" s="22">
        <v>15151761</v>
      </c>
      <c r="B910" s="4">
        <v>28051106</v>
      </c>
      <c r="C910" s="4" t="str">
        <f t="shared" si="4"/>
        <v/>
      </c>
      <c r="D910" s="4" t="s">
        <v>302</v>
      </c>
    </row>
    <row r="911" spans="1:4" ht="15.75" customHeight="1">
      <c r="A911" s="22">
        <v>23354300</v>
      </c>
      <c r="B911" s="4">
        <v>34790199</v>
      </c>
      <c r="C911" s="4" t="str">
        <f t="shared" si="4"/>
        <v/>
      </c>
      <c r="D911" s="4" t="s">
        <v>302</v>
      </c>
    </row>
    <row r="912" spans="1:4" ht="15.75" customHeight="1">
      <c r="A912" s="22">
        <v>37532126</v>
      </c>
      <c r="B912" s="4">
        <v>8091661</v>
      </c>
      <c r="C912" s="4" t="str">
        <f t="shared" si="4"/>
        <v/>
      </c>
      <c r="D912" s="4" t="s">
        <v>302</v>
      </c>
    </row>
    <row r="913" spans="1:4" ht="15.75" customHeight="1">
      <c r="A913" s="22">
        <v>17234516</v>
      </c>
      <c r="B913" s="4">
        <v>19790143</v>
      </c>
      <c r="C913" s="4" t="str">
        <f t="shared" si="4"/>
        <v/>
      </c>
      <c r="D913" s="4" t="s">
        <v>302</v>
      </c>
    </row>
    <row r="914" spans="1:4" ht="15.75" customHeight="1">
      <c r="A914" s="22">
        <v>1337563</v>
      </c>
      <c r="B914" s="4">
        <v>19907110</v>
      </c>
      <c r="C914" s="4" t="str">
        <f t="shared" si="4"/>
        <v/>
      </c>
      <c r="D914" s="4" t="s">
        <v>302</v>
      </c>
    </row>
    <row r="915" spans="1:4" ht="15.75" customHeight="1">
      <c r="A915" s="22">
        <v>17110691</v>
      </c>
      <c r="B915" s="4">
        <v>17867305</v>
      </c>
      <c r="C915" s="4" t="str">
        <f t="shared" si="4"/>
        <v/>
      </c>
      <c r="D915" s="4" t="s">
        <v>302</v>
      </c>
    </row>
    <row r="916" spans="1:4" ht="15.75" customHeight="1">
      <c r="A916" s="22">
        <v>34790199</v>
      </c>
      <c r="B916" s="4">
        <v>8770508</v>
      </c>
      <c r="C916" s="4" t="str">
        <f t="shared" si="4"/>
        <v/>
      </c>
      <c r="D916" s="4" t="s">
        <v>302</v>
      </c>
    </row>
    <row r="917" spans="1:4" ht="15.75" customHeight="1">
      <c r="A917" s="22">
        <v>22971937</v>
      </c>
      <c r="B917" s="4">
        <v>30875143</v>
      </c>
      <c r="C917" s="4" t="str">
        <f t="shared" si="4"/>
        <v/>
      </c>
      <c r="D917" s="4" t="s">
        <v>302</v>
      </c>
    </row>
    <row r="918" spans="1:4" ht="15.75" customHeight="1">
      <c r="A918" s="22">
        <v>19907110</v>
      </c>
      <c r="B918" s="4">
        <v>33587431</v>
      </c>
      <c r="C918" s="4" t="str">
        <f t="shared" si="4"/>
        <v/>
      </c>
      <c r="D918" s="4" t="s">
        <v>302</v>
      </c>
    </row>
    <row r="919" spans="1:4" ht="15.75" customHeight="1">
      <c r="A919" s="22">
        <v>8770508</v>
      </c>
      <c r="B919" s="4">
        <v>16363745</v>
      </c>
      <c r="C919" s="4" t="str">
        <f t="shared" si="4"/>
        <v/>
      </c>
      <c r="D919" s="4" t="s">
        <v>302</v>
      </c>
    </row>
    <row r="920" spans="1:4" ht="15.75" customHeight="1">
      <c r="A920" s="22">
        <v>8091661</v>
      </c>
      <c r="B920" s="4">
        <v>10401640</v>
      </c>
      <c r="C920" s="4" t="str">
        <f t="shared" si="4"/>
        <v/>
      </c>
      <c r="D920" s="4" t="s">
        <v>302</v>
      </c>
    </row>
    <row r="921" spans="1:4" ht="15.75" customHeight="1">
      <c r="A921" s="22">
        <v>19790143</v>
      </c>
      <c r="B921" s="4">
        <v>12581322</v>
      </c>
      <c r="C921" s="4" t="str">
        <f t="shared" si="4"/>
        <v/>
      </c>
      <c r="D921" s="4" t="s">
        <v>302</v>
      </c>
    </row>
    <row r="922" spans="1:4" ht="15.75" customHeight="1">
      <c r="A922" s="22">
        <v>33587431</v>
      </c>
      <c r="B922" s="4">
        <v>30026111</v>
      </c>
      <c r="C922" s="4" t="str">
        <f t="shared" si="4"/>
        <v/>
      </c>
      <c r="D922" s="4" t="s">
        <v>302</v>
      </c>
    </row>
    <row r="923" spans="1:4" ht="15.75" customHeight="1">
      <c r="A923" s="22">
        <v>17867305</v>
      </c>
      <c r="B923" s="4">
        <v>16611785</v>
      </c>
      <c r="C923" s="4" t="str">
        <f t="shared" si="4"/>
        <v/>
      </c>
      <c r="D923" s="4" t="s">
        <v>302</v>
      </c>
    </row>
    <row r="924" spans="1:4" ht="15.75" customHeight="1">
      <c r="A924" s="22">
        <v>16363745</v>
      </c>
      <c r="B924" s="4">
        <v>24384048</v>
      </c>
      <c r="C924" s="4" t="str">
        <f t="shared" si="4"/>
        <v/>
      </c>
      <c r="D924" s="4" t="s">
        <v>302</v>
      </c>
    </row>
    <row r="925" spans="1:4" ht="15.75" customHeight="1">
      <c r="A925" s="22">
        <v>10401640</v>
      </c>
      <c r="B925" s="4">
        <v>12515195</v>
      </c>
      <c r="C925" s="4" t="str">
        <f t="shared" si="4"/>
        <v/>
      </c>
      <c r="D925" s="4" t="s">
        <v>302</v>
      </c>
    </row>
    <row r="926" spans="1:4" ht="15.75" customHeight="1">
      <c r="A926" s="22">
        <v>30026111</v>
      </c>
      <c r="B926" s="4">
        <v>11112030</v>
      </c>
      <c r="C926" s="4" t="str">
        <f t="shared" si="4"/>
        <v/>
      </c>
      <c r="D926" s="4" t="s">
        <v>302</v>
      </c>
    </row>
    <row r="927" spans="1:4" ht="15.75" customHeight="1">
      <c r="A927" s="22">
        <v>24384048</v>
      </c>
      <c r="B927" s="4">
        <v>19297473</v>
      </c>
      <c r="C927" s="4" t="str">
        <f t="shared" si="4"/>
        <v/>
      </c>
      <c r="D927" s="4" t="s">
        <v>302</v>
      </c>
    </row>
    <row r="928" spans="1:4" ht="15.75" customHeight="1">
      <c r="A928" s="22">
        <v>16611785</v>
      </c>
      <c r="B928" s="4">
        <v>21282374</v>
      </c>
      <c r="C928" s="4" t="str">
        <f t="shared" si="4"/>
        <v/>
      </c>
      <c r="D928" s="4" t="s">
        <v>302</v>
      </c>
    </row>
    <row r="929" spans="1:4" ht="15.75" customHeight="1">
      <c r="A929" s="22">
        <v>30875143</v>
      </c>
      <c r="B929" s="4">
        <v>12149755</v>
      </c>
      <c r="C929" s="4" t="str">
        <f t="shared" si="4"/>
        <v/>
      </c>
      <c r="D929" s="4" t="s">
        <v>302</v>
      </c>
    </row>
    <row r="930" spans="1:4" ht="15.75" customHeight="1">
      <c r="A930" s="22">
        <v>12515195</v>
      </c>
      <c r="B930" s="4">
        <v>24011959</v>
      </c>
      <c r="C930" s="4" t="str">
        <f t="shared" si="4"/>
        <v/>
      </c>
      <c r="D930" s="4" t="s">
        <v>302</v>
      </c>
    </row>
    <row r="931" spans="1:4" ht="15.75" customHeight="1">
      <c r="A931" s="22">
        <v>28051106</v>
      </c>
      <c r="B931" s="4">
        <v>14987992</v>
      </c>
      <c r="C931" s="4" t="str">
        <f t="shared" si="4"/>
        <v/>
      </c>
      <c r="D931" s="4" t="s">
        <v>302</v>
      </c>
    </row>
    <row r="932" spans="1:4" ht="15.75" customHeight="1">
      <c r="A932" s="22">
        <v>24011959</v>
      </c>
      <c r="B932" s="4">
        <v>12628547</v>
      </c>
      <c r="C932" s="4" t="str">
        <f t="shared" si="4"/>
        <v/>
      </c>
      <c r="D932" s="4" t="s">
        <v>302</v>
      </c>
    </row>
    <row r="933" spans="1:4" ht="15.75" customHeight="1">
      <c r="A933" s="22">
        <v>12581322</v>
      </c>
      <c r="B933" s="4">
        <v>2177773</v>
      </c>
      <c r="C933" s="4" t="str">
        <f t="shared" si="4"/>
        <v/>
      </c>
      <c r="D933" s="4" t="s">
        <v>302</v>
      </c>
    </row>
    <row r="934" spans="1:4" ht="15.75" customHeight="1">
      <c r="A934" s="22">
        <v>12628547</v>
      </c>
      <c r="B934" s="4">
        <v>7712236</v>
      </c>
      <c r="C934" s="4" t="str">
        <f t="shared" si="4"/>
        <v/>
      </c>
      <c r="D934" s="4" t="s">
        <v>302</v>
      </c>
    </row>
    <row r="935" spans="1:4" ht="15.75" customHeight="1">
      <c r="A935" s="22">
        <v>19297473</v>
      </c>
      <c r="B935" s="4">
        <v>10738970</v>
      </c>
      <c r="C935" s="4" t="str">
        <f t="shared" si="4"/>
        <v/>
      </c>
      <c r="D935" s="4" t="s">
        <v>302</v>
      </c>
    </row>
    <row r="936" spans="1:4" ht="15.75" customHeight="1">
      <c r="A936" s="22">
        <v>7712236</v>
      </c>
      <c r="B936" s="4">
        <v>9223462</v>
      </c>
      <c r="C936" s="4" t="str">
        <f t="shared" si="4"/>
        <v/>
      </c>
      <c r="D936" s="4" t="s">
        <v>302</v>
      </c>
    </row>
    <row r="937" spans="1:4" ht="15.75" customHeight="1">
      <c r="A937" s="22">
        <v>9223462</v>
      </c>
      <c r="B937" s="4">
        <v>9798697</v>
      </c>
      <c r="C937" s="4" t="str">
        <f t="shared" si="4"/>
        <v/>
      </c>
      <c r="D937" s="4" t="s">
        <v>302</v>
      </c>
    </row>
    <row r="938" spans="1:4" ht="15.75" customHeight="1">
      <c r="A938" s="22">
        <v>12149755</v>
      </c>
      <c r="B938" s="4">
        <v>37661776</v>
      </c>
      <c r="C938" s="4" t="str">
        <f t="shared" si="4"/>
        <v/>
      </c>
      <c r="D938" s="4" t="s">
        <v>302</v>
      </c>
    </row>
    <row r="939" spans="1:4" ht="15.75" customHeight="1">
      <c r="A939" s="22">
        <v>14987992</v>
      </c>
      <c r="B939" s="4">
        <v>12557285</v>
      </c>
      <c r="C939" s="4" t="str">
        <f t="shared" si="4"/>
        <v/>
      </c>
      <c r="D939" s="4" t="s">
        <v>302</v>
      </c>
    </row>
    <row r="940" spans="1:4" ht="15.75" customHeight="1">
      <c r="A940" s="22">
        <v>21282374</v>
      </c>
      <c r="B940" s="4">
        <v>18536223</v>
      </c>
      <c r="C940" s="4" t="str">
        <f t="shared" si="4"/>
        <v/>
      </c>
      <c r="D940" s="4" t="s">
        <v>302</v>
      </c>
    </row>
    <row r="941" spans="1:4" ht="15.75" customHeight="1">
      <c r="A941" s="22">
        <v>11112030</v>
      </c>
      <c r="B941" s="4">
        <v>16444956</v>
      </c>
      <c r="C941" s="4" t="str">
        <f t="shared" si="4"/>
        <v/>
      </c>
      <c r="D941" s="4" t="s">
        <v>302</v>
      </c>
    </row>
    <row r="942" spans="1:4" ht="15.75" customHeight="1">
      <c r="A942" s="22">
        <v>9798697</v>
      </c>
      <c r="B942" s="4">
        <v>15608657</v>
      </c>
      <c r="C942" s="4" t="str">
        <f t="shared" si="4"/>
        <v/>
      </c>
      <c r="D942" s="4" t="s">
        <v>302</v>
      </c>
    </row>
    <row r="943" spans="1:4" ht="15.75" customHeight="1">
      <c r="A943" s="22">
        <v>12557285</v>
      </c>
      <c r="B943" s="4">
        <v>10516706</v>
      </c>
      <c r="C943" s="4" t="str">
        <f t="shared" si="4"/>
        <v/>
      </c>
      <c r="D943" s="4" t="s">
        <v>302</v>
      </c>
    </row>
    <row r="944" spans="1:4" ht="15.75" customHeight="1">
      <c r="A944" s="22">
        <v>18536223</v>
      </c>
      <c r="B944" s="4">
        <v>23000642</v>
      </c>
      <c r="C944" s="4" t="str">
        <f t="shared" si="4"/>
        <v/>
      </c>
      <c r="D944" s="4" t="s">
        <v>302</v>
      </c>
    </row>
    <row r="945" spans="1:4" ht="15.75" customHeight="1">
      <c r="A945" s="22">
        <v>2177773</v>
      </c>
      <c r="B945" s="4">
        <v>11938792</v>
      </c>
      <c r="C945" s="4" t="str">
        <f t="shared" si="4"/>
        <v/>
      </c>
      <c r="D945" s="4" t="s">
        <v>302</v>
      </c>
    </row>
    <row r="946" spans="1:4" ht="15.75" customHeight="1">
      <c r="A946" s="22">
        <v>16444956</v>
      </c>
      <c r="B946" s="4">
        <v>8737717</v>
      </c>
      <c r="C946" s="4" t="str">
        <f t="shared" si="4"/>
        <v/>
      </c>
      <c r="D946" s="4" t="s">
        <v>302</v>
      </c>
    </row>
    <row r="947" spans="1:4" ht="15.75" customHeight="1">
      <c r="A947" s="22">
        <v>23000642</v>
      </c>
      <c r="B947" s="4">
        <v>17448218</v>
      </c>
      <c r="C947" s="4" t="str">
        <f t="shared" si="4"/>
        <v/>
      </c>
      <c r="D947" s="4" t="s">
        <v>302</v>
      </c>
    </row>
    <row r="948" spans="1:4" ht="15.75" customHeight="1">
      <c r="A948" s="22">
        <v>15608657</v>
      </c>
      <c r="B948" s="4">
        <v>23347211</v>
      </c>
      <c r="C948" s="4" t="str">
        <f t="shared" si="4"/>
        <v/>
      </c>
      <c r="D948" s="4" t="s">
        <v>302</v>
      </c>
    </row>
    <row r="949" spans="1:4" ht="15.75" customHeight="1">
      <c r="A949" s="22">
        <v>37661776</v>
      </c>
      <c r="B949" s="4">
        <v>1677066</v>
      </c>
      <c r="C949" s="4" t="str">
        <f t="shared" si="4"/>
        <v/>
      </c>
      <c r="D949" s="4" t="s">
        <v>302</v>
      </c>
    </row>
    <row r="950" spans="1:4" ht="15.75" customHeight="1">
      <c r="A950" s="22">
        <v>11938792</v>
      </c>
      <c r="B950" s="4">
        <v>21620083</v>
      </c>
      <c r="C950" s="4" t="str">
        <f t="shared" si="4"/>
        <v/>
      </c>
      <c r="D950" s="4" t="s">
        <v>302</v>
      </c>
    </row>
    <row r="951" spans="1:4" ht="15.75" customHeight="1">
      <c r="A951" s="22">
        <v>17448218</v>
      </c>
      <c r="B951" s="4">
        <v>18181741</v>
      </c>
      <c r="C951" s="4" t="str">
        <f t="shared" si="4"/>
        <v/>
      </c>
      <c r="D951" s="4" t="s">
        <v>302</v>
      </c>
    </row>
    <row r="952" spans="1:4" ht="15.75" customHeight="1">
      <c r="A952" s="22">
        <v>8737717</v>
      </c>
      <c r="B952" s="4">
        <v>22641196</v>
      </c>
      <c r="C952" s="4" t="str">
        <f t="shared" si="4"/>
        <v/>
      </c>
      <c r="D952" s="4" t="s">
        <v>302</v>
      </c>
    </row>
    <row r="953" spans="1:4" ht="15.75" customHeight="1">
      <c r="A953" s="22">
        <v>10738970</v>
      </c>
      <c r="B953" s="4">
        <v>30374827</v>
      </c>
      <c r="C953" s="4" t="str">
        <f t="shared" si="4"/>
        <v/>
      </c>
      <c r="D953" s="4" t="s">
        <v>302</v>
      </c>
    </row>
    <row r="954" spans="1:4" ht="15.75" customHeight="1">
      <c r="A954" s="22">
        <v>23347211</v>
      </c>
      <c r="B954" s="4">
        <v>8083655</v>
      </c>
      <c r="C954" s="4" t="str">
        <f t="shared" si="4"/>
        <v/>
      </c>
      <c r="D954" s="4" t="s">
        <v>302</v>
      </c>
    </row>
    <row r="955" spans="1:4" ht="15.75" customHeight="1">
      <c r="A955" s="22">
        <v>21620083</v>
      </c>
      <c r="B955" s="4">
        <v>8106867</v>
      </c>
      <c r="C955" s="4" t="str">
        <f t="shared" si="4"/>
        <v/>
      </c>
      <c r="D955" s="4" t="s">
        <v>302</v>
      </c>
    </row>
    <row r="956" spans="1:4" ht="15.75" customHeight="1">
      <c r="A956" s="22">
        <v>16732999</v>
      </c>
      <c r="B956" s="4">
        <v>11380440</v>
      </c>
      <c r="C956" s="4" t="str">
        <f t="shared" si="4"/>
        <v/>
      </c>
      <c r="D956" s="4" t="s">
        <v>302</v>
      </c>
    </row>
    <row r="957" spans="1:4" ht="15.75" customHeight="1">
      <c r="A957" s="22">
        <v>22641196</v>
      </c>
      <c r="B957" s="4">
        <v>1658424</v>
      </c>
      <c r="C957" s="4" t="str">
        <f t="shared" si="4"/>
        <v/>
      </c>
      <c r="D957" s="4" t="s">
        <v>302</v>
      </c>
    </row>
    <row r="958" spans="1:4" ht="15.75" customHeight="1">
      <c r="A958" s="22">
        <v>1677066</v>
      </c>
      <c r="B958" s="4">
        <v>22421649</v>
      </c>
      <c r="C958" s="4" t="str">
        <f t="shared" si="4"/>
        <v/>
      </c>
      <c r="D958" s="4" t="s">
        <v>302</v>
      </c>
    </row>
    <row r="959" spans="1:4" ht="15.75" customHeight="1">
      <c r="A959" s="22">
        <v>30374827</v>
      </c>
      <c r="B959" s="4">
        <v>24852190</v>
      </c>
      <c r="C959" s="4" t="str">
        <f t="shared" si="4"/>
        <v/>
      </c>
      <c r="D959" s="4" t="s">
        <v>302</v>
      </c>
    </row>
    <row r="960" spans="1:4" ht="15.75" customHeight="1">
      <c r="A960" s="22">
        <v>8083655</v>
      </c>
      <c r="B960" s="4">
        <v>16628583</v>
      </c>
      <c r="C960" s="4" t="str">
        <f t="shared" si="4"/>
        <v/>
      </c>
      <c r="D960" s="4" t="s">
        <v>302</v>
      </c>
    </row>
    <row r="961" spans="1:4" ht="15.75" customHeight="1">
      <c r="A961" s="22">
        <v>32188617</v>
      </c>
      <c r="B961" s="4">
        <v>29181879</v>
      </c>
      <c r="C961" s="4" t="str">
        <f t="shared" si="4"/>
        <v/>
      </c>
      <c r="D961" s="4" t="s">
        <v>302</v>
      </c>
    </row>
    <row r="962" spans="1:4" ht="15.75" customHeight="1">
      <c r="A962" s="22">
        <v>11380440</v>
      </c>
      <c r="B962" s="4">
        <v>15920733</v>
      </c>
      <c r="C962" s="4" t="str">
        <f t="shared" si="4"/>
        <v/>
      </c>
      <c r="D962" s="4" t="s">
        <v>302</v>
      </c>
    </row>
    <row r="963" spans="1:4" ht="15.75" customHeight="1">
      <c r="A963" s="22">
        <v>1658424</v>
      </c>
      <c r="B963" s="4">
        <v>28008656</v>
      </c>
      <c r="C963" s="4" t="str">
        <f t="shared" si="4"/>
        <v/>
      </c>
      <c r="D963" s="4" t="s">
        <v>302</v>
      </c>
    </row>
    <row r="964" spans="1:4" ht="15.75" customHeight="1">
      <c r="A964" s="22">
        <v>22421649</v>
      </c>
      <c r="B964" s="4">
        <v>25072620</v>
      </c>
      <c r="C964" s="4" t="str">
        <f t="shared" si="4"/>
        <v/>
      </c>
      <c r="D964" s="4" t="s">
        <v>302</v>
      </c>
    </row>
    <row r="965" spans="1:4" ht="15.75" customHeight="1">
      <c r="A965" s="22">
        <v>10516706</v>
      </c>
      <c r="B965" s="4">
        <v>8627701</v>
      </c>
      <c r="C965" s="4" t="str">
        <f t="shared" si="4"/>
        <v/>
      </c>
      <c r="D965" s="4" t="s">
        <v>302</v>
      </c>
    </row>
    <row r="966" spans="1:4" ht="15.75" customHeight="1">
      <c r="A966" s="22">
        <v>24852190</v>
      </c>
      <c r="B966" s="4">
        <v>8673847</v>
      </c>
      <c r="C966" s="4" t="str">
        <f t="shared" si="4"/>
        <v/>
      </c>
      <c r="D966" s="4" t="s">
        <v>302</v>
      </c>
    </row>
    <row r="967" spans="1:4" ht="15.75" customHeight="1">
      <c r="A967" s="22">
        <v>29181879</v>
      </c>
      <c r="B967" s="4">
        <v>16123732</v>
      </c>
      <c r="C967" s="4" t="str">
        <f t="shared" si="4"/>
        <v/>
      </c>
      <c r="D967" s="4" t="s">
        <v>302</v>
      </c>
    </row>
    <row r="968" spans="1:4" ht="15.75" customHeight="1">
      <c r="A968" s="22">
        <v>18181741</v>
      </c>
      <c r="B968" s="4">
        <v>36286647</v>
      </c>
      <c r="C968" s="4" t="str">
        <f t="shared" si="4"/>
        <v/>
      </c>
      <c r="D968" s="4" t="s">
        <v>302</v>
      </c>
    </row>
    <row r="969" spans="1:4" ht="15.75" customHeight="1">
      <c r="A969" s="22">
        <v>25072620</v>
      </c>
      <c r="B969" s="4">
        <v>24367281</v>
      </c>
      <c r="C969" s="4" t="str">
        <f t="shared" si="4"/>
        <v/>
      </c>
      <c r="D969" s="4" t="s">
        <v>302</v>
      </c>
    </row>
    <row r="970" spans="1:4" ht="15.75" customHeight="1">
      <c r="A970" s="22">
        <v>28008656</v>
      </c>
      <c r="B970" s="4">
        <v>16687586</v>
      </c>
      <c r="C970" s="4" t="str">
        <f t="shared" si="4"/>
        <v/>
      </c>
      <c r="D970" s="4" t="s">
        <v>302</v>
      </c>
    </row>
    <row r="971" spans="1:4" ht="15.75" customHeight="1">
      <c r="A971" s="22">
        <v>15920733</v>
      </c>
      <c r="B971" s="4">
        <v>12361757</v>
      </c>
      <c r="C971" s="4" t="str">
        <f t="shared" si="4"/>
        <v/>
      </c>
      <c r="D971" s="4" t="s">
        <v>302</v>
      </c>
    </row>
    <row r="972" spans="1:4" ht="15.75" customHeight="1">
      <c r="A972" s="22">
        <v>8627701</v>
      </c>
      <c r="B972" s="4">
        <v>10477848</v>
      </c>
      <c r="C972" s="4" t="str">
        <f t="shared" si="4"/>
        <v/>
      </c>
      <c r="D972" s="4" t="s">
        <v>302</v>
      </c>
    </row>
    <row r="973" spans="1:4" ht="15.75" customHeight="1">
      <c r="A973" s="22">
        <v>16123732</v>
      </c>
      <c r="B973" s="4">
        <v>15494267</v>
      </c>
      <c r="C973" s="4" t="str">
        <f t="shared" si="4"/>
        <v/>
      </c>
      <c r="D973" s="4" t="s">
        <v>302</v>
      </c>
    </row>
    <row r="974" spans="1:4" ht="15.75" customHeight="1">
      <c r="A974" s="22">
        <v>8106867</v>
      </c>
      <c r="B974" s="4">
        <v>27646062</v>
      </c>
      <c r="C974" s="4" t="str">
        <f t="shared" si="4"/>
        <v/>
      </c>
      <c r="D974" s="4" t="s">
        <v>302</v>
      </c>
    </row>
    <row r="975" spans="1:4" ht="15.75" customHeight="1">
      <c r="A975" s="22">
        <v>16628583</v>
      </c>
      <c r="B975" s="4">
        <v>37071595</v>
      </c>
      <c r="C975" s="4" t="str">
        <f t="shared" si="4"/>
        <v/>
      </c>
      <c r="D975" s="4" t="s">
        <v>302</v>
      </c>
    </row>
    <row r="976" spans="1:4" ht="15.75" customHeight="1">
      <c r="A976" s="22">
        <v>24367281</v>
      </c>
      <c r="B976" s="4">
        <v>10773849</v>
      </c>
      <c r="C976" s="4" t="str">
        <f t="shared" si="4"/>
        <v/>
      </c>
      <c r="D976" s="4" t="s">
        <v>302</v>
      </c>
    </row>
    <row r="977" spans="1:4" ht="15.75" customHeight="1">
      <c r="A977" s="22">
        <v>8673847</v>
      </c>
      <c r="B977" s="4">
        <v>27459097</v>
      </c>
      <c r="C977" s="4" t="str">
        <f t="shared" si="4"/>
        <v/>
      </c>
      <c r="D977" s="4" t="s">
        <v>302</v>
      </c>
    </row>
    <row r="978" spans="1:4" ht="15.75" customHeight="1">
      <c r="A978" s="22">
        <v>16687586</v>
      </c>
      <c r="B978" s="4">
        <v>9120486</v>
      </c>
      <c r="C978" s="4" t="str">
        <f t="shared" si="4"/>
        <v/>
      </c>
      <c r="D978" s="4" t="s">
        <v>302</v>
      </c>
    </row>
    <row r="979" spans="1:4" ht="15.75" customHeight="1">
      <c r="A979" s="22">
        <v>12361757</v>
      </c>
      <c r="B979" s="4">
        <v>9586694</v>
      </c>
      <c r="C979" s="4" t="str">
        <f t="shared" si="4"/>
        <v/>
      </c>
      <c r="D979" s="4" t="s">
        <v>302</v>
      </c>
    </row>
    <row r="980" spans="1:4" ht="15.75" customHeight="1">
      <c r="A980" s="22">
        <v>36286647</v>
      </c>
      <c r="B980" s="4">
        <v>12833890</v>
      </c>
      <c r="C980" s="4" t="str">
        <f t="shared" si="4"/>
        <v/>
      </c>
      <c r="D980" s="4" t="s">
        <v>302</v>
      </c>
    </row>
    <row r="981" spans="1:4" ht="15.75" customHeight="1">
      <c r="A981" s="22">
        <v>10477848</v>
      </c>
      <c r="B981" s="4">
        <v>9443944</v>
      </c>
      <c r="C981" s="4" t="str">
        <f t="shared" si="4"/>
        <v/>
      </c>
      <c r="D981" s="4" t="s">
        <v>302</v>
      </c>
    </row>
    <row r="982" spans="1:4" ht="15.75" customHeight="1">
      <c r="A982" s="22">
        <v>7699322</v>
      </c>
      <c r="B982" s="4">
        <v>11512088</v>
      </c>
      <c r="C982" s="4" t="str">
        <f t="shared" si="4"/>
        <v/>
      </c>
      <c r="D982" s="4" t="s">
        <v>302</v>
      </c>
    </row>
    <row r="983" spans="1:4" ht="15.75" customHeight="1">
      <c r="A983" s="22">
        <v>15494267</v>
      </c>
      <c r="B983" s="4">
        <v>24400550</v>
      </c>
      <c r="C983" s="4" t="str">
        <f t="shared" si="4"/>
        <v/>
      </c>
      <c r="D983" s="4" t="s">
        <v>302</v>
      </c>
    </row>
    <row r="984" spans="1:4" ht="15.75" customHeight="1">
      <c r="A984" s="22">
        <v>27646062</v>
      </c>
      <c r="B984" s="4">
        <v>11874884</v>
      </c>
      <c r="C984" s="4" t="str">
        <f t="shared" si="4"/>
        <v/>
      </c>
      <c r="D984" s="4" t="s">
        <v>302</v>
      </c>
    </row>
    <row r="985" spans="1:4" ht="15.75" customHeight="1">
      <c r="A985" s="22">
        <v>37071595</v>
      </c>
      <c r="B985" s="4">
        <v>34721381</v>
      </c>
      <c r="C985" s="4" t="str">
        <f t="shared" si="4"/>
        <v/>
      </c>
      <c r="D985" s="4" t="s">
        <v>302</v>
      </c>
    </row>
    <row r="986" spans="1:4" ht="15.75" customHeight="1">
      <c r="A986" s="22">
        <v>27459097</v>
      </c>
      <c r="B986" s="4">
        <v>9529560</v>
      </c>
      <c r="C986" s="4" t="str">
        <f t="shared" si="4"/>
        <v/>
      </c>
      <c r="D986" s="4" t="s">
        <v>302</v>
      </c>
    </row>
    <row r="987" spans="1:4" ht="15.75" customHeight="1">
      <c r="A987" s="22">
        <v>9586694</v>
      </c>
      <c r="B987" s="4">
        <v>8380842</v>
      </c>
      <c r="C987" s="4" t="str">
        <f t="shared" si="4"/>
        <v/>
      </c>
      <c r="D987" s="4" t="s">
        <v>302</v>
      </c>
    </row>
    <row r="988" spans="1:4" ht="15.75" customHeight="1">
      <c r="A988" s="22">
        <v>9443944</v>
      </c>
      <c r="B988" s="4">
        <v>31722836</v>
      </c>
      <c r="C988" s="4" t="str">
        <f t="shared" si="4"/>
        <v/>
      </c>
      <c r="D988" s="4" t="s">
        <v>302</v>
      </c>
    </row>
    <row r="989" spans="1:4" ht="15.75" customHeight="1">
      <c r="A989" s="22">
        <v>24400550</v>
      </c>
      <c r="B989" s="4">
        <v>10590066</v>
      </c>
      <c r="C989" s="4" t="str">
        <f t="shared" si="4"/>
        <v/>
      </c>
      <c r="D989" s="4" t="s">
        <v>302</v>
      </c>
    </row>
    <row r="990" spans="1:4" ht="15.75" customHeight="1">
      <c r="A990" s="22">
        <v>12833890</v>
      </c>
      <c r="B990" s="4">
        <v>9244628</v>
      </c>
      <c r="C990" s="4" t="str">
        <f t="shared" si="4"/>
        <v/>
      </c>
      <c r="D990" s="4" t="s">
        <v>302</v>
      </c>
    </row>
    <row r="991" spans="1:4" ht="15.75" customHeight="1">
      <c r="A991" s="22">
        <v>11874884</v>
      </c>
      <c r="B991" s="4">
        <v>1851860</v>
      </c>
      <c r="C991" s="4" t="str">
        <f t="shared" si="4"/>
        <v/>
      </c>
      <c r="D991" s="4" t="s">
        <v>302</v>
      </c>
    </row>
    <row r="992" spans="1:4" ht="15.75" customHeight="1">
      <c r="A992" s="22">
        <v>10773849</v>
      </c>
      <c r="B992" s="4">
        <v>16504686</v>
      </c>
      <c r="C992" s="4" t="str">
        <f t="shared" si="4"/>
        <v/>
      </c>
      <c r="D992" s="4" t="s">
        <v>302</v>
      </c>
    </row>
    <row r="993" spans="1:4" ht="15.75" customHeight="1">
      <c r="A993" s="22">
        <v>9120486</v>
      </c>
      <c r="B993" s="4">
        <v>22750998</v>
      </c>
      <c r="C993" s="4" t="str">
        <f t="shared" si="4"/>
        <v/>
      </c>
      <c r="D993" s="4" t="s">
        <v>302</v>
      </c>
    </row>
    <row r="994" spans="1:4" ht="15.75" customHeight="1">
      <c r="A994" s="22">
        <v>8380842</v>
      </c>
      <c r="B994" s="4">
        <v>17936368</v>
      </c>
      <c r="C994" s="4" t="str">
        <f t="shared" si="4"/>
        <v/>
      </c>
      <c r="D994" s="4" t="s">
        <v>302</v>
      </c>
    </row>
    <row r="995" spans="1:4" ht="15.75" customHeight="1">
      <c r="A995" s="22">
        <v>31722836</v>
      </c>
      <c r="B995" s="4">
        <v>10423975</v>
      </c>
      <c r="C995" s="4" t="str">
        <f t="shared" si="4"/>
        <v/>
      </c>
      <c r="D995" s="4" t="s">
        <v>302</v>
      </c>
    </row>
    <row r="996" spans="1:4" ht="15.75" customHeight="1">
      <c r="A996" s="22">
        <v>10590066</v>
      </c>
      <c r="B996" s="4">
        <v>11965036</v>
      </c>
      <c r="C996" s="4" t="str">
        <f t="shared" si="4"/>
        <v/>
      </c>
      <c r="D996" s="4" t="s">
        <v>302</v>
      </c>
    </row>
    <row r="997" spans="1:4" ht="15.75" customHeight="1">
      <c r="A997" s="22">
        <v>9244628</v>
      </c>
      <c r="B997" s="4">
        <v>36243759</v>
      </c>
      <c r="C997" s="4" t="str">
        <f t="shared" si="4"/>
        <v/>
      </c>
      <c r="D997" s="4" t="s">
        <v>302</v>
      </c>
    </row>
    <row r="998" spans="1:4" ht="15.75" customHeight="1">
      <c r="A998" s="22">
        <v>34721381</v>
      </c>
      <c r="B998" s="4">
        <v>20881490</v>
      </c>
      <c r="C998" s="4" t="str">
        <f t="shared" si="4"/>
        <v/>
      </c>
      <c r="D998" s="4" t="s">
        <v>302</v>
      </c>
    </row>
    <row r="999" spans="1:4" ht="15.75" customHeight="1">
      <c r="A999" s="22">
        <v>16504686</v>
      </c>
      <c r="B999" s="4">
        <v>12120696</v>
      </c>
      <c r="C999" s="4" t="str">
        <f t="shared" si="4"/>
        <v/>
      </c>
      <c r="D999" s="4" t="s">
        <v>302</v>
      </c>
    </row>
    <row r="1000" spans="1:4" ht="15.75" customHeight="1">
      <c r="A1000" s="22">
        <v>9529560</v>
      </c>
      <c r="B1000" s="4">
        <v>22301197</v>
      </c>
      <c r="C1000" s="4" t="str">
        <f t="shared" si="4"/>
        <v/>
      </c>
      <c r="D1000" s="4" t="s">
        <v>302</v>
      </c>
    </row>
    <row r="1001" spans="1:4" ht="15.75" customHeight="1">
      <c r="A1001" s="22">
        <v>17936368</v>
      </c>
      <c r="B1001" s="4">
        <v>15365027</v>
      </c>
      <c r="C1001" s="4" t="str">
        <f t="shared" si="4"/>
        <v/>
      </c>
      <c r="D1001" s="4" t="s">
        <v>302</v>
      </c>
    </row>
    <row r="1002" spans="1:4" ht="15.75" customHeight="1">
      <c r="A1002" s="22">
        <v>10423975</v>
      </c>
      <c r="B1002" s="4">
        <v>11757726</v>
      </c>
      <c r="C1002" s="4" t="str">
        <f t="shared" si="4"/>
        <v/>
      </c>
      <c r="D1002" s="4" t="s">
        <v>302</v>
      </c>
    </row>
    <row r="1003" spans="1:4" ht="15.75" customHeight="1">
      <c r="A1003" s="22">
        <v>11512088</v>
      </c>
      <c r="B1003" s="4">
        <v>18250297</v>
      </c>
      <c r="C1003" s="4" t="str">
        <f t="shared" si="4"/>
        <v/>
      </c>
      <c r="D1003" s="4" t="s">
        <v>302</v>
      </c>
    </row>
    <row r="1004" spans="1:4" ht="15.75" customHeight="1">
      <c r="A1004" s="22">
        <v>11965036</v>
      </c>
      <c r="B1004" s="4">
        <v>31818546</v>
      </c>
      <c r="C1004" s="4" t="str">
        <f t="shared" si="4"/>
        <v/>
      </c>
      <c r="D1004" s="4" t="s">
        <v>302</v>
      </c>
    </row>
    <row r="1005" spans="1:4" ht="15.75" customHeight="1">
      <c r="A1005" s="22">
        <v>36243759</v>
      </c>
      <c r="B1005" s="4">
        <v>29744372</v>
      </c>
      <c r="C1005" s="4" t="str">
        <f t="shared" si="4"/>
        <v/>
      </c>
      <c r="D1005" s="4" t="s">
        <v>302</v>
      </c>
    </row>
    <row r="1006" spans="1:4" ht="15.75" customHeight="1">
      <c r="A1006" s="22">
        <v>1851860</v>
      </c>
      <c r="B1006" s="4">
        <v>9414312</v>
      </c>
      <c r="C1006" s="4" t="str">
        <f t="shared" si="4"/>
        <v/>
      </c>
      <c r="D1006" s="4" t="s">
        <v>302</v>
      </c>
    </row>
    <row r="1007" spans="1:4" ht="15.75" customHeight="1">
      <c r="A1007" s="22">
        <v>16289345</v>
      </c>
      <c r="B1007" s="4">
        <v>35176506</v>
      </c>
      <c r="C1007" s="4" t="str">
        <f t="shared" si="4"/>
        <v/>
      </c>
      <c r="D1007" s="4" t="s">
        <v>302</v>
      </c>
    </row>
    <row r="1008" spans="1:4" ht="15.75" customHeight="1">
      <c r="A1008" s="22">
        <v>22750998</v>
      </c>
      <c r="B1008" s="4">
        <v>9878013</v>
      </c>
      <c r="C1008" s="4" t="str">
        <f t="shared" si="4"/>
        <v/>
      </c>
      <c r="D1008" s="4" t="s">
        <v>302</v>
      </c>
    </row>
    <row r="1009" spans="1:4" ht="15.75" customHeight="1">
      <c r="A1009" s="22">
        <v>12120696</v>
      </c>
      <c r="B1009" s="4">
        <v>37796084</v>
      </c>
      <c r="C1009" s="4" t="str">
        <f t="shared" si="4"/>
        <v/>
      </c>
      <c r="D1009" s="4" t="s">
        <v>302</v>
      </c>
    </row>
    <row r="1010" spans="1:4" ht="15.75" customHeight="1">
      <c r="A1010" s="22">
        <v>20881490</v>
      </c>
      <c r="B1010" s="4">
        <v>32053411</v>
      </c>
      <c r="C1010" s="4" t="str">
        <f t="shared" si="4"/>
        <v/>
      </c>
      <c r="D1010" s="4" t="s">
        <v>302</v>
      </c>
    </row>
    <row r="1011" spans="1:4" ht="15.75" customHeight="1">
      <c r="A1011" s="22">
        <v>38793689</v>
      </c>
      <c r="B1011" s="4">
        <v>16732999</v>
      </c>
      <c r="C1011" s="4">
        <f t="shared" si="4"/>
        <v>38793689</v>
      </c>
      <c r="D1011" s="4" t="s">
        <v>302</v>
      </c>
    </row>
    <row r="1012" spans="1:4" ht="15.75" customHeight="1">
      <c r="A1012" s="22">
        <v>22301197</v>
      </c>
      <c r="B1012" s="4">
        <v>9695306</v>
      </c>
      <c r="C1012" s="4" t="str">
        <f t="shared" si="4"/>
        <v/>
      </c>
      <c r="D1012" s="4" t="s">
        <v>302</v>
      </c>
    </row>
    <row r="1013" spans="1:4" ht="15.75" customHeight="1">
      <c r="A1013" s="22">
        <v>11757726</v>
      </c>
      <c r="B1013" s="4">
        <v>18059145</v>
      </c>
      <c r="C1013" s="4" t="str">
        <f t="shared" si="4"/>
        <v/>
      </c>
      <c r="D1013" s="4" t="s">
        <v>302</v>
      </c>
    </row>
    <row r="1014" spans="1:4" ht="15.75" customHeight="1">
      <c r="A1014" s="22">
        <v>15365027</v>
      </c>
      <c r="B1014" s="4">
        <v>32188617</v>
      </c>
      <c r="C1014" s="4" t="str">
        <f t="shared" si="4"/>
        <v/>
      </c>
      <c r="D1014" s="4" t="s">
        <v>302</v>
      </c>
    </row>
    <row r="1015" spans="1:4" ht="15.75" customHeight="1">
      <c r="A1015" s="22">
        <v>29744372</v>
      </c>
      <c r="B1015" s="4">
        <v>24275367</v>
      </c>
      <c r="C1015" s="4" t="str">
        <f t="shared" si="4"/>
        <v/>
      </c>
      <c r="D1015" s="4" t="s">
        <v>302</v>
      </c>
    </row>
    <row r="1016" spans="1:4" ht="15.75" customHeight="1">
      <c r="A1016" s="22">
        <v>18250297</v>
      </c>
      <c r="B1016" s="4">
        <v>22171136</v>
      </c>
      <c r="C1016" s="4" t="str">
        <f t="shared" si="4"/>
        <v/>
      </c>
      <c r="D1016" s="4" t="s">
        <v>302</v>
      </c>
    </row>
    <row r="1017" spans="1:4" ht="15.75" customHeight="1">
      <c r="A1017" s="22">
        <v>31818546</v>
      </c>
      <c r="B1017" s="4">
        <v>19034008</v>
      </c>
      <c r="C1017" s="4" t="str">
        <f t="shared" si="4"/>
        <v/>
      </c>
      <c r="D1017" s="4" t="s">
        <v>302</v>
      </c>
    </row>
    <row r="1018" spans="1:4" ht="15.75" customHeight="1">
      <c r="A1018" s="22">
        <v>9414312</v>
      </c>
      <c r="B1018" s="4">
        <v>18044207</v>
      </c>
      <c r="C1018" s="4" t="str">
        <f t="shared" si="4"/>
        <v/>
      </c>
      <c r="D1018" s="4" t="s">
        <v>302</v>
      </c>
    </row>
    <row r="1019" spans="1:4" ht="15.75" customHeight="1">
      <c r="A1019" s="22">
        <v>32053411</v>
      </c>
      <c r="B1019" s="4">
        <v>15287524</v>
      </c>
      <c r="C1019" s="4" t="str">
        <f t="shared" si="4"/>
        <v/>
      </c>
      <c r="D1019" s="4" t="s">
        <v>302</v>
      </c>
    </row>
    <row r="1020" spans="1:4" ht="15.75" customHeight="1">
      <c r="A1020" s="22">
        <v>18059145</v>
      </c>
      <c r="B1020" s="4">
        <v>24395026</v>
      </c>
      <c r="C1020" s="4" t="str">
        <f t="shared" si="4"/>
        <v/>
      </c>
      <c r="D1020" s="4" t="s">
        <v>302</v>
      </c>
    </row>
    <row r="1021" spans="1:4" ht="15.75" customHeight="1">
      <c r="A1021" s="22">
        <v>9695306</v>
      </c>
      <c r="B1021" s="4">
        <v>35482424</v>
      </c>
      <c r="C1021" s="4" t="str">
        <f t="shared" si="4"/>
        <v/>
      </c>
      <c r="D1021" s="4" t="s">
        <v>302</v>
      </c>
    </row>
    <row r="1022" spans="1:4" ht="15.75" customHeight="1">
      <c r="A1022" s="22">
        <v>35176506</v>
      </c>
      <c r="B1022" s="4">
        <v>15899185</v>
      </c>
      <c r="C1022" s="4" t="str">
        <f t="shared" ref="C1022:C1276" si="5">IFERROR(IF(MATCH(A1022,B:B,0)&gt;0,""),A1022)</f>
        <v/>
      </c>
      <c r="D1022" s="4" t="s">
        <v>302</v>
      </c>
    </row>
    <row r="1023" spans="1:4" ht="15.75" customHeight="1">
      <c r="A1023" s="22">
        <v>19034008</v>
      </c>
      <c r="B1023" s="4">
        <v>30429336</v>
      </c>
      <c r="C1023" s="4" t="str">
        <f t="shared" si="5"/>
        <v/>
      </c>
      <c r="D1023" s="4" t="s">
        <v>302</v>
      </c>
    </row>
    <row r="1024" spans="1:4" ht="15.75" customHeight="1">
      <c r="A1024" s="22">
        <v>22171136</v>
      </c>
      <c r="B1024" s="4">
        <v>28958731</v>
      </c>
      <c r="C1024" s="4" t="str">
        <f t="shared" si="5"/>
        <v/>
      </c>
      <c r="D1024" s="4" t="s">
        <v>302</v>
      </c>
    </row>
    <row r="1025" spans="1:4" ht="15.75" customHeight="1">
      <c r="A1025" s="22">
        <v>18044207</v>
      </c>
      <c r="B1025" s="4">
        <v>10762575</v>
      </c>
      <c r="C1025" s="4" t="str">
        <f t="shared" si="5"/>
        <v/>
      </c>
      <c r="D1025" s="4" t="s">
        <v>302</v>
      </c>
    </row>
    <row r="1026" spans="1:4" ht="15.75" customHeight="1">
      <c r="A1026" s="22">
        <v>9878013</v>
      </c>
      <c r="B1026" s="4">
        <v>29434005</v>
      </c>
      <c r="C1026" s="4" t="str">
        <f t="shared" si="5"/>
        <v/>
      </c>
      <c r="D1026" s="4" t="s">
        <v>302</v>
      </c>
    </row>
    <row r="1027" spans="1:4" ht="15.75" customHeight="1">
      <c r="A1027" s="22">
        <v>24275367</v>
      </c>
      <c r="B1027" s="4">
        <v>26499513</v>
      </c>
      <c r="C1027" s="4" t="str">
        <f t="shared" si="5"/>
        <v/>
      </c>
      <c r="D1027" s="4" t="s">
        <v>302</v>
      </c>
    </row>
    <row r="1028" spans="1:4" ht="15.75" customHeight="1">
      <c r="A1028" s="22">
        <v>37796084</v>
      </c>
      <c r="B1028" s="4">
        <v>9455510</v>
      </c>
      <c r="C1028" s="4" t="str">
        <f t="shared" si="5"/>
        <v/>
      </c>
      <c r="D1028" s="4" t="s">
        <v>302</v>
      </c>
    </row>
    <row r="1029" spans="1:4" ht="15.75" customHeight="1">
      <c r="A1029" s="22">
        <v>24395026</v>
      </c>
      <c r="B1029" s="4">
        <v>23138414</v>
      </c>
      <c r="C1029" s="4" t="str">
        <f t="shared" si="5"/>
        <v/>
      </c>
      <c r="D1029" s="4" t="s">
        <v>302</v>
      </c>
    </row>
    <row r="1030" spans="1:4" ht="15.75" customHeight="1">
      <c r="A1030" s="22">
        <v>30429336</v>
      </c>
      <c r="B1030" s="4">
        <v>29022282</v>
      </c>
      <c r="C1030" s="4" t="str">
        <f t="shared" si="5"/>
        <v/>
      </c>
      <c r="D1030" s="4" t="s">
        <v>302</v>
      </c>
    </row>
    <row r="1031" spans="1:4" ht="15.75" customHeight="1">
      <c r="A1031" s="22">
        <v>15899185</v>
      </c>
      <c r="B1031" s="4">
        <v>32076716</v>
      </c>
      <c r="C1031" s="4" t="str">
        <f t="shared" si="5"/>
        <v/>
      </c>
      <c r="D1031" s="4" t="s">
        <v>302</v>
      </c>
    </row>
    <row r="1032" spans="1:4" ht="15.75" customHeight="1">
      <c r="A1032" s="22">
        <v>28958731</v>
      </c>
      <c r="B1032" s="4">
        <v>12709076</v>
      </c>
      <c r="C1032" s="4" t="str">
        <f t="shared" si="5"/>
        <v/>
      </c>
      <c r="D1032" s="4" t="s">
        <v>302</v>
      </c>
    </row>
    <row r="1033" spans="1:4" ht="15.75" customHeight="1">
      <c r="A1033" s="22">
        <v>35482424</v>
      </c>
      <c r="B1033" s="4">
        <v>22552456</v>
      </c>
      <c r="C1033" s="4" t="str">
        <f t="shared" si="5"/>
        <v/>
      </c>
      <c r="D1033" s="4" t="s">
        <v>302</v>
      </c>
    </row>
    <row r="1034" spans="1:4" ht="15.75" customHeight="1">
      <c r="A1034" s="22">
        <v>29434005</v>
      </c>
      <c r="B1034" s="4">
        <v>16019484</v>
      </c>
      <c r="C1034" s="4" t="str">
        <f t="shared" si="5"/>
        <v/>
      </c>
      <c r="D1034" s="4" t="s">
        <v>302</v>
      </c>
    </row>
    <row r="1035" spans="1:4" ht="15.75" customHeight="1">
      <c r="A1035" s="22">
        <v>26499513</v>
      </c>
      <c r="B1035" s="4">
        <v>22564265</v>
      </c>
      <c r="C1035" s="4" t="str">
        <f t="shared" si="5"/>
        <v/>
      </c>
      <c r="D1035" s="4" t="s">
        <v>302</v>
      </c>
    </row>
    <row r="1036" spans="1:4" ht="15.75" customHeight="1">
      <c r="A1036" s="22">
        <v>23138414</v>
      </c>
      <c r="B1036" s="4">
        <v>7699322</v>
      </c>
      <c r="C1036" s="4" t="str">
        <f t="shared" si="5"/>
        <v/>
      </c>
      <c r="D1036" s="4" t="s">
        <v>302</v>
      </c>
    </row>
    <row r="1037" spans="1:4" ht="15.75" customHeight="1">
      <c r="A1037" s="22">
        <v>32076716</v>
      </c>
      <c r="B1037" s="4">
        <v>26918962</v>
      </c>
      <c r="C1037" s="4" t="str">
        <f t="shared" si="5"/>
        <v/>
      </c>
      <c r="D1037" s="4" t="s">
        <v>302</v>
      </c>
    </row>
    <row r="1038" spans="1:4" ht="15.75" customHeight="1">
      <c r="A1038" s="22">
        <v>15287524</v>
      </c>
      <c r="B1038" s="4">
        <v>30414316</v>
      </c>
      <c r="C1038" s="4" t="str">
        <f t="shared" si="5"/>
        <v/>
      </c>
      <c r="D1038" s="4" t="s">
        <v>302</v>
      </c>
    </row>
    <row r="1039" spans="1:4" ht="15.75" customHeight="1">
      <c r="A1039" s="22">
        <v>12709076</v>
      </c>
      <c r="B1039" s="4">
        <v>18978824</v>
      </c>
      <c r="C1039" s="4" t="str">
        <f t="shared" si="5"/>
        <v/>
      </c>
      <c r="D1039" s="4" t="s">
        <v>302</v>
      </c>
    </row>
    <row r="1040" spans="1:4" ht="15.75" customHeight="1">
      <c r="A1040" s="22">
        <v>10762575</v>
      </c>
      <c r="B1040" s="4">
        <v>14966435</v>
      </c>
      <c r="C1040" s="4" t="str">
        <f t="shared" si="5"/>
        <v/>
      </c>
      <c r="D1040" s="4" t="s">
        <v>302</v>
      </c>
    </row>
    <row r="1041" spans="1:4" ht="15.75" customHeight="1">
      <c r="A1041" s="22">
        <v>9455510</v>
      </c>
      <c r="B1041" s="4">
        <v>29542206</v>
      </c>
      <c r="C1041" s="4" t="str">
        <f t="shared" si="5"/>
        <v/>
      </c>
      <c r="D1041" s="4" t="s">
        <v>302</v>
      </c>
    </row>
    <row r="1042" spans="1:4" ht="15.75" customHeight="1">
      <c r="A1042" s="22">
        <v>26918962</v>
      </c>
      <c r="B1042" s="4">
        <v>9153879</v>
      </c>
      <c r="C1042" s="4" t="str">
        <f t="shared" si="5"/>
        <v/>
      </c>
      <c r="D1042" s="4" t="s">
        <v>302</v>
      </c>
    </row>
    <row r="1043" spans="1:4" ht="15.75" customHeight="1">
      <c r="A1043" s="22">
        <v>30414316</v>
      </c>
      <c r="B1043" s="4">
        <v>19465942</v>
      </c>
      <c r="C1043" s="4" t="str">
        <f t="shared" si="5"/>
        <v/>
      </c>
      <c r="D1043" s="4" t="s">
        <v>302</v>
      </c>
    </row>
    <row r="1044" spans="1:4" ht="15.75" customHeight="1">
      <c r="A1044" s="22">
        <v>22552456</v>
      </c>
      <c r="B1044" s="4">
        <v>11986964</v>
      </c>
      <c r="C1044" s="4" t="str">
        <f t="shared" si="5"/>
        <v/>
      </c>
      <c r="D1044" s="4" t="s">
        <v>302</v>
      </c>
    </row>
    <row r="1045" spans="1:4" ht="15.75" customHeight="1">
      <c r="A1045" s="22">
        <v>14966435</v>
      </c>
      <c r="B1045" s="4">
        <v>23287444</v>
      </c>
      <c r="C1045" s="4" t="str">
        <f t="shared" si="5"/>
        <v/>
      </c>
      <c r="D1045" s="4" t="s">
        <v>302</v>
      </c>
    </row>
    <row r="1046" spans="1:4" ht="15.75" customHeight="1">
      <c r="A1046" s="22">
        <v>29542206</v>
      </c>
      <c r="B1046" s="4">
        <v>7911957</v>
      </c>
      <c r="C1046" s="4" t="str">
        <f t="shared" si="5"/>
        <v/>
      </c>
      <c r="D1046" s="4" t="s">
        <v>302</v>
      </c>
    </row>
    <row r="1047" spans="1:4" ht="15.75" customHeight="1">
      <c r="A1047" s="22">
        <v>29022282</v>
      </c>
      <c r="B1047" s="4">
        <v>31053550</v>
      </c>
      <c r="C1047" s="4" t="str">
        <f t="shared" si="5"/>
        <v/>
      </c>
      <c r="D1047" s="4" t="s">
        <v>302</v>
      </c>
    </row>
    <row r="1048" spans="1:4" ht="15.75" customHeight="1">
      <c r="A1048" s="22">
        <v>18978824</v>
      </c>
      <c r="B1048" s="4">
        <v>14625584</v>
      </c>
      <c r="C1048" s="4" t="str">
        <f t="shared" si="5"/>
        <v/>
      </c>
      <c r="D1048" s="4" t="s">
        <v>302</v>
      </c>
    </row>
    <row r="1049" spans="1:4" ht="15.75" customHeight="1">
      <c r="A1049" s="22">
        <v>9153879</v>
      </c>
      <c r="B1049" s="4">
        <v>35037602</v>
      </c>
      <c r="C1049" s="4" t="str">
        <f t="shared" si="5"/>
        <v/>
      </c>
      <c r="D1049" s="4" t="s">
        <v>302</v>
      </c>
    </row>
    <row r="1050" spans="1:4" ht="15.75" customHeight="1">
      <c r="A1050" s="22">
        <v>16019484</v>
      </c>
      <c r="B1050" s="4">
        <v>18679368</v>
      </c>
      <c r="C1050" s="4" t="str">
        <f t="shared" si="5"/>
        <v/>
      </c>
      <c r="D1050" s="4" t="s">
        <v>302</v>
      </c>
    </row>
    <row r="1051" spans="1:4" ht="15.75" customHeight="1">
      <c r="A1051" s="22">
        <v>23287444</v>
      </c>
      <c r="B1051" s="4">
        <v>21794043</v>
      </c>
      <c r="C1051" s="4" t="str">
        <f t="shared" si="5"/>
        <v/>
      </c>
      <c r="D1051" s="4" t="s">
        <v>302</v>
      </c>
    </row>
    <row r="1052" spans="1:4" ht="15.75" customHeight="1">
      <c r="A1052" s="22">
        <v>11986964</v>
      </c>
      <c r="B1052" s="4">
        <v>11243630</v>
      </c>
      <c r="C1052" s="4" t="str">
        <f t="shared" si="5"/>
        <v/>
      </c>
      <c r="D1052" s="4" t="s">
        <v>302</v>
      </c>
    </row>
    <row r="1053" spans="1:4" ht="15.75" customHeight="1">
      <c r="A1053" s="22">
        <v>22564265</v>
      </c>
      <c r="B1053" s="4">
        <v>10534732</v>
      </c>
      <c r="C1053" s="4" t="str">
        <f t="shared" si="5"/>
        <v/>
      </c>
      <c r="D1053" s="4" t="s">
        <v>302</v>
      </c>
    </row>
    <row r="1054" spans="1:4" ht="15.75" customHeight="1">
      <c r="A1054" s="22">
        <v>19465942</v>
      </c>
      <c r="B1054" s="4">
        <v>24601914</v>
      </c>
      <c r="C1054" s="4" t="str">
        <f t="shared" si="5"/>
        <v/>
      </c>
      <c r="D1054" s="4" t="s">
        <v>302</v>
      </c>
    </row>
    <row r="1055" spans="1:4" ht="15.75" customHeight="1">
      <c r="A1055" s="22">
        <v>31053550</v>
      </c>
      <c r="B1055" s="4">
        <v>7893982</v>
      </c>
      <c r="C1055" s="4" t="str">
        <f t="shared" si="5"/>
        <v/>
      </c>
      <c r="D1055" s="4" t="s">
        <v>302</v>
      </c>
    </row>
    <row r="1056" spans="1:4" ht="15.75" customHeight="1">
      <c r="A1056" s="22">
        <v>7911957</v>
      </c>
      <c r="B1056" s="4">
        <v>1337560</v>
      </c>
      <c r="C1056" s="4" t="str">
        <f t="shared" si="5"/>
        <v/>
      </c>
      <c r="D1056" s="4" t="s">
        <v>302</v>
      </c>
    </row>
    <row r="1057" spans="1:4" ht="15.75" customHeight="1">
      <c r="A1057" s="22">
        <v>35037602</v>
      </c>
      <c r="B1057" s="4">
        <v>8617868</v>
      </c>
      <c r="C1057" s="4" t="str">
        <f t="shared" si="5"/>
        <v/>
      </c>
      <c r="D1057" s="4" t="s">
        <v>302</v>
      </c>
    </row>
    <row r="1058" spans="1:4" ht="15.75" customHeight="1">
      <c r="A1058" s="22">
        <v>14625584</v>
      </c>
      <c r="B1058" s="4">
        <v>17151208</v>
      </c>
      <c r="C1058" s="4" t="str">
        <f t="shared" si="5"/>
        <v/>
      </c>
      <c r="D1058" s="4" t="s">
        <v>302</v>
      </c>
    </row>
    <row r="1059" spans="1:4" ht="15.75" customHeight="1">
      <c r="A1059" s="22">
        <v>18679368</v>
      </c>
      <c r="B1059" s="4">
        <v>20832191</v>
      </c>
      <c r="C1059" s="4" t="str">
        <f t="shared" si="5"/>
        <v/>
      </c>
      <c r="D1059" s="4" t="s">
        <v>302</v>
      </c>
    </row>
    <row r="1060" spans="1:4" ht="15.75" customHeight="1">
      <c r="A1060" s="22">
        <v>10534732</v>
      </c>
      <c r="B1060" s="4">
        <v>29975251</v>
      </c>
      <c r="C1060" s="4" t="str">
        <f t="shared" si="5"/>
        <v/>
      </c>
      <c r="D1060" s="4" t="s">
        <v>302</v>
      </c>
    </row>
    <row r="1061" spans="1:4" ht="15.75" customHeight="1">
      <c r="A1061" s="22">
        <v>24601914</v>
      </c>
      <c r="B1061" s="4">
        <v>21620128</v>
      </c>
      <c r="C1061" s="4" t="str">
        <f t="shared" si="5"/>
        <v/>
      </c>
      <c r="D1061" s="4" t="s">
        <v>302</v>
      </c>
    </row>
    <row r="1062" spans="1:4" ht="15.75" customHeight="1">
      <c r="A1062" s="22">
        <v>7893982</v>
      </c>
      <c r="B1062" s="4">
        <v>30351743</v>
      </c>
      <c r="C1062" s="4" t="str">
        <f t="shared" si="5"/>
        <v/>
      </c>
      <c r="D1062" s="4" t="s">
        <v>302</v>
      </c>
    </row>
    <row r="1063" spans="1:4" ht="15.75" customHeight="1">
      <c r="A1063" s="22">
        <v>17151208</v>
      </c>
      <c r="B1063" s="4">
        <v>12073575</v>
      </c>
      <c r="C1063" s="4" t="str">
        <f t="shared" si="5"/>
        <v/>
      </c>
      <c r="D1063" s="4" t="s">
        <v>302</v>
      </c>
    </row>
    <row r="1064" spans="1:4" ht="15.75" customHeight="1">
      <c r="A1064" s="22">
        <v>29975251</v>
      </c>
      <c r="B1064" s="4">
        <v>21805894</v>
      </c>
      <c r="C1064" s="4" t="str">
        <f t="shared" si="5"/>
        <v/>
      </c>
      <c r="D1064" s="4" t="s">
        <v>302</v>
      </c>
    </row>
    <row r="1065" spans="1:4" ht="15.75" customHeight="1">
      <c r="A1065" s="22">
        <v>8617868</v>
      </c>
      <c r="B1065" s="4">
        <v>16365449</v>
      </c>
      <c r="C1065" s="4" t="str">
        <f t="shared" si="5"/>
        <v/>
      </c>
      <c r="D1065" s="4" t="s">
        <v>302</v>
      </c>
    </row>
    <row r="1066" spans="1:4" ht="15.75" customHeight="1">
      <c r="A1066" s="22">
        <v>11243630</v>
      </c>
      <c r="B1066" s="4">
        <v>37515280</v>
      </c>
      <c r="C1066" s="4" t="str">
        <f t="shared" si="5"/>
        <v/>
      </c>
      <c r="D1066" s="4" t="s">
        <v>302</v>
      </c>
    </row>
    <row r="1067" spans="1:4" ht="15.75" customHeight="1">
      <c r="A1067" s="22">
        <v>20832191</v>
      </c>
      <c r="B1067" s="4">
        <v>1317489</v>
      </c>
      <c r="C1067" s="4" t="str">
        <f t="shared" si="5"/>
        <v/>
      </c>
      <c r="D1067" s="4" t="s">
        <v>302</v>
      </c>
    </row>
    <row r="1068" spans="1:4" ht="15.75" customHeight="1">
      <c r="A1068" s="22">
        <v>30351743</v>
      </c>
      <c r="B1068" s="4">
        <v>19935727</v>
      </c>
      <c r="C1068" s="4" t="str">
        <f t="shared" si="5"/>
        <v/>
      </c>
      <c r="D1068" s="4" t="s">
        <v>302</v>
      </c>
    </row>
    <row r="1069" spans="1:4" ht="15.75" customHeight="1">
      <c r="A1069" s="22">
        <v>21620128</v>
      </c>
      <c r="B1069" s="4">
        <v>26226409</v>
      </c>
      <c r="C1069" s="4" t="str">
        <f t="shared" si="5"/>
        <v/>
      </c>
      <c r="D1069" s="4" t="s">
        <v>302</v>
      </c>
    </row>
    <row r="1070" spans="1:4" ht="15.75" customHeight="1">
      <c r="A1070" s="22">
        <v>12073575</v>
      </c>
      <c r="B1070" s="4">
        <v>12829900</v>
      </c>
      <c r="C1070" s="4" t="str">
        <f t="shared" si="5"/>
        <v/>
      </c>
      <c r="D1070" s="4" t="s">
        <v>302</v>
      </c>
    </row>
    <row r="1071" spans="1:4" ht="15.75" customHeight="1">
      <c r="A1071" s="22">
        <v>19935727</v>
      </c>
      <c r="B1071" s="4">
        <v>16679694</v>
      </c>
      <c r="C1071" s="4" t="str">
        <f t="shared" si="5"/>
        <v/>
      </c>
      <c r="D1071" s="4" t="s">
        <v>302</v>
      </c>
    </row>
    <row r="1072" spans="1:4" ht="15.75" customHeight="1">
      <c r="A1072" s="22">
        <v>21794043</v>
      </c>
      <c r="B1072" s="4">
        <v>19937484</v>
      </c>
      <c r="C1072" s="4" t="str">
        <f t="shared" si="5"/>
        <v/>
      </c>
      <c r="D1072" s="4" t="s">
        <v>302</v>
      </c>
    </row>
    <row r="1073" spans="1:4" ht="15.75" customHeight="1">
      <c r="A1073" s="22">
        <v>21805894</v>
      </c>
      <c r="B1073" s="4">
        <v>19222466</v>
      </c>
      <c r="C1073" s="4" t="str">
        <f t="shared" si="5"/>
        <v/>
      </c>
      <c r="D1073" s="4" t="s">
        <v>302</v>
      </c>
    </row>
    <row r="1074" spans="1:4" ht="15.75" customHeight="1">
      <c r="A1074" s="22">
        <v>1317489</v>
      </c>
      <c r="B1074" s="4">
        <v>33533228</v>
      </c>
      <c r="C1074" s="4" t="str">
        <f t="shared" si="5"/>
        <v/>
      </c>
      <c r="D1074" s="4" t="s">
        <v>302</v>
      </c>
    </row>
    <row r="1075" spans="1:4" ht="15.75" customHeight="1">
      <c r="A1075" s="22">
        <v>37515280</v>
      </c>
      <c r="B1075" s="4">
        <v>16176416</v>
      </c>
      <c r="C1075" s="4" t="str">
        <f t="shared" si="5"/>
        <v/>
      </c>
      <c r="D1075" s="4" t="s">
        <v>302</v>
      </c>
    </row>
    <row r="1076" spans="1:4" ht="15.75" customHeight="1">
      <c r="A1076" s="22">
        <v>1337560</v>
      </c>
      <c r="B1076" s="4">
        <v>10483141</v>
      </c>
      <c r="C1076" s="4" t="str">
        <f t="shared" si="5"/>
        <v/>
      </c>
      <c r="D1076" s="4" t="s">
        <v>302</v>
      </c>
    </row>
    <row r="1077" spans="1:4" ht="15.75" customHeight="1">
      <c r="A1077" s="22">
        <v>16365449</v>
      </c>
      <c r="B1077" s="4">
        <v>18310542</v>
      </c>
      <c r="C1077" s="4" t="str">
        <f t="shared" si="5"/>
        <v/>
      </c>
      <c r="D1077" s="4" t="s">
        <v>302</v>
      </c>
    </row>
    <row r="1078" spans="1:4" ht="15.75" customHeight="1">
      <c r="A1078" s="22">
        <v>26226409</v>
      </c>
      <c r="B1078" s="4">
        <v>30014227</v>
      </c>
      <c r="C1078" s="4" t="str">
        <f t="shared" si="5"/>
        <v/>
      </c>
      <c r="D1078" s="4" t="s">
        <v>302</v>
      </c>
    </row>
    <row r="1079" spans="1:4" ht="15.75" customHeight="1">
      <c r="A1079" s="22">
        <v>12829900</v>
      </c>
      <c r="B1079" s="4">
        <v>20466275</v>
      </c>
      <c r="C1079" s="4" t="str">
        <f t="shared" si="5"/>
        <v/>
      </c>
      <c r="D1079" s="4" t="s">
        <v>302</v>
      </c>
    </row>
    <row r="1080" spans="1:4" ht="15.75" customHeight="1">
      <c r="A1080" s="22">
        <v>16679694</v>
      </c>
      <c r="B1080" s="4">
        <v>12098068</v>
      </c>
      <c r="C1080" s="4" t="str">
        <f t="shared" si="5"/>
        <v/>
      </c>
      <c r="D1080" s="4" t="s">
        <v>302</v>
      </c>
    </row>
    <row r="1081" spans="1:4" ht="15.75" customHeight="1">
      <c r="A1081" s="22">
        <v>19937484</v>
      </c>
      <c r="B1081" s="4">
        <v>14624112</v>
      </c>
      <c r="C1081" s="4" t="str">
        <f t="shared" si="5"/>
        <v/>
      </c>
      <c r="D1081" s="4" t="s">
        <v>302</v>
      </c>
    </row>
    <row r="1082" spans="1:4" ht="15.75" customHeight="1">
      <c r="A1082" s="22">
        <v>19222466</v>
      </c>
      <c r="B1082" s="4">
        <v>34696402</v>
      </c>
      <c r="C1082" s="4" t="str">
        <f t="shared" si="5"/>
        <v/>
      </c>
      <c r="D1082" s="4" t="s">
        <v>302</v>
      </c>
    </row>
    <row r="1083" spans="1:4" ht="15.75" customHeight="1">
      <c r="A1083" s="22">
        <v>33533228</v>
      </c>
      <c r="B1083" s="4">
        <v>9177444</v>
      </c>
      <c r="C1083" s="4" t="str">
        <f t="shared" si="5"/>
        <v/>
      </c>
      <c r="D1083" s="4" t="s">
        <v>302</v>
      </c>
    </row>
    <row r="1084" spans="1:4" ht="15.75" customHeight="1">
      <c r="A1084" s="22">
        <v>18310542</v>
      </c>
      <c r="B1084" s="4">
        <v>11926744</v>
      </c>
      <c r="C1084" s="4" t="str">
        <f t="shared" si="5"/>
        <v/>
      </c>
      <c r="D1084" s="4" t="s">
        <v>302</v>
      </c>
    </row>
    <row r="1085" spans="1:4" ht="15.75" customHeight="1">
      <c r="A1085" s="22">
        <v>14624112</v>
      </c>
      <c r="B1085" s="4">
        <v>24335203</v>
      </c>
      <c r="C1085" s="4" t="str">
        <f t="shared" si="5"/>
        <v/>
      </c>
      <c r="D1085" s="4" t="s">
        <v>302</v>
      </c>
    </row>
    <row r="1086" spans="1:4" ht="15.75" customHeight="1">
      <c r="A1086" s="22">
        <v>12098068</v>
      </c>
      <c r="B1086" s="4">
        <v>10868648</v>
      </c>
      <c r="C1086" s="4" t="str">
        <f t="shared" si="5"/>
        <v/>
      </c>
      <c r="D1086" s="4" t="s">
        <v>302</v>
      </c>
    </row>
    <row r="1087" spans="1:4" ht="15.75" customHeight="1">
      <c r="A1087" s="22">
        <v>34696402</v>
      </c>
      <c r="B1087" s="4">
        <v>20956957</v>
      </c>
      <c r="C1087" s="4" t="str">
        <f t="shared" si="5"/>
        <v/>
      </c>
      <c r="D1087" s="4" t="s">
        <v>302</v>
      </c>
    </row>
    <row r="1088" spans="1:4" ht="15.75" customHeight="1">
      <c r="A1088" s="22">
        <v>16176416</v>
      </c>
      <c r="B1088" s="4">
        <v>16303014</v>
      </c>
      <c r="C1088" s="4" t="str">
        <f t="shared" si="5"/>
        <v/>
      </c>
      <c r="D1088" s="4" t="s">
        <v>302</v>
      </c>
    </row>
    <row r="1089" spans="1:4" ht="15.75" customHeight="1">
      <c r="A1089" s="22">
        <v>9177444</v>
      </c>
      <c r="B1089" s="4">
        <v>16148562</v>
      </c>
      <c r="C1089" s="4" t="str">
        <f t="shared" si="5"/>
        <v/>
      </c>
      <c r="D1089" s="4" t="s">
        <v>302</v>
      </c>
    </row>
    <row r="1090" spans="1:4" ht="15.75" customHeight="1">
      <c r="A1090" s="22">
        <v>30014227</v>
      </c>
      <c r="B1090" s="4">
        <v>31338899</v>
      </c>
      <c r="C1090" s="4" t="str">
        <f t="shared" si="5"/>
        <v/>
      </c>
      <c r="D1090" s="4" t="s">
        <v>302</v>
      </c>
    </row>
    <row r="1091" spans="1:4" ht="15.75" customHeight="1">
      <c r="A1091" s="22">
        <v>24335203</v>
      </c>
      <c r="B1091" s="4">
        <v>20685258</v>
      </c>
      <c r="C1091" s="4" t="str">
        <f t="shared" si="5"/>
        <v/>
      </c>
      <c r="D1091" s="4" t="s">
        <v>302</v>
      </c>
    </row>
    <row r="1092" spans="1:4" ht="15.75" customHeight="1">
      <c r="A1092" s="22">
        <v>11926744</v>
      </c>
      <c r="B1092" s="4">
        <v>1346889</v>
      </c>
      <c r="C1092" s="4" t="str">
        <f t="shared" si="5"/>
        <v/>
      </c>
      <c r="D1092" s="4" t="s">
        <v>302</v>
      </c>
    </row>
    <row r="1093" spans="1:4" ht="15.75" customHeight="1">
      <c r="A1093" s="22">
        <v>10483141</v>
      </c>
      <c r="B1093" s="4">
        <v>19522847</v>
      </c>
      <c r="C1093" s="4" t="str">
        <f t="shared" si="5"/>
        <v/>
      </c>
      <c r="D1093" s="4" t="s">
        <v>302</v>
      </c>
    </row>
    <row r="1094" spans="1:4" ht="15.75" customHeight="1">
      <c r="A1094" s="22">
        <v>20466275</v>
      </c>
      <c r="B1094" s="4">
        <v>7998088</v>
      </c>
      <c r="C1094" s="4" t="str">
        <f t="shared" si="5"/>
        <v/>
      </c>
      <c r="D1094" s="4" t="s">
        <v>302</v>
      </c>
    </row>
    <row r="1095" spans="1:4" ht="15.75" customHeight="1">
      <c r="A1095" s="22">
        <v>20956957</v>
      </c>
      <c r="B1095" s="4">
        <v>26132825</v>
      </c>
      <c r="C1095" s="4" t="str">
        <f t="shared" si="5"/>
        <v/>
      </c>
      <c r="D1095" s="4" t="s">
        <v>302</v>
      </c>
    </row>
    <row r="1096" spans="1:4" ht="15.75" customHeight="1">
      <c r="A1096" s="22">
        <v>16303014</v>
      </c>
      <c r="B1096" s="4">
        <v>8610400</v>
      </c>
      <c r="C1096" s="4" t="str">
        <f t="shared" si="5"/>
        <v/>
      </c>
      <c r="D1096" s="4" t="s">
        <v>302</v>
      </c>
    </row>
    <row r="1097" spans="1:4" ht="15.75" customHeight="1">
      <c r="A1097" s="22">
        <v>16148562</v>
      </c>
      <c r="B1097" s="4">
        <v>28213954</v>
      </c>
      <c r="C1097" s="4" t="str">
        <f t="shared" si="5"/>
        <v/>
      </c>
      <c r="D1097" s="4" t="s">
        <v>302</v>
      </c>
    </row>
    <row r="1098" spans="1:4" ht="15.75" customHeight="1">
      <c r="A1098" s="22">
        <v>1346889</v>
      </c>
      <c r="B1098" s="4">
        <v>28551368</v>
      </c>
      <c r="C1098" s="4" t="str">
        <f t="shared" si="5"/>
        <v/>
      </c>
      <c r="D1098" s="4" t="s">
        <v>302</v>
      </c>
    </row>
    <row r="1099" spans="1:4" ht="15.75" customHeight="1">
      <c r="A1099" s="22">
        <v>19522847</v>
      </c>
      <c r="B1099" s="4">
        <v>19100492</v>
      </c>
      <c r="C1099" s="4" t="str">
        <f t="shared" si="5"/>
        <v/>
      </c>
      <c r="D1099" s="4" t="s">
        <v>302</v>
      </c>
    </row>
    <row r="1100" spans="1:4" ht="15.75" customHeight="1">
      <c r="A1100" s="22">
        <v>10868648</v>
      </c>
      <c r="B1100" s="4">
        <v>9236842</v>
      </c>
      <c r="C1100" s="4" t="str">
        <f t="shared" si="5"/>
        <v/>
      </c>
      <c r="D1100" s="4" t="s">
        <v>302</v>
      </c>
    </row>
    <row r="1101" spans="1:4" ht="15.75" customHeight="1">
      <c r="A1101" s="22">
        <v>7998088</v>
      </c>
      <c r="B1101" s="4">
        <v>2162397</v>
      </c>
      <c r="C1101" s="4" t="str">
        <f t="shared" si="5"/>
        <v/>
      </c>
      <c r="D1101" s="4" t="s">
        <v>302</v>
      </c>
    </row>
    <row r="1102" spans="1:4" ht="15.75" customHeight="1">
      <c r="A1102" s="22">
        <v>8610400</v>
      </c>
      <c r="B1102" s="4">
        <v>11420457</v>
      </c>
      <c r="C1102" s="4" t="str">
        <f t="shared" si="5"/>
        <v/>
      </c>
      <c r="D1102" s="4" t="s">
        <v>302</v>
      </c>
    </row>
    <row r="1103" spans="1:4" ht="15.75" customHeight="1">
      <c r="A1103" s="22">
        <v>31338899</v>
      </c>
      <c r="B1103" s="4">
        <v>25073037</v>
      </c>
      <c r="C1103" s="4" t="str">
        <f t="shared" si="5"/>
        <v/>
      </c>
      <c r="D1103" s="4" t="s">
        <v>302</v>
      </c>
    </row>
    <row r="1104" spans="1:4" ht="15.75" customHeight="1">
      <c r="A1104" s="22">
        <v>38726832</v>
      </c>
      <c r="B1104" s="4">
        <v>16289345</v>
      </c>
      <c r="C1104" s="4">
        <f t="shared" si="5"/>
        <v>38726832</v>
      </c>
      <c r="D1104" s="4" t="s">
        <v>302</v>
      </c>
    </row>
    <row r="1105" spans="1:4" ht="15.75" customHeight="1">
      <c r="A1105" s="22">
        <v>19100492</v>
      </c>
      <c r="B1105" s="4">
        <v>20534025</v>
      </c>
      <c r="C1105" s="4" t="str">
        <f t="shared" si="5"/>
        <v/>
      </c>
      <c r="D1105" s="4" t="s">
        <v>302</v>
      </c>
    </row>
    <row r="1106" spans="1:4" ht="15.75" customHeight="1">
      <c r="A1106" s="22">
        <v>11420457</v>
      </c>
      <c r="B1106" s="4">
        <v>29499037</v>
      </c>
      <c r="C1106" s="4" t="str">
        <f t="shared" si="5"/>
        <v/>
      </c>
      <c r="D1106" s="4" t="s">
        <v>302</v>
      </c>
    </row>
    <row r="1107" spans="1:4" ht="15.75" customHeight="1">
      <c r="A1107" s="22">
        <v>2162397</v>
      </c>
      <c r="B1107" s="4">
        <v>16313481</v>
      </c>
      <c r="C1107" s="4" t="str">
        <f t="shared" si="5"/>
        <v/>
      </c>
      <c r="D1107" s="4" t="s">
        <v>302</v>
      </c>
    </row>
    <row r="1108" spans="1:4" ht="15.75" customHeight="1">
      <c r="A1108" s="22">
        <v>26132825</v>
      </c>
      <c r="B1108" s="4">
        <v>10555198</v>
      </c>
      <c r="C1108" s="4" t="str">
        <f t="shared" si="5"/>
        <v/>
      </c>
      <c r="D1108" s="4" t="s">
        <v>302</v>
      </c>
    </row>
    <row r="1109" spans="1:4" ht="15.75" customHeight="1">
      <c r="A1109" s="22">
        <v>20685258</v>
      </c>
      <c r="B1109" s="4">
        <v>23676599</v>
      </c>
      <c r="C1109" s="4" t="str">
        <f t="shared" si="5"/>
        <v/>
      </c>
      <c r="D1109" s="4" t="s">
        <v>302</v>
      </c>
    </row>
    <row r="1110" spans="1:4" ht="15.75" customHeight="1">
      <c r="A1110" s="22">
        <v>28213954</v>
      </c>
      <c r="B1110" s="4">
        <v>12399232</v>
      </c>
      <c r="C1110" s="4" t="str">
        <f t="shared" si="5"/>
        <v/>
      </c>
      <c r="D1110" s="4" t="s">
        <v>302</v>
      </c>
    </row>
    <row r="1111" spans="1:4" ht="15.75" customHeight="1">
      <c r="A1111" s="22">
        <v>20534025</v>
      </c>
      <c r="B1111" s="4">
        <v>11594915</v>
      </c>
      <c r="C1111" s="4" t="str">
        <f t="shared" si="5"/>
        <v/>
      </c>
      <c r="D1111" s="4" t="s">
        <v>302</v>
      </c>
    </row>
    <row r="1112" spans="1:4" ht="15.75" customHeight="1">
      <c r="A1112" s="22">
        <v>29499037</v>
      </c>
      <c r="B1112" s="4">
        <v>10398670</v>
      </c>
      <c r="C1112" s="4" t="str">
        <f t="shared" si="5"/>
        <v/>
      </c>
      <c r="D1112" s="4" t="s">
        <v>302</v>
      </c>
    </row>
    <row r="1113" spans="1:4" ht="15.75" customHeight="1">
      <c r="A1113" s="22">
        <v>28551368</v>
      </c>
      <c r="B1113" s="4">
        <v>32529583</v>
      </c>
      <c r="C1113" s="4" t="str">
        <f t="shared" si="5"/>
        <v/>
      </c>
      <c r="D1113" s="4" t="s">
        <v>302</v>
      </c>
    </row>
    <row r="1114" spans="1:4" ht="15.75" customHeight="1">
      <c r="A1114" s="22">
        <v>25073037</v>
      </c>
      <c r="B1114" s="4">
        <v>7866272</v>
      </c>
      <c r="C1114" s="4" t="str">
        <f t="shared" si="5"/>
        <v/>
      </c>
      <c r="D1114" s="4" t="s">
        <v>302</v>
      </c>
    </row>
    <row r="1115" spans="1:4" ht="15.75" customHeight="1">
      <c r="A1115" s="22">
        <v>9236842</v>
      </c>
      <c r="B1115" s="4">
        <v>11263334</v>
      </c>
      <c r="C1115" s="4" t="str">
        <f t="shared" si="5"/>
        <v/>
      </c>
      <c r="D1115" s="4" t="s">
        <v>302</v>
      </c>
    </row>
    <row r="1116" spans="1:4" ht="15.75" customHeight="1">
      <c r="A1116" s="22">
        <v>23676599</v>
      </c>
      <c r="B1116" s="4">
        <v>15041393</v>
      </c>
      <c r="C1116" s="4" t="str">
        <f t="shared" si="5"/>
        <v/>
      </c>
      <c r="D1116" s="4" t="s">
        <v>302</v>
      </c>
    </row>
    <row r="1117" spans="1:4" ht="15.75" customHeight="1">
      <c r="A1117" s="22">
        <v>12399232</v>
      </c>
      <c r="B1117" s="4">
        <v>11959211</v>
      </c>
      <c r="C1117" s="4" t="str">
        <f t="shared" si="5"/>
        <v/>
      </c>
      <c r="D1117" s="4" t="s">
        <v>302</v>
      </c>
    </row>
    <row r="1118" spans="1:4" ht="15.75" customHeight="1">
      <c r="A1118" s="22">
        <v>11594915</v>
      </c>
      <c r="B1118" s="4">
        <v>19295317</v>
      </c>
      <c r="C1118" s="4" t="str">
        <f t="shared" si="5"/>
        <v/>
      </c>
      <c r="D1118" s="4" t="s">
        <v>302</v>
      </c>
    </row>
    <row r="1119" spans="1:4" ht="15.75" customHeight="1">
      <c r="A1119" s="22">
        <v>10398670</v>
      </c>
      <c r="B1119" s="4">
        <v>19863339</v>
      </c>
      <c r="C1119" s="4" t="str">
        <f t="shared" si="5"/>
        <v/>
      </c>
      <c r="D1119" s="4" t="s">
        <v>302</v>
      </c>
    </row>
    <row r="1120" spans="1:4" ht="15.75" customHeight="1">
      <c r="A1120" s="22">
        <v>10555198</v>
      </c>
      <c r="B1120" s="4">
        <v>12665843</v>
      </c>
      <c r="C1120" s="4" t="str">
        <f t="shared" si="5"/>
        <v/>
      </c>
      <c r="D1120" s="4" t="s">
        <v>302</v>
      </c>
    </row>
    <row r="1121" spans="1:4" ht="15.75" customHeight="1">
      <c r="A1121" s="22">
        <v>16313481</v>
      </c>
      <c r="B1121" s="4">
        <v>29443669</v>
      </c>
      <c r="C1121" s="4" t="str">
        <f t="shared" si="5"/>
        <v/>
      </c>
      <c r="D1121" s="4" t="s">
        <v>302</v>
      </c>
    </row>
    <row r="1122" spans="1:4" ht="15.75" customHeight="1">
      <c r="A1122" s="22">
        <v>32529583</v>
      </c>
      <c r="B1122" s="4">
        <v>11689888</v>
      </c>
      <c r="C1122" s="4" t="str">
        <f t="shared" si="5"/>
        <v/>
      </c>
      <c r="D1122" s="4" t="s">
        <v>302</v>
      </c>
    </row>
    <row r="1123" spans="1:4" ht="15.75" customHeight="1">
      <c r="A1123" s="22">
        <v>11263334</v>
      </c>
      <c r="B1123" s="4">
        <v>27808462</v>
      </c>
      <c r="C1123" s="4" t="str">
        <f t="shared" si="5"/>
        <v/>
      </c>
      <c r="D1123" s="4" t="s">
        <v>302</v>
      </c>
    </row>
    <row r="1124" spans="1:4" ht="15.75" customHeight="1">
      <c r="A1124" s="22">
        <v>7866272</v>
      </c>
      <c r="B1124" s="4">
        <v>18587440</v>
      </c>
      <c r="C1124" s="4" t="str">
        <f t="shared" si="5"/>
        <v/>
      </c>
      <c r="D1124" s="4" t="s">
        <v>302</v>
      </c>
    </row>
    <row r="1125" spans="1:4" ht="15.75" customHeight="1">
      <c r="A1125" s="22">
        <v>11959211</v>
      </c>
      <c r="B1125" s="4">
        <v>20172284</v>
      </c>
      <c r="C1125" s="4" t="str">
        <f t="shared" si="5"/>
        <v/>
      </c>
      <c r="D1125" s="4" t="s">
        <v>302</v>
      </c>
    </row>
    <row r="1126" spans="1:4" ht="15.75" customHeight="1">
      <c r="A1126" s="22">
        <v>19863339</v>
      </c>
      <c r="B1126" s="4">
        <v>11518006</v>
      </c>
      <c r="C1126" s="4" t="str">
        <f t="shared" si="5"/>
        <v/>
      </c>
      <c r="D1126" s="4" t="s">
        <v>302</v>
      </c>
    </row>
    <row r="1127" spans="1:4" ht="15.75" customHeight="1">
      <c r="A1127" s="22">
        <v>11689888</v>
      </c>
      <c r="B1127" s="4">
        <v>17401392</v>
      </c>
      <c r="C1127" s="4" t="str">
        <f t="shared" si="5"/>
        <v/>
      </c>
      <c r="D1127" s="4" t="s">
        <v>302</v>
      </c>
    </row>
    <row r="1128" spans="1:4" ht="15.75" customHeight="1">
      <c r="A1128" s="22">
        <v>29443669</v>
      </c>
      <c r="B1128" s="4">
        <v>11406212</v>
      </c>
      <c r="C1128" s="4" t="str">
        <f t="shared" si="5"/>
        <v/>
      </c>
      <c r="D1128" s="4" t="s">
        <v>302</v>
      </c>
    </row>
    <row r="1129" spans="1:4" ht="15.75" customHeight="1">
      <c r="A1129" s="22">
        <v>27808462</v>
      </c>
      <c r="B1129" s="4">
        <v>28501929</v>
      </c>
      <c r="C1129" s="4" t="str">
        <f t="shared" si="5"/>
        <v/>
      </c>
      <c r="D1129" s="4" t="s">
        <v>302</v>
      </c>
    </row>
    <row r="1130" spans="1:4" ht="15.75" customHeight="1">
      <c r="A1130" s="22">
        <v>15041393</v>
      </c>
      <c r="B1130" s="4">
        <v>16679705</v>
      </c>
      <c r="C1130" s="4" t="str">
        <f t="shared" si="5"/>
        <v/>
      </c>
      <c r="D1130" s="4" t="s">
        <v>302</v>
      </c>
    </row>
    <row r="1131" spans="1:4" ht="15.75" customHeight="1">
      <c r="A1131" s="22">
        <v>18587440</v>
      </c>
      <c r="B1131" s="4">
        <v>12654053</v>
      </c>
      <c r="C1131" s="4" t="str">
        <f t="shared" si="5"/>
        <v/>
      </c>
      <c r="D1131" s="4" t="s">
        <v>302</v>
      </c>
    </row>
    <row r="1132" spans="1:4" ht="15.75" customHeight="1">
      <c r="A1132" s="22">
        <v>20172284</v>
      </c>
      <c r="B1132" s="4">
        <v>29178554</v>
      </c>
      <c r="C1132" s="4" t="str">
        <f t="shared" si="5"/>
        <v/>
      </c>
      <c r="D1132" s="4" t="s">
        <v>302</v>
      </c>
    </row>
    <row r="1133" spans="1:4" ht="15.75" customHeight="1">
      <c r="A1133" s="22">
        <v>19295317</v>
      </c>
      <c r="B1133" s="4">
        <v>23806156</v>
      </c>
      <c r="C1133" s="4" t="str">
        <f t="shared" si="5"/>
        <v/>
      </c>
      <c r="D1133" s="4" t="s">
        <v>302</v>
      </c>
    </row>
    <row r="1134" spans="1:4" ht="15.75" customHeight="1">
      <c r="A1134" s="22">
        <v>17401392</v>
      </c>
      <c r="B1134" s="4">
        <v>31959990</v>
      </c>
      <c r="C1134" s="4" t="str">
        <f t="shared" si="5"/>
        <v/>
      </c>
      <c r="D1134" s="4" t="s">
        <v>302</v>
      </c>
    </row>
    <row r="1135" spans="1:4" ht="15.75" customHeight="1">
      <c r="A1135" s="22">
        <v>11518006</v>
      </c>
      <c r="B1135" s="4">
        <v>23959519</v>
      </c>
      <c r="C1135" s="4" t="str">
        <f t="shared" si="5"/>
        <v/>
      </c>
      <c r="D1135" s="4" t="s">
        <v>302</v>
      </c>
    </row>
    <row r="1136" spans="1:4" ht="15.75" customHeight="1">
      <c r="A1136" s="22">
        <v>12665843</v>
      </c>
      <c r="B1136" s="4">
        <v>19556082</v>
      </c>
      <c r="C1136" s="4" t="str">
        <f t="shared" si="5"/>
        <v/>
      </c>
      <c r="D1136" s="4" t="s">
        <v>302</v>
      </c>
    </row>
    <row r="1137" spans="1:4" ht="15.75" customHeight="1">
      <c r="A1137" s="22">
        <v>29178554</v>
      </c>
      <c r="B1137" s="4">
        <v>22687802</v>
      </c>
      <c r="C1137" s="4" t="str">
        <f t="shared" si="5"/>
        <v/>
      </c>
      <c r="D1137" s="4" t="s">
        <v>302</v>
      </c>
    </row>
    <row r="1138" spans="1:4" ht="15.75" customHeight="1">
      <c r="A1138" s="22">
        <v>11406212</v>
      </c>
      <c r="B1138" s="4">
        <v>16615443</v>
      </c>
      <c r="C1138" s="4" t="str">
        <f t="shared" si="5"/>
        <v/>
      </c>
      <c r="D1138" s="4" t="s">
        <v>302</v>
      </c>
    </row>
    <row r="1139" spans="1:4" ht="15.75" customHeight="1">
      <c r="A1139" s="22">
        <v>23806156</v>
      </c>
      <c r="B1139" s="4">
        <v>23026615</v>
      </c>
      <c r="C1139" s="4" t="str">
        <f t="shared" si="5"/>
        <v/>
      </c>
      <c r="D1139" s="4" t="s">
        <v>302</v>
      </c>
    </row>
    <row r="1140" spans="1:4" ht="15.75" customHeight="1">
      <c r="A1140" s="22">
        <v>31959990</v>
      </c>
      <c r="B1140" s="4">
        <v>12360701</v>
      </c>
      <c r="C1140" s="4" t="str">
        <f t="shared" si="5"/>
        <v/>
      </c>
      <c r="D1140" s="4" t="s">
        <v>302</v>
      </c>
    </row>
    <row r="1141" spans="1:4" ht="15.75" customHeight="1">
      <c r="A1141" s="22">
        <v>28501929</v>
      </c>
      <c r="B1141" s="4">
        <v>8841033</v>
      </c>
      <c r="C1141" s="4" t="str">
        <f t="shared" si="5"/>
        <v/>
      </c>
      <c r="D1141" s="4" t="s">
        <v>302</v>
      </c>
    </row>
    <row r="1142" spans="1:4" ht="15.75" customHeight="1">
      <c r="A1142" s="22">
        <v>23959519</v>
      </c>
      <c r="B1142" s="4">
        <v>16615520</v>
      </c>
      <c r="C1142" s="4" t="str">
        <f t="shared" si="5"/>
        <v/>
      </c>
      <c r="D1142" s="4" t="s">
        <v>302</v>
      </c>
    </row>
    <row r="1143" spans="1:4" ht="15.75" customHeight="1">
      <c r="A1143" s="22">
        <v>22687802</v>
      </c>
      <c r="B1143" s="4">
        <v>7647283</v>
      </c>
      <c r="C1143" s="4" t="str">
        <f t="shared" si="5"/>
        <v/>
      </c>
      <c r="D1143" s="4" t="s">
        <v>302</v>
      </c>
    </row>
    <row r="1144" spans="1:4" ht="15.75" customHeight="1">
      <c r="A1144" s="22">
        <v>16679705</v>
      </c>
      <c r="B1144" s="4">
        <v>9282715</v>
      </c>
      <c r="C1144" s="4" t="str">
        <f t="shared" si="5"/>
        <v/>
      </c>
      <c r="D1144" s="4" t="s">
        <v>302</v>
      </c>
    </row>
    <row r="1145" spans="1:4" ht="15.75" customHeight="1">
      <c r="A1145" s="22">
        <v>12360701</v>
      </c>
      <c r="B1145" s="4">
        <v>9159404</v>
      </c>
      <c r="C1145" s="4" t="str">
        <f t="shared" si="5"/>
        <v/>
      </c>
      <c r="D1145" s="4" t="s">
        <v>302</v>
      </c>
    </row>
    <row r="1146" spans="1:4" ht="15.75" customHeight="1">
      <c r="A1146" s="22">
        <v>16615443</v>
      </c>
      <c r="B1146" s="4">
        <v>12170696</v>
      </c>
      <c r="C1146" s="4" t="str">
        <f t="shared" si="5"/>
        <v/>
      </c>
      <c r="D1146" s="4" t="s">
        <v>302</v>
      </c>
    </row>
    <row r="1147" spans="1:4" ht="15.75" customHeight="1">
      <c r="A1147" s="22">
        <v>23026615</v>
      </c>
      <c r="B1147" s="4">
        <v>10551163</v>
      </c>
      <c r="C1147" s="4" t="str">
        <f t="shared" si="5"/>
        <v/>
      </c>
      <c r="D1147" s="4" t="s">
        <v>302</v>
      </c>
    </row>
    <row r="1148" spans="1:4" ht="15.75" customHeight="1">
      <c r="A1148" s="22">
        <v>12654053</v>
      </c>
      <c r="B1148" s="4">
        <v>28746781</v>
      </c>
      <c r="C1148" s="4" t="str">
        <f t="shared" si="5"/>
        <v/>
      </c>
      <c r="D1148" s="4" t="s">
        <v>302</v>
      </c>
    </row>
    <row r="1149" spans="1:4" ht="15.75" customHeight="1">
      <c r="A1149" s="22">
        <v>8841033</v>
      </c>
      <c r="B1149" s="4">
        <v>10629599</v>
      </c>
      <c r="C1149" s="4" t="str">
        <f t="shared" si="5"/>
        <v/>
      </c>
      <c r="D1149" s="4" t="s">
        <v>302</v>
      </c>
    </row>
    <row r="1150" spans="1:4" ht="15.75" customHeight="1">
      <c r="A1150" s="22">
        <v>16615520</v>
      </c>
      <c r="B1150" s="4">
        <v>32808422</v>
      </c>
      <c r="C1150" s="4" t="str">
        <f t="shared" si="5"/>
        <v/>
      </c>
      <c r="D1150" s="4" t="s">
        <v>302</v>
      </c>
    </row>
    <row r="1151" spans="1:4" ht="15.75" customHeight="1">
      <c r="A1151" s="22">
        <v>7647283</v>
      </c>
      <c r="B1151" s="4">
        <v>10642809</v>
      </c>
      <c r="C1151" s="4" t="str">
        <f t="shared" si="5"/>
        <v/>
      </c>
      <c r="D1151" s="4" t="s">
        <v>302</v>
      </c>
    </row>
    <row r="1152" spans="1:4" ht="15.75" customHeight="1">
      <c r="A1152" s="22">
        <v>19556082</v>
      </c>
      <c r="B1152" s="4">
        <v>12655786</v>
      </c>
      <c r="C1152" s="4" t="str">
        <f t="shared" si="5"/>
        <v/>
      </c>
      <c r="D1152" s="4" t="s">
        <v>302</v>
      </c>
    </row>
    <row r="1153" spans="1:4" ht="15.75" customHeight="1">
      <c r="A1153" s="22">
        <v>9282715</v>
      </c>
      <c r="B1153" s="4">
        <v>1849315</v>
      </c>
      <c r="C1153" s="4" t="str">
        <f t="shared" si="5"/>
        <v/>
      </c>
      <c r="D1153" s="4" t="s">
        <v>302</v>
      </c>
    </row>
    <row r="1154" spans="1:4" ht="15.75" customHeight="1">
      <c r="A1154" s="22">
        <v>9159404</v>
      </c>
      <c r="B1154" s="4">
        <v>21296175</v>
      </c>
      <c r="C1154" s="4" t="str">
        <f t="shared" si="5"/>
        <v/>
      </c>
      <c r="D1154" s="4" t="s">
        <v>302</v>
      </c>
    </row>
    <row r="1155" spans="1:4" ht="15.75" customHeight="1">
      <c r="A1155" s="22">
        <v>12170696</v>
      </c>
      <c r="B1155" s="4">
        <v>28224486</v>
      </c>
      <c r="C1155" s="4" t="str">
        <f t="shared" si="5"/>
        <v/>
      </c>
      <c r="D1155" s="4" t="s">
        <v>302</v>
      </c>
    </row>
    <row r="1156" spans="1:4" ht="15.75" customHeight="1">
      <c r="A1156" s="22">
        <v>10629599</v>
      </c>
      <c r="B1156" s="4">
        <v>26399252</v>
      </c>
      <c r="C1156" s="4" t="str">
        <f t="shared" si="5"/>
        <v/>
      </c>
      <c r="D1156" s="4" t="s">
        <v>302</v>
      </c>
    </row>
    <row r="1157" spans="1:4" ht="15.75" customHeight="1">
      <c r="A1157" s="22">
        <v>12655786</v>
      </c>
      <c r="B1157" s="4">
        <v>14529887</v>
      </c>
      <c r="C1157" s="4" t="str">
        <f t="shared" si="5"/>
        <v/>
      </c>
      <c r="D1157" s="4" t="s">
        <v>302</v>
      </c>
    </row>
    <row r="1158" spans="1:4" ht="15.75" customHeight="1">
      <c r="A1158" s="22">
        <v>32808422</v>
      </c>
      <c r="B1158" s="4">
        <v>31876110</v>
      </c>
      <c r="C1158" s="4" t="str">
        <f t="shared" si="5"/>
        <v/>
      </c>
      <c r="D1158" s="4" t="s">
        <v>302</v>
      </c>
    </row>
    <row r="1159" spans="1:4" ht="15.75" customHeight="1">
      <c r="A1159" s="22">
        <v>10642809</v>
      </c>
      <c r="B1159" s="4">
        <v>15077022</v>
      </c>
      <c r="C1159" s="4" t="str">
        <f t="shared" si="5"/>
        <v/>
      </c>
      <c r="D1159" s="4" t="s">
        <v>302</v>
      </c>
    </row>
    <row r="1160" spans="1:4" ht="15.75" customHeight="1">
      <c r="A1160" s="22">
        <v>10551163</v>
      </c>
      <c r="B1160" s="4">
        <v>8598307</v>
      </c>
      <c r="C1160" s="4" t="str">
        <f t="shared" si="5"/>
        <v/>
      </c>
      <c r="D1160" s="4" t="s">
        <v>302</v>
      </c>
    </row>
    <row r="1161" spans="1:4" ht="15.75" customHeight="1">
      <c r="A1161" s="22">
        <v>21296175</v>
      </c>
      <c r="B1161" s="4">
        <v>15015596</v>
      </c>
      <c r="C1161" s="4" t="str">
        <f t="shared" si="5"/>
        <v/>
      </c>
      <c r="D1161" s="4" t="s">
        <v>302</v>
      </c>
    </row>
    <row r="1162" spans="1:4" ht="15.75" customHeight="1">
      <c r="A1162" s="22">
        <v>28746781</v>
      </c>
      <c r="B1162" s="4">
        <v>29936509</v>
      </c>
      <c r="C1162" s="4" t="str">
        <f t="shared" si="5"/>
        <v/>
      </c>
      <c r="D1162" s="4" t="s">
        <v>302</v>
      </c>
    </row>
    <row r="1163" spans="1:4" ht="15.75" customHeight="1">
      <c r="A1163" s="22">
        <v>28224486</v>
      </c>
      <c r="B1163" s="4">
        <v>8178493</v>
      </c>
      <c r="C1163" s="4" t="str">
        <f t="shared" si="5"/>
        <v/>
      </c>
      <c r="D1163" s="4" t="s">
        <v>302</v>
      </c>
    </row>
    <row r="1164" spans="1:4" ht="15.75" customHeight="1">
      <c r="A1164" s="22">
        <v>26399252</v>
      </c>
      <c r="B1164" s="4">
        <v>14556271</v>
      </c>
      <c r="C1164" s="4" t="str">
        <f t="shared" si="5"/>
        <v/>
      </c>
      <c r="D1164" s="4" t="s">
        <v>302</v>
      </c>
    </row>
    <row r="1165" spans="1:4" ht="15.75" customHeight="1">
      <c r="A1165" s="22">
        <v>1849315</v>
      </c>
      <c r="B1165" s="4">
        <v>11959192</v>
      </c>
      <c r="C1165" s="4" t="str">
        <f t="shared" si="5"/>
        <v/>
      </c>
      <c r="D1165" s="4" t="s">
        <v>302</v>
      </c>
    </row>
    <row r="1166" spans="1:4" ht="15.75" customHeight="1">
      <c r="A1166" s="22">
        <v>31876110</v>
      </c>
      <c r="B1166" s="4">
        <v>21549850</v>
      </c>
      <c r="C1166" s="4" t="str">
        <f t="shared" si="5"/>
        <v/>
      </c>
      <c r="D1166" s="4" t="s">
        <v>302</v>
      </c>
    </row>
    <row r="1167" spans="1:4" ht="15.75" customHeight="1">
      <c r="A1167" s="22">
        <v>15077022</v>
      </c>
      <c r="B1167" s="4">
        <v>17005699</v>
      </c>
      <c r="C1167" s="4" t="str">
        <f t="shared" si="5"/>
        <v/>
      </c>
      <c r="D1167" s="4" t="s">
        <v>302</v>
      </c>
    </row>
    <row r="1168" spans="1:4" ht="15.75" customHeight="1">
      <c r="A1168" s="22">
        <v>15015596</v>
      </c>
      <c r="B1168" s="4">
        <v>12123213</v>
      </c>
      <c r="C1168" s="4" t="str">
        <f t="shared" si="5"/>
        <v/>
      </c>
      <c r="D1168" s="4" t="s">
        <v>302</v>
      </c>
    </row>
    <row r="1169" spans="1:4" ht="15.75" customHeight="1">
      <c r="A1169" s="22">
        <v>29936509</v>
      </c>
      <c r="B1169" s="4">
        <v>12353194</v>
      </c>
      <c r="C1169" s="4" t="str">
        <f t="shared" si="5"/>
        <v/>
      </c>
      <c r="D1169" s="4" t="s">
        <v>302</v>
      </c>
    </row>
    <row r="1170" spans="1:4" ht="15.75" customHeight="1">
      <c r="A1170" s="22">
        <v>8178493</v>
      </c>
      <c r="B1170" s="4">
        <v>8584318</v>
      </c>
      <c r="C1170" s="4" t="str">
        <f t="shared" si="5"/>
        <v/>
      </c>
      <c r="D1170" s="4" t="s">
        <v>302</v>
      </c>
    </row>
    <row r="1171" spans="1:4" ht="15.75" customHeight="1">
      <c r="A1171" s="22">
        <v>14529887</v>
      </c>
      <c r="B1171" s="4">
        <v>24749313</v>
      </c>
      <c r="C1171" s="4" t="str">
        <f t="shared" si="5"/>
        <v/>
      </c>
      <c r="D1171" s="4" t="s">
        <v>302</v>
      </c>
    </row>
    <row r="1172" spans="1:4" ht="15.75" customHeight="1">
      <c r="A1172" s="22">
        <v>14556271</v>
      </c>
      <c r="B1172" s="4">
        <v>15050166</v>
      </c>
      <c r="C1172" s="4" t="str">
        <f t="shared" si="5"/>
        <v/>
      </c>
      <c r="D1172" s="4" t="s">
        <v>302</v>
      </c>
    </row>
    <row r="1173" spans="1:4" ht="15.75" customHeight="1">
      <c r="A1173" s="22">
        <v>11959192</v>
      </c>
      <c r="B1173" s="4">
        <v>7736391</v>
      </c>
      <c r="C1173" s="4" t="str">
        <f t="shared" si="5"/>
        <v/>
      </c>
      <c r="D1173" s="4" t="s">
        <v>302</v>
      </c>
    </row>
    <row r="1174" spans="1:4" ht="15.75" customHeight="1">
      <c r="A1174" s="22">
        <v>8598307</v>
      </c>
      <c r="B1174" s="4">
        <v>1375131</v>
      </c>
      <c r="C1174" s="4" t="str">
        <f t="shared" si="5"/>
        <v/>
      </c>
      <c r="D1174" s="4" t="s">
        <v>302</v>
      </c>
    </row>
    <row r="1175" spans="1:4" ht="15.75" customHeight="1">
      <c r="A1175" s="22">
        <v>17005699</v>
      </c>
      <c r="B1175" s="4">
        <v>10680737</v>
      </c>
      <c r="C1175" s="4" t="str">
        <f t="shared" si="5"/>
        <v/>
      </c>
      <c r="D1175" s="4" t="s">
        <v>302</v>
      </c>
    </row>
    <row r="1176" spans="1:4" ht="15.75" customHeight="1">
      <c r="A1176" s="22">
        <v>12353194</v>
      </c>
      <c r="B1176" s="4">
        <v>11285565</v>
      </c>
      <c r="C1176" s="4" t="str">
        <f t="shared" si="5"/>
        <v/>
      </c>
      <c r="D1176" s="4" t="s">
        <v>302</v>
      </c>
    </row>
    <row r="1177" spans="1:4" ht="15.75" customHeight="1">
      <c r="A1177" s="22">
        <v>24749313</v>
      </c>
      <c r="B1177" s="4">
        <v>12757622</v>
      </c>
      <c r="C1177" s="4" t="str">
        <f t="shared" si="5"/>
        <v/>
      </c>
      <c r="D1177" s="4" t="s">
        <v>302</v>
      </c>
    </row>
    <row r="1178" spans="1:4" ht="15.75" customHeight="1">
      <c r="A1178" s="22">
        <v>7736391</v>
      </c>
      <c r="B1178" s="4">
        <v>12041676</v>
      </c>
      <c r="C1178" s="4" t="str">
        <f t="shared" si="5"/>
        <v/>
      </c>
      <c r="D1178" s="4" t="s">
        <v>302</v>
      </c>
    </row>
    <row r="1179" spans="1:4" ht="15.75" customHeight="1">
      <c r="A1179" s="22">
        <v>15050166</v>
      </c>
      <c r="B1179" s="4">
        <v>16177086</v>
      </c>
      <c r="C1179" s="4" t="str">
        <f t="shared" si="5"/>
        <v/>
      </c>
      <c r="D1179" s="4" t="s">
        <v>302</v>
      </c>
    </row>
    <row r="1180" spans="1:4" ht="15.75" customHeight="1">
      <c r="A1180" s="22">
        <v>21549850</v>
      </c>
      <c r="B1180" s="4">
        <v>16305617</v>
      </c>
      <c r="C1180" s="4" t="str">
        <f t="shared" si="5"/>
        <v/>
      </c>
      <c r="D1180" s="4" t="s">
        <v>302</v>
      </c>
    </row>
    <row r="1181" spans="1:4" ht="15.75" customHeight="1">
      <c r="A1181" s="22">
        <v>12123213</v>
      </c>
      <c r="B1181" s="4">
        <v>21358680</v>
      </c>
      <c r="C1181" s="4" t="str">
        <f t="shared" si="5"/>
        <v/>
      </c>
      <c r="D1181" s="4" t="s">
        <v>302</v>
      </c>
    </row>
    <row r="1182" spans="1:4" ht="15.75" customHeight="1">
      <c r="A1182" s="22">
        <v>1375131</v>
      </c>
      <c r="B1182" s="4">
        <v>9037664</v>
      </c>
      <c r="C1182" s="4" t="str">
        <f t="shared" si="5"/>
        <v/>
      </c>
      <c r="D1182" s="4" t="s">
        <v>302</v>
      </c>
    </row>
    <row r="1183" spans="1:4" ht="15.75" customHeight="1">
      <c r="A1183" s="22">
        <v>10680737</v>
      </c>
      <c r="B1183" s="4">
        <v>20979645</v>
      </c>
      <c r="C1183" s="4" t="str">
        <f t="shared" si="5"/>
        <v/>
      </c>
      <c r="D1183" s="4" t="s">
        <v>302</v>
      </c>
    </row>
    <row r="1184" spans="1:4" ht="15.75" customHeight="1">
      <c r="A1184" s="22">
        <v>8584318</v>
      </c>
      <c r="B1184" s="4">
        <v>10918273</v>
      </c>
      <c r="C1184" s="4" t="str">
        <f t="shared" si="5"/>
        <v/>
      </c>
      <c r="D1184" s="4" t="s">
        <v>302</v>
      </c>
    </row>
    <row r="1185" spans="1:4" ht="15.75" customHeight="1">
      <c r="A1185" s="22">
        <v>11285565</v>
      </c>
      <c r="B1185" s="4">
        <v>8397041</v>
      </c>
      <c r="C1185" s="4" t="str">
        <f t="shared" si="5"/>
        <v/>
      </c>
      <c r="D1185" s="4" t="s">
        <v>302</v>
      </c>
    </row>
    <row r="1186" spans="1:4" ht="15.75" customHeight="1">
      <c r="A1186" s="22">
        <v>12757622</v>
      </c>
      <c r="B1186" s="4">
        <v>30256500</v>
      </c>
      <c r="C1186" s="4" t="str">
        <f t="shared" si="5"/>
        <v/>
      </c>
      <c r="D1186" s="4" t="s">
        <v>302</v>
      </c>
    </row>
    <row r="1187" spans="1:4" ht="15.75" customHeight="1">
      <c r="A1187" s="22">
        <v>12041676</v>
      </c>
      <c r="B1187" s="4">
        <v>20500695</v>
      </c>
      <c r="C1187" s="4" t="str">
        <f t="shared" si="5"/>
        <v/>
      </c>
      <c r="D1187" s="4" t="s">
        <v>302</v>
      </c>
    </row>
    <row r="1188" spans="1:4" ht="15.75" customHeight="1">
      <c r="A1188" s="22">
        <v>16305617</v>
      </c>
      <c r="B1188" s="4">
        <v>15494709</v>
      </c>
      <c r="C1188" s="4" t="str">
        <f t="shared" si="5"/>
        <v/>
      </c>
      <c r="D1188" s="4" t="s">
        <v>302</v>
      </c>
    </row>
    <row r="1189" spans="1:4" ht="15.75" customHeight="1">
      <c r="A1189" s="22">
        <v>16177086</v>
      </c>
      <c r="B1189" s="4">
        <v>16858271</v>
      </c>
      <c r="C1189" s="4" t="str">
        <f t="shared" si="5"/>
        <v/>
      </c>
      <c r="D1189" s="4" t="s">
        <v>302</v>
      </c>
    </row>
    <row r="1190" spans="1:4" ht="15.75" customHeight="1">
      <c r="A1190" s="22">
        <v>21358680</v>
      </c>
      <c r="B1190" s="4">
        <v>20853075</v>
      </c>
      <c r="C1190" s="4" t="str">
        <f t="shared" si="5"/>
        <v/>
      </c>
      <c r="D1190" s="4" t="s">
        <v>302</v>
      </c>
    </row>
    <row r="1191" spans="1:4" ht="15.75" customHeight="1">
      <c r="A1191" s="22">
        <v>9037664</v>
      </c>
      <c r="B1191" s="4">
        <v>12009660</v>
      </c>
      <c r="C1191" s="4" t="str">
        <f t="shared" si="5"/>
        <v/>
      </c>
      <c r="D1191" s="4" t="s">
        <v>302</v>
      </c>
    </row>
    <row r="1192" spans="1:4" ht="15.75" customHeight="1">
      <c r="A1192" s="22">
        <v>20979645</v>
      </c>
      <c r="B1192" s="4">
        <v>11706967</v>
      </c>
      <c r="C1192" s="4" t="str">
        <f t="shared" si="5"/>
        <v/>
      </c>
      <c r="D1192" s="4" t="s">
        <v>302</v>
      </c>
    </row>
    <row r="1193" spans="1:4" ht="15.75" customHeight="1">
      <c r="A1193" s="22">
        <v>10918273</v>
      </c>
      <c r="B1193" s="4">
        <v>17092696</v>
      </c>
      <c r="C1193" s="4" t="str">
        <f t="shared" si="5"/>
        <v/>
      </c>
      <c r="D1193" s="4" t="s">
        <v>302</v>
      </c>
    </row>
    <row r="1194" spans="1:4" ht="15.75" customHeight="1">
      <c r="A1194" s="22">
        <v>8397041</v>
      </c>
      <c r="B1194" s="4">
        <v>29197110</v>
      </c>
      <c r="C1194" s="4" t="str">
        <f t="shared" si="5"/>
        <v/>
      </c>
      <c r="D1194" s="4" t="s">
        <v>302</v>
      </c>
    </row>
    <row r="1195" spans="1:4" ht="15.75" customHeight="1">
      <c r="A1195" s="22">
        <v>20500695</v>
      </c>
      <c r="B1195" s="4">
        <v>27772620</v>
      </c>
      <c r="C1195" s="4" t="str">
        <f t="shared" si="5"/>
        <v/>
      </c>
      <c r="D1195" s="4" t="s">
        <v>302</v>
      </c>
    </row>
    <row r="1196" spans="1:4" ht="15.75" customHeight="1">
      <c r="A1196" s="22">
        <v>15494709</v>
      </c>
      <c r="B1196" s="4">
        <v>18277595</v>
      </c>
      <c r="C1196" s="4" t="str">
        <f t="shared" si="5"/>
        <v/>
      </c>
      <c r="D1196" s="4" t="s">
        <v>302</v>
      </c>
    </row>
    <row r="1197" spans="1:4" ht="15.75" customHeight="1">
      <c r="A1197" s="22">
        <v>30256500</v>
      </c>
      <c r="B1197" s="4">
        <v>10827485</v>
      </c>
      <c r="C1197" s="4" t="str">
        <f t="shared" si="5"/>
        <v/>
      </c>
      <c r="D1197" s="4" t="s">
        <v>302</v>
      </c>
    </row>
    <row r="1198" spans="1:4" ht="15.75" customHeight="1">
      <c r="A1198" s="22">
        <v>16858271</v>
      </c>
      <c r="B1198" s="4">
        <v>19843234</v>
      </c>
      <c r="C1198" s="4" t="str">
        <f t="shared" si="5"/>
        <v/>
      </c>
      <c r="D1198" s="4" t="s">
        <v>302</v>
      </c>
    </row>
    <row r="1199" spans="1:4" ht="15.75" customHeight="1">
      <c r="A1199" s="22">
        <v>20853075</v>
      </c>
      <c r="B1199" s="4">
        <v>15010521</v>
      </c>
      <c r="C1199" s="4" t="str">
        <f t="shared" si="5"/>
        <v/>
      </c>
      <c r="D1199" s="4" t="s">
        <v>302</v>
      </c>
    </row>
    <row r="1200" spans="1:4" ht="15.75" customHeight="1">
      <c r="A1200" s="22">
        <v>12009660</v>
      </c>
      <c r="B1200" s="4">
        <v>25564483</v>
      </c>
      <c r="C1200" s="4" t="str">
        <f t="shared" si="5"/>
        <v/>
      </c>
      <c r="D1200" s="4" t="s">
        <v>302</v>
      </c>
    </row>
    <row r="1201" spans="1:4" ht="15.75" customHeight="1">
      <c r="A1201" s="22">
        <v>17092696</v>
      </c>
      <c r="B1201" s="4">
        <v>22388278</v>
      </c>
      <c r="C1201" s="4" t="str">
        <f t="shared" si="5"/>
        <v/>
      </c>
      <c r="D1201" s="4" t="s">
        <v>302</v>
      </c>
    </row>
    <row r="1202" spans="1:4" ht="15.75" customHeight="1">
      <c r="A1202" s="22">
        <v>29197110</v>
      </c>
      <c r="B1202" s="4">
        <v>25656804</v>
      </c>
      <c r="C1202" s="4" t="str">
        <f t="shared" si="5"/>
        <v/>
      </c>
      <c r="D1202" s="4" t="s">
        <v>302</v>
      </c>
    </row>
    <row r="1203" spans="1:4" ht="15.75" customHeight="1">
      <c r="A1203" s="22">
        <v>27772620</v>
      </c>
      <c r="B1203" s="4">
        <v>9328116</v>
      </c>
      <c r="C1203" s="4" t="str">
        <f t="shared" si="5"/>
        <v/>
      </c>
      <c r="D1203" s="4" t="s">
        <v>302</v>
      </c>
    </row>
    <row r="1204" spans="1:4" ht="15.75" customHeight="1">
      <c r="A1204" s="22">
        <v>18277595</v>
      </c>
      <c r="B1204" s="4">
        <v>12520651</v>
      </c>
      <c r="C1204" s="4" t="str">
        <f t="shared" si="5"/>
        <v/>
      </c>
      <c r="D1204" s="4" t="s">
        <v>302</v>
      </c>
    </row>
    <row r="1205" spans="1:4" ht="15.75" customHeight="1">
      <c r="A1205" s="22">
        <v>10827485</v>
      </c>
      <c r="B1205" s="4">
        <v>23220782</v>
      </c>
      <c r="C1205" s="4" t="str">
        <f t="shared" si="5"/>
        <v/>
      </c>
      <c r="D1205" s="4" t="s">
        <v>302</v>
      </c>
    </row>
    <row r="1206" spans="1:4" ht="15.75" customHeight="1">
      <c r="A1206" s="22">
        <v>11706967</v>
      </c>
      <c r="B1206" s="4">
        <v>12581135</v>
      </c>
      <c r="C1206" s="4" t="str">
        <f t="shared" si="5"/>
        <v/>
      </c>
      <c r="D1206" s="4" t="s">
        <v>302</v>
      </c>
    </row>
    <row r="1207" spans="1:4" ht="15.75" customHeight="1">
      <c r="A1207" s="22">
        <v>19843234</v>
      </c>
      <c r="B1207" s="4">
        <v>28820014</v>
      </c>
      <c r="C1207" s="4" t="str">
        <f t="shared" si="5"/>
        <v/>
      </c>
      <c r="D1207" s="4" t="s">
        <v>302</v>
      </c>
    </row>
    <row r="1208" spans="1:4" ht="15.75" customHeight="1">
      <c r="A1208" s="22">
        <v>25564483</v>
      </c>
      <c r="B1208" s="4">
        <v>25239996</v>
      </c>
      <c r="C1208" s="4" t="str">
        <f t="shared" si="5"/>
        <v/>
      </c>
      <c r="D1208" s="4" t="s">
        <v>302</v>
      </c>
    </row>
    <row r="1209" spans="1:4" ht="15.75" customHeight="1">
      <c r="A1209" s="22">
        <v>22388278</v>
      </c>
      <c r="B1209" s="4">
        <v>30572622</v>
      </c>
      <c r="C1209" s="4" t="str">
        <f t="shared" si="5"/>
        <v/>
      </c>
      <c r="D1209" s="4" t="s">
        <v>302</v>
      </c>
    </row>
    <row r="1210" spans="1:4" ht="15.75" customHeight="1">
      <c r="A1210" s="22">
        <v>15010521</v>
      </c>
      <c r="B1210" s="4">
        <v>7917866</v>
      </c>
      <c r="C1210" s="4" t="str">
        <f t="shared" si="5"/>
        <v/>
      </c>
      <c r="D1210" s="4" t="s">
        <v>302</v>
      </c>
    </row>
    <row r="1211" spans="1:4" ht="15.75" customHeight="1">
      <c r="A1211" s="22">
        <v>25656804</v>
      </c>
      <c r="B1211" s="4">
        <v>25576704</v>
      </c>
      <c r="C1211" s="4" t="str">
        <f t="shared" si="5"/>
        <v/>
      </c>
      <c r="D1211" s="4" t="s">
        <v>302</v>
      </c>
    </row>
    <row r="1212" spans="1:4" ht="15.75" customHeight="1">
      <c r="A1212" s="22">
        <v>12520651</v>
      </c>
      <c r="B1212" s="4">
        <v>16528368</v>
      </c>
      <c r="C1212" s="4" t="str">
        <f t="shared" si="5"/>
        <v/>
      </c>
      <c r="D1212" s="4" t="s">
        <v>302</v>
      </c>
    </row>
    <row r="1213" spans="1:4" ht="15.75" customHeight="1">
      <c r="A1213" s="22">
        <v>9328116</v>
      </c>
      <c r="B1213" s="4">
        <v>19915376</v>
      </c>
      <c r="C1213" s="4" t="str">
        <f t="shared" si="5"/>
        <v/>
      </c>
      <c r="D1213" s="4" t="s">
        <v>302</v>
      </c>
    </row>
    <row r="1214" spans="1:4" ht="15.75" customHeight="1">
      <c r="A1214" s="22">
        <v>12581135</v>
      </c>
      <c r="B1214" s="4">
        <v>18286574</v>
      </c>
      <c r="C1214" s="4" t="str">
        <f t="shared" si="5"/>
        <v/>
      </c>
      <c r="D1214" s="4" t="s">
        <v>302</v>
      </c>
    </row>
    <row r="1215" spans="1:4" ht="15.75" customHeight="1">
      <c r="A1215" s="22">
        <v>23220782</v>
      </c>
      <c r="B1215" s="4">
        <v>12422078</v>
      </c>
      <c r="C1215" s="4" t="str">
        <f t="shared" si="5"/>
        <v/>
      </c>
      <c r="D1215" s="4" t="s">
        <v>302</v>
      </c>
    </row>
    <row r="1216" spans="1:4" ht="15.75" customHeight="1">
      <c r="A1216" s="22">
        <v>28820014</v>
      </c>
      <c r="B1216" s="4">
        <v>10092832</v>
      </c>
      <c r="C1216" s="4" t="str">
        <f t="shared" si="5"/>
        <v/>
      </c>
      <c r="D1216" s="4" t="s">
        <v>302</v>
      </c>
    </row>
    <row r="1217" spans="1:4" ht="15.75" customHeight="1">
      <c r="A1217" s="22">
        <v>30572622</v>
      </c>
      <c r="B1217" s="4">
        <v>8938162</v>
      </c>
      <c r="C1217" s="4" t="str">
        <f t="shared" si="5"/>
        <v/>
      </c>
      <c r="D1217" s="4" t="s">
        <v>302</v>
      </c>
    </row>
    <row r="1218" spans="1:4" ht="15.75" customHeight="1">
      <c r="A1218" s="22">
        <v>25239996</v>
      </c>
      <c r="B1218" s="4">
        <v>16134192</v>
      </c>
      <c r="C1218" s="4" t="str">
        <f t="shared" si="5"/>
        <v/>
      </c>
      <c r="D1218" s="4" t="s">
        <v>302</v>
      </c>
    </row>
    <row r="1219" spans="1:4" ht="15.75" customHeight="1">
      <c r="A1219" s="22">
        <v>7917866</v>
      </c>
      <c r="B1219" s="4">
        <v>17189225</v>
      </c>
      <c r="C1219" s="4" t="str">
        <f t="shared" si="5"/>
        <v/>
      </c>
      <c r="D1219" s="4" t="s">
        <v>302</v>
      </c>
    </row>
    <row r="1220" spans="1:4" ht="15.75" customHeight="1">
      <c r="A1220" s="22">
        <v>25576704</v>
      </c>
      <c r="B1220" s="4">
        <v>7893989</v>
      </c>
      <c r="C1220" s="4" t="str">
        <f t="shared" si="5"/>
        <v/>
      </c>
      <c r="D1220" s="4" t="s">
        <v>302</v>
      </c>
    </row>
    <row r="1221" spans="1:4" ht="15.75" customHeight="1">
      <c r="A1221" s="22">
        <v>19915376</v>
      </c>
      <c r="B1221" s="4">
        <v>31785234</v>
      </c>
      <c r="C1221" s="4" t="str">
        <f t="shared" si="5"/>
        <v/>
      </c>
      <c r="D1221" s="4" t="s">
        <v>302</v>
      </c>
    </row>
    <row r="1222" spans="1:4" ht="15.75" customHeight="1">
      <c r="A1222" s="22">
        <v>16528368</v>
      </c>
      <c r="B1222" s="4">
        <v>22705183</v>
      </c>
      <c r="C1222" s="4" t="str">
        <f t="shared" si="5"/>
        <v/>
      </c>
      <c r="D1222" s="4" t="s">
        <v>302</v>
      </c>
    </row>
    <row r="1223" spans="1:4" ht="15.75" customHeight="1">
      <c r="A1223" s="22">
        <v>18286574</v>
      </c>
      <c r="B1223" s="4">
        <v>9688454</v>
      </c>
      <c r="C1223" s="4" t="str">
        <f t="shared" si="5"/>
        <v/>
      </c>
      <c r="D1223" s="4" t="s">
        <v>302</v>
      </c>
    </row>
    <row r="1224" spans="1:4" ht="15.75" customHeight="1">
      <c r="A1224" s="22">
        <v>10092832</v>
      </c>
      <c r="B1224" s="4">
        <v>31397803</v>
      </c>
      <c r="C1224" s="4" t="str">
        <f t="shared" si="5"/>
        <v/>
      </c>
      <c r="D1224" s="4" t="s">
        <v>302</v>
      </c>
    </row>
    <row r="1225" spans="1:4" ht="15.75" customHeight="1">
      <c r="A1225" s="22">
        <v>12422078</v>
      </c>
      <c r="B1225" s="4">
        <v>23498824</v>
      </c>
      <c r="C1225" s="4" t="str">
        <f t="shared" si="5"/>
        <v/>
      </c>
      <c r="D1225" s="4" t="s">
        <v>302</v>
      </c>
    </row>
    <row r="1226" spans="1:4" ht="15.75" customHeight="1">
      <c r="A1226" s="22">
        <v>8938162</v>
      </c>
      <c r="B1226" s="4">
        <v>8707578</v>
      </c>
      <c r="C1226" s="4" t="str">
        <f t="shared" si="5"/>
        <v/>
      </c>
      <c r="D1226" s="4" t="s">
        <v>302</v>
      </c>
    </row>
    <row r="1227" spans="1:4" ht="15.75" customHeight="1">
      <c r="A1227" s="22">
        <v>16134192</v>
      </c>
      <c r="B1227" s="4">
        <v>25629987</v>
      </c>
      <c r="C1227" s="4" t="str">
        <f t="shared" si="5"/>
        <v/>
      </c>
      <c r="D1227" s="4" t="s">
        <v>302</v>
      </c>
    </row>
    <row r="1228" spans="1:4" ht="15.75" customHeight="1">
      <c r="A1228" s="22">
        <v>17189225</v>
      </c>
      <c r="B1228" s="4">
        <v>24919177</v>
      </c>
      <c r="C1228" s="4" t="str">
        <f t="shared" si="5"/>
        <v/>
      </c>
      <c r="D1228" s="4" t="s">
        <v>302</v>
      </c>
    </row>
    <row r="1229" spans="1:4" ht="15.75" customHeight="1">
      <c r="A1229" s="22">
        <v>7893989</v>
      </c>
      <c r="B1229" s="4">
        <v>23516318</v>
      </c>
      <c r="C1229" s="4" t="str">
        <f t="shared" si="5"/>
        <v/>
      </c>
      <c r="D1229" s="4" t="s">
        <v>302</v>
      </c>
    </row>
    <row r="1230" spans="1:4" ht="15.75" customHeight="1">
      <c r="A1230" s="22">
        <v>31785234</v>
      </c>
      <c r="B1230" s="4">
        <v>26444787</v>
      </c>
      <c r="C1230" s="4" t="str">
        <f t="shared" si="5"/>
        <v/>
      </c>
      <c r="D1230" s="4" t="s">
        <v>302</v>
      </c>
    </row>
    <row r="1231" spans="1:4" ht="15.75" customHeight="1">
      <c r="A1231" s="22">
        <v>22705183</v>
      </c>
      <c r="B1231" s="4">
        <v>17620548</v>
      </c>
      <c r="C1231" s="4" t="str">
        <f t="shared" si="5"/>
        <v/>
      </c>
      <c r="D1231" s="4" t="s">
        <v>302</v>
      </c>
    </row>
    <row r="1232" spans="1:4" ht="15.75" customHeight="1">
      <c r="A1232" s="22">
        <v>9688454</v>
      </c>
      <c r="B1232" s="4">
        <v>20600868</v>
      </c>
      <c r="C1232" s="4" t="str">
        <f t="shared" si="5"/>
        <v/>
      </c>
      <c r="D1232" s="4" t="s">
        <v>302</v>
      </c>
    </row>
    <row r="1233" spans="1:4" ht="15.75" customHeight="1">
      <c r="A1233" s="22">
        <v>31397803</v>
      </c>
      <c r="B1233" s="4">
        <v>21348133</v>
      </c>
      <c r="C1233" s="4" t="str">
        <f t="shared" si="5"/>
        <v/>
      </c>
      <c r="D1233" s="4" t="s">
        <v>302</v>
      </c>
    </row>
    <row r="1234" spans="1:4" ht="15.75" customHeight="1">
      <c r="A1234" s="22">
        <v>23498824</v>
      </c>
      <c r="B1234" s="4">
        <v>16218029</v>
      </c>
      <c r="C1234" s="4" t="str">
        <f t="shared" si="5"/>
        <v/>
      </c>
      <c r="D1234" s="4" t="s">
        <v>302</v>
      </c>
    </row>
    <row r="1235" spans="1:4" ht="15.75" customHeight="1">
      <c r="A1235" s="22">
        <v>25629987</v>
      </c>
      <c r="B1235" s="4">
        <v>9723401</v>
      </c>
      <c r="C1235" s="4" t="str">
        <f t="shared" si="5"/>
        <v/>
      </c>
      <c r="D1235" s="4" t="s">
        <v>302</v>
      </c>
    </row>
    <row r="1236" spans="1:4" ht="15.75" customHeight="1">
      <c r="A1236" s="22">
        <v>24919177</v>
      </c>
      <c r="B1236" s="4">
        <v>11867006</v>
      </c>
      <c r="C1236" s="4" t="str">
        <f t="shared" si="5"/>
        <v/>
      </c>
      <c r="D1236" s="4" t="s">
        <v>302</v>
      </c>
    </row>
    <row r="1237" spans="1:4" ht="15.75" customHeight="1">
      <c r="A1237" s="22">
        <v>8707578</v>
      </c>
      <c r="B1237" s="4">
        <v>15504215</v>
      </c>
      <c r="C1237" s="4" t="str">
        <f t="shared" si="5"/>
        <v/>
      </c>
      <c r="D1237" s="4" t="s">
        <v>302</v>
      </c>
    </row>
    <row r="1238" spans="1:4" ht="15.75" customHeight="1">
      <c r="A1238" s="22">
        <v>26444787</v>
      </c>
      <c r="B1238" s="4">
        <v>12680203</v>
      </c>
      <c r="C1238" s="4" t="str">
        <f t="shared" si="5"/>
        <v/>
      </c>
      <c r="D1238" s="4" t="s">
        <v>302</v>
      </c>
    </row>
    <row r="1239" spans="1:4" ht="15.75" customHeight="1">
      <c r="A1239" s="22">
        <v>23516318</v>
      </c>
      <c r="B1239" s="4">
        <v>10083199</v>
      </c>
      <c r="C1239" s="4" t="str">
        <f t="shared" si="5"/>
        <v/>
      </c>
      <c r="D1239" s="4" t="s">
        <v>302</v>
      </c>
    </row>
    <row r="1240" spans="1:4" ht="15.75" customHeight="1">
      <c r="A1240" s="22">
        <v>17620548</v>
      </c>
      <c r="B1240" s="4">
        <v>29163428</v>
      </c>
      <c r="C1240" s="4" t="str">
        <f t="shared" si="5"/>
        <v/>
      </c>
      <c r="D1240" s="4" t="s">
        <v>302</v>
      </c>
    </row>
    <row r="1241" spans="1:4" ht="15.75" customHeight="1">
      <c r="A1241" s="22">
        <v>20600868</v>
      </c>
      <c r="B1241" s="4">
        <v>11866997</v>
      </c>
      <c r="C1241" s="4" t="str">
        <f t="shared" si="5"/>
        <v/>
      </c>
      <c r="D1241" s="4" t="s">
        <v>302</v>
      </c>
    </row>
    <row r="1242" spans="1:4" ht="15.75" customHeight="1">
      <c r="A1242" s="22">
        <v>16218029</v>
      </c>
      <c r="B1242" s="4">
        <v>11173737</v>
      </c>
      <c r="C1242" s="4" t="str">
        <f t="shared" si="5"/>
        <v/>
      </c>
      <c r="D1242" s="4" t="s">
        <v>302</v>
      </c>
    </row>
    <row r="1243" spans="1:4" ht="15.75" customHeight="1">
      <c r="A1243" s="22">
        <v>21348133</v>
      </c>
      <c r="B1243" s="4">
        <v>9404935</v>
      </c>
      <c r="C1243" s="4" t="str">
        <f t="shared" si="5"/>
        <v/>
      </c>
      <c r="D1243" s="4" t="s">
        <v>302</v>
      </c>
    </row>
    <row r="1244" spans="1:4" ht="15.75" customHeight="1">
      <c r="A1244" s="22">
        <v>9723401</v>
      </c>
      <c r="B1244" s="4">
        <v>21348064</v>
      </c>
      <c r="C1244" s="4" t="str">
        <f t="shared" si="5"/>
        <v/>
      </c>
      <c r="D1244" s="4" t="s">
        <v>302</v>
      </c>
    </row>
    <row r="1245" spans="1:4" ht="15.75" customHeight="1">
      <c r="A1245" s="22">
        <v>11867006</v>
      </c>
      <c r="B1245" s="4">
        <v>8525373</v>
      </c>
      <c r="C1245" s="4" t="str">
        <f t="shared" si="5"/>
        <v/>
      </c>
      <c r="D1245" s="4" t="s">
        <v>302</v>
      </c>
    </row>
    <row r="1246" spans="1:4" ht="15.75" customHeight="1">
      <c r="A1246" s="22">
        <v>15504215</v>
      </c>
      <c r="B1246" s="4">
        <v>7601254</v>
      </c>
      <c r="C1246" s="4" t="str">
        <f t="shared" si="5"/>
        <v/>
      </c>
      <c r="D1246" s="4" t="s">
        <v>302</v>
      </c>
    </row>
    <row r="1247" spans="1:4" ht="15.75" customHeight="1">
      <c r="A1247" s="22">
        <v>12680203</v>
      </c>
      <c r="B1247" s="4">
        <v>8962253</v>
      </c>
      <c r="C1247" s="4" t="str">
        <f t="shared" si="5"/>
        <v/>
      </c>
      <c r="D1247" s="4" t="s">
        <v>302</v>
      </c>
    </row>
    <row r="1248" spans="1:4" ht="15.75" customHeight="1">
      <c r="A1248" s="22">
        <v>27522040</v>
      </c>
      <c r="B1248" s="4">
        <v>34900488</v>
      </c>
      <c r="C1248" s="4" t="str">
        <f t="shared" si="5"/>
        <v/>
      </c>
      <c r="D1248" s="4" t="s">
        <v>302</v>
      </c>
    </row>
    <row r="1249" spans="1:4" ht="15.75" customHeight="1">
      <c r="A1249" s="22">
        <v>10083199</v>
      </c>
      <c r="B1249" s="4">
        <v>16918534</v>
      </c>
      <c r="C1249" s="4" t="str">
        <f t="shared" si="5"/>
        <v/>
      </c>
      <c r="D1249" s="4" t="s">
        <v>302</v>
      </c>
    </row>
    <row r="1250" spans="1:4" ht="15.75" customHeight="1">
      <c r="A1250" s="22">
        <v>29163428</v>
      </c>
      <c r="B1250" s="4">
        <v>29667291</v>
      </c>
      <c r="C1250" s="4" t="str">
        <f t="shared" si="5"/>
        <v/>
      </c>
      <c r="D1250" s="4" t="s">
        <v>302</v>
      </c>
    </row>
    <row r="1251" spans="1:4" ht="15.75" customHeight="1">
      <c r="A1251" s="22">
        <v>11173737</v>
      </c>
      <c r="B1251" s="4">
        <v>16213350</v>
      </c>
      <c r="C1251" s="4" t="str">
        <f t="shared" si="5"/>
        <v/>
      </c>
      <c r="D1251" s="4" t="s">
        <v>302</v>
      </c>
    </row>
    <row r="1252" spans="1:4" ht="15.75" customHeight="1">
      <c r="A1252" s="22">
        <v>9404935</v>
      </c>
      <c r="B1252" s="4">
        <v>21331905</v>
      </c>
      <c r="C1252" s="4" t="str">
        <f t="shared" si="5"/>
        <v/>
      </c>
      <c r="D1252" s="4" t="s">
        <v>302</v>
      </c>
    </row>
    <row r="1253" spans="1:4" ht="15.75" customHeight="1">
      <c r="A1253" s="22">
        <v>11866997</v>
      </c>
      <c r="B1253" s="4">
        <v>21302114</v>
      </c>
      <c r="C1253" s="4" t="str">
        <f t="shared" si="5"/>
        <v/>
      </c>
      <c r="D1253" s="4" t="s">
        <v>302</v>
      </c>
    </row>
    <row r="1254" spans="1:4" ht="15.75" customHeight="1">
      <c r="A1254" s="22">
        <v>8525373</v>
      </c>
      <c r="B1254" s="4">
        <v>11406259</v>
      </c>
      <c r="C1254" s="4" t="str">
        <f t="shared" si="5"/>
        <v/>
      </c>
      <c r="D1254" s="4" t="s">
        <v>302</v>
      </c>
    </row>
    <row r="1255" spans="1:4" ht="15.75" customHeight="1">
      <c r="A1255" s="22">
        <v>21348064</v>
      </c>
      <c r="B1255" s="4">
        <v>12100127</v>
      </c>
      <c r="C1255" s="4" t="str">
        <f t="shared" si="5"/>
        <v/>
      </c>
      <c r="D1255" s="4" t="s">
        <v>302</v>
      </c>
    </row>
    <row r="1256" spans="1:4" ht="15.75" customHeight="1">
      <c r="A1256" s="22">
        <v>7601254</v>
      </c>
      <c r="B1256" s="4">
        <v>19509026</v>
      </c>
      <c r="C1256" s="4" t="str">
        <f t="shared" si="5"/>
        <v/>
      </c>
      <c r="D1256" s="4" t="s">
        <v>302</v>
      </c>
    </row>
    <row r="1257" spans="1:4" ht="15.75" customHeight="1">
      <c r="A1257" s="22">
        <v>8962253</v>
      </c>
      <c r="B1257" s="4">
        <v>27263776</v>
      </c>
      <c r="C1257" s="4" t="str">
        <f t="shared" si="5"/>
        <v/>
      </c>
      <c r="D1257" s="4" t="s">
        <v>302</v>
      </c>
    </row>
    <row r="1258" spans="1:4" ht="15.75" customHeight="1">
      <c r="A1258" s="22">
        <v>16918534</v>
      </c>
      <c r="B1258" s="4">
        <v>37346032</v>
      </c>
      <c r="C1258" s="4" t="str">
        <f t="shared" si="5"/>
        <v/>
      </c>
      <c r="D1258" s="4" t="s">
        <v>302</v>
      </c>
    </row>
    <row r="1259" spans="1:4" ht="15.75" customHeight="1">
      <c r="A1259" s="22">
        <v>29667291</v>
      </c>
      <c r="B1259" s="4">
        <v>27522040</v>
      </c>
      <c r="C1259" s="4" t="str">
        <f t="shared" si="5"/>
        <v/>
      </c>
      <c r="D1259" s="4" t="s">
        <v>302</v>
      </c>
    </row>
    <row r="1260" spans="1:4" ht="15.75" customHeight="1">
      <c r="A1260" s="22">
        <v>34900488</v>
      </c>
      <c r="B1260" s="4">
        <v>29988505</v>
      </c>
      <c r="C1260" s="4" t="str">
        <f t="shared" si="5"/>
        <v/>
      </c>
      <c r="D1260" s="4" t="s">
        <v>302</v>
      </c>
    </row>
    <row r="1261" spans="1:4" ht="15.75" customHeight="1">
      <c r="A1261" s="22">
        <v>16213350</v>
      </c>
      <c r="B1261" s="4">
        <v>2406371</v>
      </c>
      <c r="C1261" s="4" t="str">
        <f t="shared" si="5"/>
        <v/>
      </c>
      <c r="D1261" s="4" t="s">
        <v>302</v>
      </c>
    </row>
    <row r="1262" spans="1:4" ht="15.75" customHeight="1">
      <c r="A1262" s="22">
        <v>21302114</v>
      </c>
      <c r="B1262" s="4">
        <v>11750365</v>
      </c>
      <c r="C1262" s="4" t="str">
        <f t="shared" si="5"/>
        <v/>
      </c>
      <c r="D1262" s="4" t="s">
        <v>302</v>
      </c>
    </row>
    <row r="1263" spans="1:4" ht="15.75" customHeight="1">
      <c r="A1263" s="22">
        <v>11406259</v>
      </c>
      <c r="B1263" s="4">
        <v>2562985</v>
      </c>
      <c r="C1263" s="4" t="str">
        <f t="shared" si="5"/>
        <v/>
      </c>
      <c r="D1263" s="4" t="s">
        <v>302</v>
      </c>
    </row>
    <row r="1264" spans="1:4" ht="15.75" customHeight="1">
      <c r="A1264" s="22">
        <v>12100127</v>
      </c>
      <c r="B1264" s="4">
        <v>31801268</v>
      </c>
      <c r="C1264" s="4" t="str">
        <f t="shared" si="5"/>
        <v/>
      </c>
      <c r="D1264" s="4" t="s">
        <v>302</v>
      </c>
    </row>
    <row r="1265" spans="1:4" ht="15.75" customHeight="1">
      <c r="A1265" s="22">
        <v>19509026</v>
      </c>
      <c r="B1265" s="4">
        <v>2759346</v>
      </c>
      <c r="C1265" s="4" t="str">
        <f t="shared" si="5"/>
        <v/>
      </c>
      <c r="D1265" s="4" t="s">
        <v>302</v>
      </c>
    </row>
    <row r="1266" spans="1:4" ht="15.75" customHeight="1">
      <c r="A1266" s="22">
        <v>21331905</v>
      </c>
      <c r="B1266" s="4">
        <v>3259614</v>
      </c>
      <c r="C1266" s="4" t="str">
        <f t="shared" si="5"/>
        <v/>
      </c>
      <c r="D1266" s="4" t="s">
        <v>302</v>
      </c>
    </row>
    <row r="1267" spans="1:4" ht="15.75" customHeight="1">
      <c r="A1267" s="22">
        <v>27263776</v>
      </c>
      <c r="B1267" s="4">
        <v>31878218</v>
      </c>
      <c r="C1267" s="4" t="str">
        <f t="shared" si="5"/>
        <v/>
      </c>
      <c r="D1267" s="4" t="s">
        <v>302</v>
      </c>
    </row>
    <row r="1268" spans="1:4" ht="15.75" customHeight="1">
      <c r="A1268" s="22">
        <v>37346032</v>
      </c>
      <c r="B1268" s="4">
        <v>12393439</v>
      </c>
      <c r="C1268" s="4" t="str">
        <f t="shared" si="5"/>
        <v/>
      </c>
      <c r="D1268" s="4" t="s">
        <v>302</v>
      </c>
    </row>
    <row r="1269" spans="1:4" ht="15.75" customHeight="1">
      <c r="A1269" s="22">
        <v>29988505</v>
      </c>
      <c r="B1269" s="4">
        <v>25650037</v>
      </c>
      <c r="C1269" s="4" t="str">
        <f t="shared" si="5"/>
        <v/>
      </c>
      <c r="D1269" s="4" t="s">
        <v>302</v>
      </c>
    </row>
    <row r="1270" spans="1:4" ht="15.75" customHeight="1">
      <c r="A1270" s="22">
        <v>2406371</v>
      </c>
      <c r="B1270" s="4">
        <v>30062730</v>
      </c>
      <c r="C1270" s="4" t="str">
        <f t="shared" si="5"/>
        <v/>
      </c>
      <c r="D1270" s="4" t="s">
        <v>302</v>
      </c>
    </row>
    <row r="1271" spans="1:4" ht="15.75" customHeight="1">
      <c r="A1271" s="22">
        <v>11750365</v>
      </c>
      <c r="B1271" s="4">
        <v>23146098</v>
      </c>
      <c r="C1271" s="4" t="str">
        <f t="shared" si="5"/>
        <v/>
      </c>
      <c r="D1271" s="4" t="s">
        <v>302</v>
      </c>
    </row>
    <row r="1272" spans="1:4" ht="15.75" customHeight="1">
      <c r="A1272" s="22">
        <v>31801268</v>
      </c>
      <c r="B1272" s="4">
        <v>3053468</v>
      </c>
      <c r="C1272" s="4" t="str">
        <f t="shared" si="5"/>
        <v/>
      </c>
      <c r="D1272" s="4" t="s">
        <v>302</v>
      </c>
    </row>
    <row r="1273" spans="1:4" ht="15.75" customHeight="1">
      <c r="A1273" s="22">
        <v>2562985</v>
      </c>
      <c r="B1273" s="4">
        <v>33308840</v>
      </c>
      <c r="C1273" s="4" t="str">
        <f t="shared" si="5"/>
        <v/>
      </c>
      <c r="D1273" s="4" t="s">
        <v>302</v>
      </c>
    </row>
    <row r="1274" spans="1:4" ht="15.75" customHeight="1">
      <c r="A1274" s="22">
        <v>2759346</v>
      </c>
      <c r="B1274" s="4">
        <v>2550877</v>
      </c>
      <c r="C1274" s="4" t="str">
        <f t="shared" si="5"/>
        <v/>
      </c>
      <c r="D1274" s="4" t="s">
        <v>302</v>
      </c>
    </row>
    <row r="1275" spans="1:4" ht="15.75" customHeight="1">
      <c r="A1275" s="22">
        <v>3259614</v>
      </c>
      <c r="B1275" s="4">
        <v>24964991</v>
      </c>
      <c r="C1275" s="4" t="str">
        <f t="shared" si="5"/>
        <v/>
      </c>
      <c r="D1275" s="4" t="s">
        <v>302</v>
      </c>
    </row>
    <row r="1276" spans="1:4" ht="15.75" customHeight="1">
      <c r="A1276" s="22">
        <v>37452206</v>
      </c>
      <c r="B1276" s="4">
        <v>34587860</v>
      </c>
      <c r="C1276" s="4" t="str">
        <f t="shared" si="5"/>
        <v/>
      </c>
      <c r="D1276" s="4" t="s">
        <v>302</v>
      </c>
    </row>
    <row r="1277" spans="1:4" ht="15.75" customHeight="1">
      <c r="A1277" s="22">
        <v>12393439</v>
      </c>
      <c r="B1277" s="4">
        <v>2542623</v>
      </c>
      <c r="C1277" s="4" t="str">
        <f t="shared" ref="C1277:C1531" si="6">IFERROR(IF(MATCH(A1277,B:B,0)&gt;0,""),A1277)</f>
        <v/>
      </c>
      <c r="D1277" s="4" t="s">
        <v>302</v>
      </c>
    </row>
    <row r="1278" spans="1:4" ht="15.75" customHeight="1">
      <c r="A1278" s="22">
        <v>25650037</v>
      </c>
      <c r="B1278" s="4">
        <v>31649826</v>
      </c>
      <c r="C1278" s="4" t="str">
        <f t="shared" si="6"/>
        <v/>
      </c>
      <c r="D1278" s="4" t="s">
        <v>302</v>
      </c>
    </row>
    <row r="1279" spans="1:4" ht="15.75" customHeight="1">
      <c r="A1279" s="22">
        <v>31878218</v>
      </c>
      <c r="B1279" s="4">
        <v>2153237</v>
      </c>
      <c r="C1279" s="4" t="str">
        <f t="shared" si="6"/>
        <v/>
      </c>
      <c r="D1279" s="4" t="s">
        <v>302</v>
      </c>
    </row>
    <row r="1280" spans="1:4" ht="15.75" customHeight="1">
      <c r="A1280" s="22">
        <v>30062730</v>
      </c>
      <c r="B1280" s="4">
        <v>2693479</v>
      </c>
      <c r="C1280" s="4" t="str">
        <f t="shared" si="6"/>
        <v/>
      </c>
      <c r="D1280" s="4" t="s">
        <v>302</v>
      </c>
    </row>
    <row r="1281" spans="1:4" ht="15.75" customHeight="1">
      <c r="A1281" s="22">
        <v>23146098</v>
      </c>
      <c r="B1281" s="4">
        <v>28939451</v>
      </c>
      <c r="C1281" s="4" t="str">
        <f t="shared" si="6"/>
        <v/>
      </c>
      <c r="D1281" s="4" t="s">
        <v>302</v>
      </c>
    </row>
    <row r="1282" spans="1:4" ht="15.75" customHeight="1">
      <c r="A1282" s="22">
        <v>3053468</v>
      </c>
      <c r="B1282" s="4">
        <v>12123421</v>
      </c>
      <c r="C1282" s="4" t="str">
        <f t="shared" si="6"/>
        <v/>
      </c>
      <c r="D1282" s="4" t="s">
        <v>302</v>
      </c>
    </row>
    <row r="1283" spans="1:4" ht="15.75" customHeight="1">
      <c r="A1283" s="22">
        <v>31334297</v>
      </c>
      <c r="B1283" s="4">
        <v>3259254</v>
      </c>
      <c r="C1283" s="4" t="str">
        <f t="shared" si="6"/>
        <v/>
      </c>
      <c r="D1283" s="4" t="s">
        <v>302</v>
      </c>
    </row>
    <row r="1284" spans="1:4" ht="15.75" customHeight="1">
      <c r="A1284" s="22">
        <v>24964991</v>
      </c>
      <c r="B1284" s="4">
        <v>32140147</v>
      </c>
      <c r="C1284" s="4" t="str">
        <f t="shared" si="6"/>
        <v/>
      </c>
      <c r="D1284" s="4" t="s">
        <v>302</v>
      </c>
    </row>
    <row r="1285" spans="1:4" ht="15.75" customHeight="1">
      <c r="A1285" s="22">
        <v>33308840</v>
      </c>
      <c r="B1285" s="4">
        <v>33504606</v>
      </c>
      <c r="C1285" s="4" t="str">
        <f t="shared" si="6"/>
        <v/>
      </c>
      <c r="D1285" s="4" t="s">
        <v>302</v>
      </c>
    </row>
    <row r="1286" spans="1:4" ht="15.75" customHeight="1">
      <c r="A1286" s="22">
        <v>34587860</v>
      </c>
      <c r="B1286" s="4">
        <v>34347179</v>
      </c>
      <c r="C1286" s="4" t="str">
        <f t="shared" si="6"/>
        <v/>
      </c>
      <c r="D1286" s="4" t="s">
        <v>302</v>
      </c>
    </row>
    <row r="1287" spans="1:4" ht="15.75" customHeight="1">
      <c r="A1287" s="22">
        <v>38635788</v>
      </c>
      <c r="B1287" s="4">
        <v>31334297</v>
      </c>
      <c r="C1287" s="4">
        <f t="shared" si="6"/>
        <v>38635788</v>
      </c>
      <c r="D1287" s="4" t="s">
        <v>302</v>
      </c>
    </row>
    <row r="1288" spans="1:4" ht="15.75" customHeight="1">
      <c r="A1288" s="22">
        <v>2550877</v>
      </c>
      <c r="B1288" s="4">
        <v>1351995</v>
      </c>
      <c r="C1288" s="4" t="str">
        <f t="shared" si="6"/>
        <v/>
      </c>
      <c r="D1288" s="4" t="s">
        <v>302</v>
      </c>
    </row>
    <row r="1289" spans="1:4" ht="15.75" customHeight="1">
      <c r="A1289" s="22">
        <v>28939451</v>
      </c>
      <c r="B1289" s="4">
        <v>24163703</v>
      </c>
      <c r="C1289" s="4" t="str">
        <f t="shared" si="6"/>
        <v/>
      </c>
      <c r="D1289" s="4" t="s">
        <v>302</v>
      </c>
    </row>
    <row r="1290" spans="1:4" ht="15.75" customHeight="1">
      <c r="A1290" s="22">
        <v>2542623</v>
      </c>
      <c r="B1290" s="4">
        <v>31890456</v>
      </c>
      <c r="C1290" s="4" t="str">
        <f t="shared" si="6"/>
        <v/>
      </c>
      <c r="D1290" s="4" t="s">
        <v>302</v>
      </c>
    </row>
    <row r="1291" spans="1:4" ht="15.75" customHeight="1">
      <c r="A1291" s="22">
        <v>2153237</v>
      </c>
      <c r="B1291" s="4">
        <v>2555389</v>
      </c>
      <c r="C1291" s="4" t="str">
        <f t="shared" si="6"/>
        <v/>
      </c>
      <c r="D1291" s="4" t="s">
        <v>302</v>
      </c>
    </row>
    <row r="1292" spans="1:4" ht="15.75" customHeight="1">
      <c r="A1292" s="22">
        <v>31649826</v>
      </c>
      <c r="B1292" s="4">
        <v>36004309</v>
      </c>
      <c r="C1292" s="4" t="str">
        <f t="shared" si="6"/>
        <v/>
      </c>
      <c r="D1292" s="4" t="s">
        <v>302</v>
      </c>
    </row>
    <row r="1293" spans="1:4" ht="15.75" customHeight="1">
      <c r="A1293" s="22">
        <v>2693479</v>
      </c>
      <c r="B1293" s="4">
        <v>34738024</v>
      </c>
      <c r="C1293" s="4" t="str">
        <f t="shared" si="6"/>
        <v/>
      </c>
      <c r="D1293" s="4" t="s">
        <v>302</v>
      </c>
    </row>
    <row r="1294" spans="1:4" ht="15.75" customHeight="1">
      <c r="A1294" s="22">
        <v>3259254</v>
      </c>
      <c r="B1294" s="4">
        <v>15566776</v>
      </c>
      <c r="C1294" s="4" t="str">
        <f t="shared" si="6"/>
        <v/>
      </c>
      <c r="D1294" s="4" t="s">
        <v>302</v>
      </c>
    </row>
    <row r="1295" spans="1:4" ht="15.75" customHeight="1">
      <c r="A1295" s="22">
        <v>34347179</v>
      </c>
      <c r="B1295" s="4">
        <v>2773596</v>
      </c>
      <c r="C1295" s="4" t="str">
        <f t="shared" si="6"/>
        <v/>
      </c>
      <c r="D1295" s="4" t="s">
        <v>302</v>
      </c>
    </row>
    <row r="1296" spans="1:4" ht="15.75" customHeight="1">
      <c r="A1296" s="22">
        <v>12123421</v>
      </c>
      <c r="B1296" s="4">
        <v>36310678</v>
      </c>
      <c r="C1296" s="4" t="str">
        <f t="shared" si="6"/>
        <v/>
      </c>
      <c r="D1296" s="4" t="s">
        <v>302</v>
      </c>
    </row>
    <row r="1297" spans="1:4" ht="15.75" customHeight="1">
      <c r="A1297" s="22">
        <v>2555389</v>
      </c>
      <c r="B1297" s="4">
        <v>31228095</v>
      </c>
      <c r="C1297" s="4" t="str">
        <f t="shared" si="6"/>
        <v/>
      </c>
      <c r="D1297" s="4" t="s">
        <v>302</v>
      </c>
    </row>
    <row r="1298" spans="1:4" ht="15.75" customHeight="1">
      <c r="A1298" s="22">
        <v>1351995</v>
      </c>
      <c r="B1298" s="4">
        <v>30519529</v>
      </c>
      <c r="C1298" s="4" t="str">
        <f t="shared" si="6"/>
        <v/>
      </c>
      <c r="D1298" s="4" t="s">
        <v>302</v>
      </c>
    </row>
    <row r="1299" spans="1:4" ht="15.75" customHeight="1">
      <c r="A1299" s="22">
        <v>33504606</v>
      </c>
      <c r="B1299" s="4">
        <v>29785130</v>
      </c>
      <c r="C1299" s="4" t="str">
        <f t="shared" si="6"/>
        <v/>
      </c>
      <c r="D1299" s="4" t="s">
        <v>302</v>
      </c>
    </row>
    <row r="1300" spans="1:4" ht="15.75" customHeight="1">
      <c r="A1300" s="22">
        <v>32140147</v>
      </c>
      <c r="B1300" s="4">
        <v>23940750</v>
      </c>
      <c r="C1300" s="4" t="str">
        <f t="shared" si="6"/>
        <v/>
      </c>
      <c r="D1300" s="4" t="s">
        <v>302</v>
      </c>
    </row>
    <row r="1301" spans="1:4" ht="15.75" customHeight="1">
      <c r="A1301" s="22">
        <v>31890456</v>
      </c>
      <c r="B1301" s="4">
        <v>31469438</v>
      </c>
      <c r="C1301" s="4" t="str">
        <f t="shared" si="6"/>
        <v/>
      </c>
      <c r="D1301" s="4" t="s">
        <v>302</v>
      </c>
    </row>
    <row r="1302" spans="1:4" ht="15.75" customHeight="1">
      <c r="A1302" s="22">
        <v>36004309</v>
      </c>
      <c r="B1302" s="4">
        <v>32551136</v>
      </c>
      <c r="C1302" s="4" t="str">
        <f t="shared" si="6"/>
        <v/>
      </c>
      <c r="D1302" s="4" t="s">
        <v>302</v>
      </c>
    </row>
    <row r="1303" spans="1:4" ht="15.75" customHeight="1">
      <c r="A1303" s="22">
        <v>34738024</v>
      </c>
      <c r="B1303" s="4">
        <v>9509968</v>
      </c>
      <c r="C1303" s="4" t="str">
        <f t="shared" si="6"/>
        <v/>
      </c>
      <c r="D1303" s="4" t="s">
        <v>302</v>
      </c>
    </row>
    <row r="1304" spans="1:4" ht="15.75" customHeight="1">
      <c r="A1304" s="22">
        <v>24163703</v>
      </c>
      <c r="B1304" s="4">
        <v>2896909</v>
      </c>
      <c r="C1304" s="4" t="str">
        <f t="shared" si="6"/>
        <v/>
      </c>
      <c r="D1304" s="4" t="s">
        <v>302</v>
      </c>
    </row>
    <row r="1305" spans="1:4" ht="15.75" customHeight="1">
      <c r="A1305" s="22">
        <v>31228095</v>
      </c>
      <c r="B1305" s="4">
        <v>21925094</v>
      </c>
      <c r="C1305" s="4" t="str">
        <f t="shared" si="6"/>
        <v/>
      </c>
      <c r="D1305" s="4" t="s">
        <v>302</v>
      </c>
    </row>
    <row r="1306" spans="1:4" ht="15.75" customHeight="1">
      <c r="A1306" s="22">
        <v>15566776</v>
      </c>
      <c r="B1306" s="4">
        <v>35415058</v>
      </c>
      <c r="C1306" s="4" t="str">
        <f t="shared" si="6"/>
        <v/>
      </c>
      <c r="D1306" s="4" t="s">
        <v>302</v>
      </c>
    </row>
    <row r="1307" spans="1:4" ht="15.75" customHeight="1">
      <c r="A1307" s="22">
        <v>2773596</v>
      </c>
      <c r="B1307" s="4">
        <v>2166835</v>
      </c>
      <c r="C1307" s="4" t="str">
        <f t="shared" si="6"/>
        <v/>
      </c>
      <c r="D1307" s="4" t="s">
        <v>302</v>
      </c>
    </row>
    <row r="1308" spans="1:4" ht="15.75" customHeight="1">
      <c r="A1308" s="22">
        <v>36310678</v>
      </c>
      <c r="B1308" s="4">
        <v>25285115</v>
      </c>
      <c r="C1308" s="4" t="str">
        <f t="shared" si="6"/>
        <v/>
      </c>
      <c r="D1308" s="4" t="s">
        <v>302</v>
      </c>
    </row>
    <row r="1309" spans="1:4" ht="15.75" customHeight="1">
      <c r="A1309" s="22">
        <v>30519529</v>
      </c>
      <c r="B1309" s="4">
        <v>22371761</v>
      </c>
      <c r="C1309" s="4" t="str">
        <f t="shared" si="6"/>
        <v/>
      </c>
      <c r="D1309" s="4" t="s">
        <v>302</v>
      </c>
    </row>
    <row r="1310" spans="1:4" ht="15.75" customHeight="1">
      <c r="A1310" s="22">
        <v>29785130</v>
      </c>
      <c r="B1310" s="4">
        <v>12531788</v>
      </c>
      <c r="C1310" s="4" t="str">
        <f t="shared" si="6"/>
        <v/>
      </c>
      <c r="D1310" s="4" t="s">
        <v>302</v>
      </c>
    </row>
    <row r="1311" spans="1:4" ht="15.75" customHeight="1">
      <c r="A1311" s="22">
        <v>23940750</v>
      </c>
      <c r="B1311" s="4">
        <v>17035788</v>
      </c>
      <c r="C1311" s="4" t="str">
        <f t="shared" si="6"/>
        <v/>
      </c>
      <c r="D1311" s="4" t="s">
        <v>302</v>
      </c>
    </row>
    <row r="1312" spans="1:4" ht="15.75" customHeight="1">
      <c r="A1312" s="22">
        <v>31469438</v>
      </c>
      <c r="B1312" s="4">
        <v>29531650</v>
      </c>
      <c r="C1312" s="4" t="str">
        <f t="shared" si="6"/>
        <v/>
      </c>
      <c r="D1312" s="4" t="s">
        <v>302</v>
      </c>
    </row>
    <row r="1313" spans="1:4" ht="15.75" customHeight="1">
      <c r="A1313" s="22">
        <v>21925094</v>
      </c>
      <c r="B1313" s="4">
        <v>2153965</v>
      </c>
      <c r="C1313" s="4" t="str">
        <f t="shared" si="6"/>
        <v/>
      </c>
      <c r="D1313" s="4" t="s">
        <v>302</v>
      </c>
    </row>
    <row r="1314" spans="1:4" ht="15.75" customHeight="1">
      <c r="A1314" s="22">
        <v>35415058</v>
      </c>
      <c r="B1314" s="4">
        <v>23243510</v>
      </c>
      <c r="C1314" s="4" t="str">
        <f t="shared" si="6"/>
        <v/>
      </c>
      <c r="D1314" s="4" t="s">
        <v>302</v>
      </c>
    </row>
    <row r="1315" spans="1:4" ht="15.75" customHeight="1">
      <c r="A1315" s="22">
        <v>2896909</v>
      </c>
      <c r="B1315" s="4">
        <v>2463490</v>
      </c>
      <c r="C1315" s="4" t="str">
        <f t="shared" si="6"/>
        <v/>
      </c>
      <c r="D1315" s="4" t="s">
        <v>302</v>
      </c>
    </row>
    <row r="1316" spans="1:4" ht="15.75" customHeight="1">
      <c r="A1316" s="22">
        <v>2166835</v>
      </c>
      <c r="B1316" s="4">
        <v>34595440</v>
      </c>
      <c r="C1316" s="4" t="str">
        <f t="shared" si="6"/>
        <v/>
      </c>
      <c r="D1316" s="4" t="s">
        <v>302</v>
      </c>
    </row>
    <row r="1317" spans="1:4" ht="15.75" customHeight="1">
      <c r="A1317" s="22">
        <v>25285115</v>
      </c>
      <c r="B1317" s="4">
        <v>37559972</v>
      </c>
      <c r="C1317" s="4" t="str">
        <f t="shared" si="6"/>
        <v/>
      </c>
      <c r="D1317" s="4" t="s">
        <v>302</v>
      </c>
    </row>
    <row r="1318" spans="1:4" ht="15.75" customHeight="1">
      <c r="A1318" s="22">
        <v>32551136</v>
      </c>
      <c r="B1318" s="4">
        <v>34104434</v>
      </c>
      <c r="C1318" s="4" t="str">
        <f t="shared" si="6"/>
        <v/>
      </c>
      <c r="D1318" s="4" t="s">
        <v>302</v>
      </c>
    </row>
    <row r="1319" spans="1:4" ht="15.75" customHeight="1">
      <c r="A1319" s="22">
        <v>9509968</v>
      </c>
      <c r="B1319" s="4">
        <v>28601677</v>
      </c>
      <c r="C1319" s="4" t="str">
        <f t="shared" si="6"/>
        <v/>
      </c>
      <c r="D1319" s="4" t="s">
        <v>302</v>
      </c>
    </row>
    <row r="1320" spans="1:4" ht="15.75" customHeight="1">
      <c r="A1320" s="22">
        <v>22371761</v>
      </c>
      <c r="B1320" s="4">
        <v>20228849</v>
      </c>
      <c r="C1320" s="4" t="str">
        <f t="shared" si="6"/>
        <v/>
      </c>
      <c r="D1320" s="4" t="s">
        <v>302</v>
      </c>
    </row>
    <row r="1321" spans="1:4" ht="15.75" customHeight="1">
      <c r="A1321" s="22">
        <v>38496135</v>
      </c>
      <c r="B1321" s="4">
        <v>30122653</v>
      </c>
      <c r="C1321" s="4">
        <f t="shared" si="6"/>
        <v>38496135</v>
      </c>
      <c r="D1321" s="4" t="s">
        <v>302</v>
      </c>
    </row>
    <row r="1322" spans="1:4" ht="15.75" customHeight="1">
      <c r="A1322" s="22">
        <v>12531788</v>
      </c>
      <c r="B1322" s="4">
        <v>36589231</v>
      </c>
      <c r="C1322" s="4" t="str">
        <f t="shared" si="6"/>
        <v/>
      </c>
      <c r="D1322" s="4" t="s">
        <v>302</v>
      </c>
    </row>
    <row r="1323" spans="1:4" ht="15.75" customHeight="1">
      <c r="A1323" s="22">
        <v>29531650</v>
      </c>
      <c r="B1323" s="4">
        <v>34989946</v>
      </c>
      <c r="C1323" s="4" t="str">
        <f t="shared" si="6"/>
        <v/>
      </c>
      <c r="D1323" s="4" t="s">
        <v>302</v>
      </c>
    </row>
    <row r="1324" spans="1:4" ht="15.75" customHeight="1">
      <c r="A1324" s="22">
        <v>17035788</v>
      </c>
      <c r="B1324" s="4">
        <v>30815505</v>
      </c>
      <c r="C1324" s="4" t="str">
        <f t="shared" si="6"/>
        <v/>
      </c>
      <c r="D1324" s="4" t="s">
        <v>302</v>
      </c>
    </row>
    <row r="1325" spans="1:4" ht="15.75" customHeight="1">
      <c r="A1325" s="22">
        <v>2153965</v>
      </c>
      <c r="B1325" s="4">
        <v>8896431</v>
      </c>
      <c r="C1325" s="4" t="str">
        <f t="shared" si="6"/>
        <v/>
      </c>
      <c r="D1325" s="4" t="s">
        <v>302</v>
      </c>
    </row>
    <row r="1326" spans="1:4" ht="15.75" customHeight="1">
      <c r="A1326" s="22">
        <v>38521411</v>
      </c>
      <c r="B1326" s="4">
        <v>2888966</v>
      </c>
      <c r="C1326" s="4">
        <f t="shared" si="6"/>
        <v>38521411</v>
      </c>
      <c r="D1326" s="4" t="s">
        <v>302</v>
      </c>
    </row>
    <row r="1327" spans="1:4" ht="15.75" customHeight="1">
      <c r="A1327" s="22">
        <v>2463490</v>
      </c>
      <c r="B1327" s="4">
        <v>37496724</v>
      </c>
      <c r="C1327" s="4" t="str">
        <f t="shared" si="6"/>
        <v/>
      </c>
      <c r="D1327" s="4" t="s">
        <v>302</v>
      </c>
    </row>
    <row r="1328" spans="1:4" ht="15.75" customHeight="1">
      <c r="A1328" s="22">
        <v>28601677</v>
      </c>
      <c r="B1328" s="4">
        <v>18394275</v>
      </c>
      <c r="C1328" s="4" t="str">
        <f t="shared" si="6"/>
        <v/>
      </c>
      <c r="D1328" s="4" t="s">
        <v>302</v>
      </c>
    </row>
    <row r="1329" spans="1:4" ht="15.75" customHeight="1">
      <c r="A1329" s="22">
        <v>34595440</v>
      </c>
      <c r="B1329" s="4">
        <v>36544772</v>
      </c>
      <c r="C1329" s="4" t="str">
        <f t="shared" si="6"/>
        <v/>
      </c>
      <c r="D1329" s="4" t="s">
        <v>302</v>
      </c>
    </row>
    <row r="1330" spans="1:4" ht="15.75" customHeight="1">
      <c r="A1330" s="22">
        <v>34104434</v>
      </c>
      <c r="B1330" s="4">
        <v>20399877</v>
      </c>
      <c r="C1330" s="4" t="str">
        <f t="shared" si="6"/>
        <v/>
      </c>
      <c r="D1330" s="4" t="s">
        <v>302</v>
      </c>
    </row>
    <row r="1331" spans="1:4" ht="15.75" customHeight="1">
      <c r="A1331" s="22">
        <v>37559972</v>
      </c>
      <c r="B1331" s="4">
        <v>33789834</v>
      </c>
      <c r="C1331" s="4" t="str">
        <f t="shared" si="6"/>
        <v/>
      </c>
      <c r="D1331" s="4" t="s">
        <v>302</v>
      </c>
    </row>
    <row r="1332" spans="1:4" ht="15.75" customHeight="1">
      <c r="A1332" s="22">
        <v>30122653</v>
      </c>
      <c r="B1332" s="4">
        <v>36798106</v>
      </c>
      <c r="C1332" s="4" t="str">
        <f t="shared" si="6"/>
        <v/>
      </c>
      <c r="D1332" s="4" t="s">
        <v>302</v>
      </c>
    </row>
    <row r="1333" spans="1:4" ht="15.75" customHeight="1">
      <c r="A1333" s="22">
        <v>23243510</v>
      </c>
      <c r="B1333" s="4">
        <v>17259874</v>
      </c>
      <c r="C1333" s="4" t="str">
        <f t="shared" si="6"/>
        <v/>
      </c>
      <c r="D1333" s="4" t="s">
        <v>302</v>
      </c>
    </row>
    <row r="1334" spans="1:4" ht="15.75" customHeight="1">
      <c r="A1334" s="22">
        <v>20228849</v>
      </c>
      <c r="B1334" s="4">
        <v>16170749</v>
      </c>
      <c r="C1334" s="4" t="str">
        <f t="shared" si="6"/>
        <v/>
      </c>
      <c r="D1334" s="4" t="s">
        <v>302</v>
      </c>
    </row>
    <row r="1335" spans="1:4" ht="15.75" customHeight="1">
      <c r="A1335" s="22">
        <v>38796633</v>
      </c>
      <c r="B1335" s="4">
        <v>28894558</v>
      </c>
      <c r="C1335" s="4">
        <f t="shared" si="6"/>
        <v>38796633</v>
      </c>
      <c r="D1335" s="4" t="s">
        <v>302</v>
      </c>
    </row>
    <row r="1336" spans="1:4" ht="15.75" customHeight="1">
      <c r="A1336" s="22">
        <v>34989946</v>
      </c>
      <c r="B1336" s="4">
        <v>2846608</v>
      </c>
      <c r="C1336" s="4" t="str">
        <f t="shared" si="6"/>
        <v/>
      </c>
      <c r="D1336" s="4" t="s">
        <v>302</v>
      </c>
    </row>
    <row r="1337" spans="1:4" ht="15.75" customHeight="1">
      <c r="A1337" s="22">
        <v>36589231</v>
      </c>
      <c r="B1337" s="4">
        <v>18765102</v>
      </c>
      <c r="C1337" s="4" t="str">
        <f t="shared" si="6"/>
        <v/>
      </c>
      <c r="D1337" s="4" t="s">
        <v>302</v>
      </c>
    </row>
    <row r="1338" spans="1:4" ht="15.75" customHeight="1">
      <c r="A1338" s="22">
        <v>36544772</v>
      </c>
      <c r="B1338" s="4">
        <v>27419347</v>
      </c>
      <c r="C1338" s="4" t="str">
        <f t="shared" si="6"/>
        <v/>
      </c>
      <c r="D1338" s="4" t="s">
        <v>302</v>
      </c>
    </row>
    <row r="1339" spans="1:4" ht="15.75" customHeight="1">
      <c r="A1339" s="22">
        <v>2888966</v>
      </c>
      <c r="B1339" s="4">
        <v>3412023</v>
      </c>
      <c r="C1339" s="4" t="str">
        <f t="shared" si="6"/>
        <v/>
      </c>
      <c r="D1339" s="4" t="s">
        <v>302</v>
      </c>
    </row>
    <row r="1340" spans="1:4" ht="15.75" customHeight="1">
      <c r="A1340" s="22">
        <v>37496724</v>
      </c>
      <c r="B1340" s="4">
        <v>9384487</v>
      </c>
      <c r="C1340" s="4" t="str">
        <f t="shared" si="6"/>
        <v/>
      </c>
      <c r="D1340" s="4" t="s">
        <v>302</v>
      </c>
    </row>
    <row r="1341" spans="1:4" ht="15.75" customHeight="1">
      <c r="A1341" s="22">
        <v>20399877</v>
      </c>
      <c r="B1341" s="4">
        <v>32299316</v>
      </c>
      <c r="C1341" s="4" t="str">
        <f t="shared" si="6"/>
        <v/>
      </c>
      <c r="D1341" s="4" t="s">
        <v>302</v>
      </c>
    </row>
    <row r="1342" spans="1:4" ht="15.75" customHeight="1">
      <c r="A1342" s="22">
        <v>38832402</v>
      </c>
      <c r="B1342" s="4">
        <v>37012846</v>
      </c>
      <c r="C1342" s="4">
        <f t="shared" si="6"/>
        <v>38832402</v>
      </c>
      <c r="D1342" s="4" t="s">
        <v>302</v>
      </c>
    </row>
    <row r="1343" spans="1:4" ht="15.75" customHeight="1">
      <c r="A1343" s="22">
        <v>33789834</v>
      </c>
      <c r="B1343" s="4">
        <v>2786090</v>
      </c>
      <c r="C1343" s="4" t="str">
        <f t="shared" si="6"/>
        <v/>
      </c>
      <c r="D1343" s="4" t="s">
        <v>302</v>
      </c>
    </row>
    <row r="1344" spans="1:4" ht="15.75" customHeight="1">
      <c r="A1344" s="22">
        <v>8896431</v>
      </c>
      <c r="B1344" s="4">
        <v>21166693</v>
      </c>
      <c r="C1344" s="4" t="str">
        <f t="shared" si="6"/>
        <v/>
      </c>
      <c r="D1344" s="4" t="s">
        <v>302</v>
      </c>
    </row>
    <row r="1345" spans="1:4" ht="15.75" customHeight="1">
      <c r="A1345" s="22">
        <v>17259874</v>
      </c>
      <c r="B1345" s="4">
        <v>2544678</v>
      </c>
      <c r="C1345" s="4" t="str">
        <f t="shared" si="6"/>
        <v/>
      </c>
      <c r="D1345" s="4" t="s">
        <v>302</v>
      </c>
    </row>
    <row r="1346" spans="1:4" ht="15.75" customHeight="1">
      <c r="A1346" s="22">
        <v>36798106</v>
      </c>
      <c r="B1346" s="4">
        <v>31891386</v>
      </c>
      <c r="C1346" s="4" t="str">
        <f t="shared" si="6"/>
        <v/>
      </c>
      <c r="D1346" s="4" t="s">
        <v>302</v>
      </c>
    </row>
    <row r="1347" spans="1:4" ht="15.75" customHeight="1">
      <c r="A1347" s="22">
        <v>38937612</v>
      </c>
      <c r="B1347" s="4">
        <v>34329754</v>
      </c>
      <c r="C1347" s="4">
        <f t="shared" si="6"/>
        <v>38937612</v>
      </c>
      <c r="D1347" s="4" t="s">
        <v>302</v>
      </c>
    </row>
    <row r="1348" spans="1:4" ht="15.75" customHeight="1">
      <c r="A1348" s="22">
        <v>30815505</v>
      </c>
      <c r="B1348" s="4">
        <v>26105089</v>
      </c>
      <c r="C1348" s="4" t="str">
        <f t="shared" si="6"/>
        <v/>
      </c>
      <c r="D1348" s="4" t="s">
        <v>302</v>
      </c>
    </row>
    <row r="1349" spans="1:4" ht="15.75" customHeight="1">
      <c r="A1349" s="22">
        <v>16170749</v>
      </c>
      <c r="B1349" s="4">
        <v>29896671</v>
      </c>
      <c r="C1349" s="4" t="str">
        <f t="shared" si="6"/>
        <v/>
      </c>
      <c r="D1349" s="4" t="s">
        <v>302</v>
      </c>
    </row>
    <row r="1350" spans="1:4" ht="15.75" customHeight="1">
      <c r="A1350" s="22">
        <v>18394275</v>
      </c>
      <c r="B1350" s="4">
        <v>37452206</v>
      </c>
      <c r="C1350" s="4" t="str">
        <f t="shared" si="6"/>
        <v/>
      </c>
      <c r="D1350" s="4" t="s">
        <v>302</v>
      </c>
    </row>
    <row r="1351" spans="1:4" ht="15.75" customHeight="1">
      <c r="A1351" s="22">
        <v>2846608</v>
      </c>
      <c r="B1351" s="4">
        <v>2161867</v>
      </c>
      <c r="C1351" s="4" t="str">
        <f t="shared" si="6"/>
        <v/>
      </c>
      <c r="D1351" s="4" t="s">
        <v>302</v>
      </c>
    </row>
    <row r="1352" spans="1:4" ht="15.75" customHeight="1">
      <c r="A1352" s="22">
        <v>18765102</v>
      </c>
      <c r="B1352" s="4">
        <v>25462447</v>
      </c>
      <c r="C1352" s="4" t="str">
        <f t="shared" si="6"/>
        <v/>
      </c>
      <c r="D1352" s="4" t="s">
        <v>302</v>
      </c>
    </row>
    <row r="1353" spans="1:4" ht="15.75" customHeight="1">
      <c r="A1353" s="22">
        <v>9384487</v>
      </c>
      <c r="B1353" s="4">
        <v>35677042</v>
      </c>
      <c r="C1353" s="4" t="str">
        <f t="shared" si="6"/>
        <v/>
      </c>
      <c r="D1353" s="4" t="s">
        <v>302</v>
      </c>
    </row>
    <row r="1354" spans="1:4" ht="15.75" customHeight="1">
      <c r="A1354" s="22">
        <v>21166693</v>
      </c>
      <c r="B1354" s="4">
        <v>28472480</v>
      </c>
      <c r="C1354" s="4" t="str">
        <f t="shared" si="6"/>
        <v/>
      </c>
      <c r="D1354" s="4" t="s">
        <v>302</v>
      </c>
    </row>
    <row r="1355" spans="1:4" ht="15.75" customHeight="1">
      <c r="A1355" s="22">
        <v>3412023</v>
      </c>
      <c r="B1355" s="4">
        <v>9453142</v>
      </c>
      <c r="C1355" s="4" t="str">
        <f t="shared" si="6"/>
        <v/>
      </c>
      <c r="D1355" s="4" t="s">
        <v>302</v>
      </c>
    </row>
    <row r="1356" spans="1:4" ht="15.75" customHeight="1">
      <c r="A1356" s="22">
        <v>27419347</v>
      </c>
      <c r="B1356" s="4">
        <v>27419878</v>
      </c>
      <c r="C1356" s="4" t="str">
        <f t="shared" si="6"/>
        <v/>
      </c>
      <c r="D1356" s="4" t="s">
        <v>302</v>
      </c>
    </row>
    <row r="1357" spans="1:4" ht="15.75" customHeight="1">
      <c r="A1357" s="22">
        <v>16387127</v>
      </c>
      <c r="B1357" s="4">
        <v>26114018</v>
      </c>
      <c r="C1357" s="4" t="str">
        <f t="shared" si="6"/>
        <v/>
      </c>
      <c r="D1357" s="4" t="s">
        <v>302</v>
      </c>
    </row>
    <row r="1358" spans="1:4" ht="15.75" customHeight="1">
      <c r="A1358" s="22">
        <v>2786090</v>
      </c>
      <c r="B1358" s="4">
        <v>37422195</v>
      </c>
      <c r="C1358" s="4" t="str">
        <f t="shared" si="6"/>
        <v/>
      </c>
      <c r="D1358" s="4" t="s">
        <v>302</v>
      </c>
    </row>
    <row r="1359" spans="1:4" ht="15.75" customHeight="1">
      <c r="A1359" s="22">
        <v>32299316</v>
      </c>
      <c r="B1359" s="4">
        <v>38238927</v>
      </c>
      <c r="C1359" s="4" t="str">
        <f t="shared" si="6"/>
        <v/>
      </c>
      <c r="D1359" s="4" t="s">
        <v>302</v>
      </c>
    </row>
    <row r="1360" spans="1:4" ht="15.75" customHeight="1">
      <c r="A1360" s="22">
        <v>37012846</v>
      </c>
      <c r="B1360" s="4">
        <v>2911127</v>
      </c>
      <c r="C1360" s="4" t="str">
        <f t="shared" si="6"/>
        <v/>
      </c>
      <c r="D1360" s="4" t="s">
        <v>302</v>
      </c>
    </row>
    <row r="1361" spans="1:4" ht="15.75" customHeight="1">
      <c r="A1361" s="22">
        <v>38846028</v>
      </c>
      <c r="B1361" s="4">
        <v>37649537</v>
      </c>
      <c r="C1361" s="4">
        <f t="shared" si="6"/>
        <v>38846028</v>
      </c>
      <c r="D1361" s="4" t="s">
        <v>302</v>
      </c>
    </row>
    <row r="1362" spans="1:4" ht="15.75" customHeight="1">
      <c r="A1362" s="22">
        <v>34329754</v>
      </c>
      <c r="B1362" s="4">
        <v>14742988</v>
      </c>
      <c r="C1362" s="4" t="str">
        <f t="shared" si="6"/>
        <v/>
      </c>
      <c r="D1362" s="4" t="s">
        <v>302</v>
      </c>
    </row>
    <row r="1363" spans="1:4" ht="15.75" customHeight="1">
      <c r="A1363" s="22">
        <v>2544678</v>
      </c>
      <c r="B1363" s="4">
        <v>33965190</v>
      </c>
      <c r="C1363" s="4" t="str">
        <f t="shared" si="6"/>
        <v/>
      </c>
      <c r="D1363" s="4" t="s">
        <v>302</v>
      </c>
    </row>
    <row r="1364" spans="1:4" ht="15.75" customHeight="1">
      <c r="A1364" s="22">
        <v>38907627</v>
      </c>
      <c r="B1364" s="4">
        <v>31798967</v>
      </c>
      <c r="C1364" s="4">
        <f t="shared" si="6"/>
        <v>38907627</v>
      </c>
      <c r="D1364" s="4" t="s">
        <v>302</v>
      </c>
    </row>
    <row r="1365" spans="1:4" ht="15.75" customHeight="1">
      <c r="A1365" s="22">
        <v>29896671</v>
      </c>
      <c r="B1365" s="4">
        <v>9174632</v>
      </c>
      <c r="C1365" s="4" t="str">
        <f t="shared" si="6"/>
        <v/>
      </c>
      <c r="D1365" s="4" t="s">
        <v>302</v>
      </c>
    </row>
    <row r="1366" spans="1:4" ht="15.75" customHeight="1">
      <c r="A1366" s="22">
        <v>26105089</v>
      </c>
      <c r="B1366" s="4">
        <v>37532126</v>
      </c>
      <c r="C1366" s="4" t="str">
        <f t="shared" si="6"/>
        <v/>
      </c>
      <c r="D1366" s="4" t="s">
        <v>302</v>
      </c>
    </row>
    <row r="1367" spans="1:4" ht="15.75" customHeight="1">
      <c r="A1367" s="22">
        <v>31891386</v>
      </c>
      <c r="B1367" s="4">
        <v>29679773</v>
      </c>
      <c r="C1367" s="4" t="str">
        <f t="shared" si="6"/>
        <v/>
      </c>
      <c r="D1367" s="4" t="s">
        <v>302</v>
      </c>
    </row>
    <row r="1368" spans="1:4" ht="15.75" customHeight="1">
      <c r="A1368" s="22">
        <v>28894558</v>
      </c>
      <c r="B1368" s="4">
        <v>21348118</v>
      </c>
      <c r="C1368" s="4" t="str">
        <f t="shared" si="6"/>
        <v/>
      </c>
      <c r="D1368" s="4" t="s">
        <v>302</v>
      </c>
    </row>
    <row r="1369" spans="1:4" ht="15.75" customHeight="1">
      <c r="A1369" s="22">
        <v>28472480</v>
      </c>
      <c r="B1369" s="4">
        <v>34757063</v>
      </c>
      <c r="C1369" s="4" t="str">
        <f t="shared" si="6"/>
        <v/>
      </c>
      <c r="D1369" s="4" t="s">
        <v>302</v>
      </c>
    </row>
    <row r="1370" spans="1:4" ht="15.75" customHeight="1">
      <c r="A1370" s="22">
        <v>25462447</v>
      </c>
      <c r="B1370" s="4">
        <v>25462450</v>
      </c>
      <c r="C1370" s="4" t="str">
        <f t="shared" si="6"/>
        <v/>
      </c>
      <c r="D1370" s="4" t="s">
        <v>302</v>
      </c>
    </row>
    <row r="1371" spans="1:4" ht="15.75" customHeight="1">
      <c r="A1371" s="22">
        <v>2161867</v>
      </c>
      <c r="B1371" s="4">
        <v>34298243</v>
      </c>
      <c r="C1371" s="4" t="str">
        <f t="shared" si="6"/>
        <v/>
      </c>
      <c r="D1371" s="4" t="s">
        <v>302</v>
      </c>
    </row>
    <row r="1372" spans="1:4" ht="15.75" customHeight="1">
      <c r="A1372" s="22">
        <v>27419878</v>
      </c>
      <c r="B1372" s="4">
        <v>28392330</v>
      </c>
      <c r="C1372" s="4" t="str">
        <f t="shared" si="6"/>
        <v/>
      </c>
      <c r="D1372" s="4" t="s">
        <v>302</v>
      </c>
    </row>
    <row r="1373" spans="1:4" ht="15.75" customHeight="1">
      <c r="A1373" s="22">
        <v>38238927</v>
      </c>
      <c r="B1373" s="4">
        <v>10968172</v>
      </c>
      <c r="C1373" s="4" t="str">
        <f t="shared" si="6"/>
        <v/>
      </c>
      <c r="D1373" s="4" t="s">
        <v>302</v>
      </c>
    </row>
    <row r="1374" spans="1:4" ht="15.75" customHeight="1">
      <c r="A1374" s="22">
        <v>26114018</v>
      </c>
      <c r="B1374" s="4">
        <v>27364410</v>
      </c>
      <c r="C1374" s="4" t="str">
        <f t="shared" si="6"/>
        <v/>
      </c>
      <c r="D1374" s="4" t="s">
        <v>302</v>
      </c>
    </row>
    <row r="1375" spans="1:4" ht="15.75" customHeight="1">
      <c r="A1375" s="22">
        <v>2911127</v>
      </c>
      <c r="B1375" s="4">
        <v>28443092</v>
      </c>
      <c r="C1375" s="4" t="str">
        <f t="shared" si="6"/>
        <v/>
      </c>
      <c r="D1375" s="4" t="s">
        <v>302</v>
      </c>
    </row>
    <row r="1376" spans="1:4" ht="15.75" customHeight="1">
      <c r="A1376" s="22">
        <v>38971380</v>
      </c>
      <c r="B1376" s="4">
        <v>21328386</v>
      </c>
      <c r="C1376" s="4">
        <f t="shared" si="6"/>
        <v>38971380</v>
      </c>
      <c r="D1376" s="4" t="s">
        <v>302</v>
      </c>
    </row>
    <row r="1377" spans="1:4" ht="15.75" customHeight="1">
      <c r="A1377" s="22">
        <v>35677042</v>
      </c>
      <c r="B1377" s="4">
        <v>25015512</v>
      </c>
      <c r="C1377" s="4" t="str">
        <f t="shared" si="6"/>
        <v/>
      </c>
      <c r="D1377" s="4" t="s">
        <v>302</v>
      </c>
    </row>
    <row r="1378" spans="1:4" ht="15.75" customHeight="1">
      <c r="A1378" s="22">
        <v>9453142</v>
      </c>
      <c r="B1378" s="4">
        <v>12858204</v>
      </c>
      <c r="C1378" s="4" t="str">
        <f t="shared" si="6"/>
        <v/>
      </c>
      <c r="D1378" s="4" t="s">
        <v>302</v>
      </c>
    </row>
    <row r="1379" spans="1:4" ht="15.75" customHeight="1">
      <c r="A1379" s="22">
        <v>37181429</v>
      </c>
      <c r="B1379" s="4">
        <v>37543212</v>
      </c>
      <c r="C1379" s="4" t="str">
        <f t="shared" si="6"/>
        <v/>
      </c>
      <c r="D1379" s="4" t="s">
        <v>302</v>
      </c>
    </row>
    <row r="1380" spans="1:4" ht="15.75" customHeight="1">
      <c r="A1380" s="22">
        <v>9174632</v>
      </c>
      <c r="B1380" s="4">
        <v>8212853</v>
      </c>
      <c r="C1380" s="4" t="str">
        <f t="shared" si="6"/>
        <v/>
      </c>
      <c r="D1380" s="4" t="s">
        <v>302</v>
      </c>
    </row>
    <row r="1381" spans="1:4" ht="15.75" customHeight="1">
      <c r="A1381" s="22">
        <v>29679773</v>
      </c>
      <c r="B1381" s="4">
        <v>35371815</v>
      </c>
      <c r="C1381" s="4" t="str">
        <f t="shared" si="6"/>
        <v/>
      </c>
      <c r="D1381" s="4" t="s">
        <v>302</v>
      </c>
    </row>
    <row r="1382" spans="1:4" ht="15.75" customHeight="1">
      <c r="A1382" s="22">
        <v>37422195</v>
      </c>
      <c r="B1382" s="4">
        <v>32386102</v>
      </c>
      <c r="C1382" s="4" t="str">
        <f t="shared" si="6"/>
        <v/>
      </c>
      <c r="D1382" s="4" t="s">
        <v>302</v>
      </c>
    </row>
    <row r="1383" spans="1:4" ht="15.75" customHeight="1">
      <c r="A1383" s="22">
        <v>33965190</v>
      </c>
      <c r="B1383" s="4">
        <v>11339860</v>
      </c>
      <c r="C1383" s="4" t="str">
        <f t="shared" si="6"/>
        <v/>
      </c>
      <c r="D1383" s="4" t="s">
        <v>302</v>
      </c>
    </row>
    <row r="1384" spans="1:4" ht="15.75" customHeight="1">
      <c r="A1384" s="22">
        <v>37649537</v>
      </c>
      <c r="B1384" s="4">
        <v>20487415</v>
      </c>
      <c r="C1384" s="4" t="str">
        <f t="shared" si="6"/>
        <v/>
      </c>
      <c r="D1384" s="4" t="s">
        <v>302</v>
      </c>
    </row>
    <row r="1385" spans="1:4" ht="15.75" customHeight="1">
      <c r="A1385" s="22">
        <v>14742988</v>
      </c>
      <c r="B1385" s="4">
        <v>22497528</v>
      </c>
      <c r="C1385" s="4" t="str">
        <f t="shared" si="6"/>
        <v/>
      </c>
      <c r="D1385" s="4" t="s">
        <v>302</v>
      </c>
    </row>
    <row r="1386" spans="1:4" ht="15.75" customHeight="1">
      <c r="A1386" s="22">
        <v>34757063</v>
      </c>
      <c r="B1386" s="4">
        <v>36110128</v>
      </c>
      <c r="C1386" s="4" t="str">
        <f t="shared" si="6"/>
        <v/>
      </c>
      <c r="D1386" s="4" t="s">
        <v>302</v>
      </c>
    </row>
    <row r="1387" spans="1:4" ht="15.75" customHeight="1">
      <c r="A1387" s="22">
        <v>34298243</v>
      </c>
      <c r="B1387" s="4">
        <v>16387127</v>
      </c>
      <c r="C1387" s="4" t="str">
        <f t="shared" si="6"/>
        <v/>
      </c>
      <c r="D1387" s="4" t="s">
        <v>302</v>
      </c>
    </row>
    <row r="1388" spans="1:4" ht="15.75" customHeight="1">
      <c r="A1388" s="22">
        <v>31798967</v>
      </c>
      <c r="B1388" s="4">
        <v>20414752</v>
      </c>
      <c r="C1388" s="4" t="str">
        <f t="shared" si="6"/>
        <v/>
      </c>
      <c r="D1388" s="4" t="s">
        <v>302</v>
      </c>
    </row>
    <row r="1389" spans="1:4" ht="15.75" customHeight="1">
      <c r="A1389" s="22">
        <v>27364410</v>
      </c>
      <c r="B1389" s="4">
        <v>27928011</v>
      </c>
      <c r="C1389" s="4" t="str">
        <f t="shared" si="6"/>
        <v/>
      </c>
      <c r="D1389" s="4" t="s">
        <v>302</v>
      </c>
    </row>
    <row r="1390" spans="1:4" ht="15.75" customHeight="1">
      <c r="A1390" s="22">
        <v>10968172</v>
      </c>
      <c r="B1390" s="4">
        <v>23816504</v>
      </c>
      <c r="C1390" s="4" t="str">
        <f t="shared" si="6"/>
        <v/>
      </c>
      <c r="D1390" s="4" t="s">
        <v>302</v>
      </c>
    </row>
    <row r="1391" spans="1:4" ht="15.75" customHeight="1">
      <c r="A1391" s="22">
        <v>21348118</v>
      </c>
      <c r="B1391" s="4">
        <v>12355385</v>
      </c>
      <c r="C1391" s="4" t="str">
        <f t="shared" si="6"/>
        <v/>
      </c>
      <c r="D1391" s="4" t="s">
        <v>302</v>
      </c>
    </row>
    <row r="1392" spans="1:4" ht="15.75" customHeight="1">
      <c r="A1392" s="22">
        <v>37543212</v>
      </c>
      <c r="B1392" s="4">
        <v>9366423</v>
      </c>
      <c r="C1392" s="4" t="str">
        <f t="shared" si="6"/>
        <v/>
      </c>
      <c r="D1392" s="4" t="s">
        <v>302</v>
      </c>
    </row>
    <row r="1393" spans="1:4" ht="15.75" customHeight="1">
      <c r="A1393" s="22">
        <v>21328386</v>
      </c>
      <c r="B1393" s="4">
        <v>33917715</v>
      </c>
      <c r="C1393" s="4" t="str">
        <f t="shared" si="6"/>
        <v/>
      </c>
      <c r="D1393" s="4" t="s">
        <v>302</v>
      </c>
    </row>
    <row r="1394" spans="1:4" ht="15.75" customHeight="1">
      <c r="A1394" s="22">
        <v>25462450</v>
      </c>
      <c r="B1394" s="4">
        <v>32401076</v>
      </c>
      <c r="C1394" s="4" t="str">
        <f t="shared" si="6"/>
        <v/>
      </c>
      <c r="D1394" s="4" t="s">
        <v>302</v>
      </c>
    </row>
    <row r="1395" spans="1:4" ht="15.75" customHeight="1">
      <c r="A1395" s="22">
        <v>12858204</v>
      </c>
      <c r="B1395" s="4">
        <v>26920464</v>
      </c>
      <c r="C1395" s="4" t="str">
        <f t="shared" si="6"/>
        <v/>
      </c>
      <c r="D1395" s="4" t="s">
        <v>302</v>
      </c>
    </row>
    <row r="1396" spans="1:4" ht="15.75" customHeight="1">
      <c r="A1396" s="22">
        <v>25015512</v>
      </c>
      <c r="B1396" s="4">
        <v>2824914</v>
      </c>
      <c r="C1396" s="4" t="str">
        <f t="shared" si="6"/>
        <v/>
      </c>
      <c r="D1396" s="4" t="s">
        <v>302</v>
      </c>
    </row>
    <row r="1397" spans="1:4" ht="15.75" customHeight="1">
      <c r="A1397" s="22">
        <v>8212853</v>
      </c>
      <c r="B1397" s="4">
        <v>1337559</v>
      </c>
      <c r="C1397" s="4" t="str">
        <f t="shared" si="6"/>
        <v/>
      </c>
      <c r="D1397" s="4" t="s">
        <v>302</v>
      </c>
    </row>
    <row r="1398" spans="1:4" ht="15.75" customHeight="1">
      <c r="A1398" s="22">
        <v>35371815</v>
      </c>
      <c r="B1398" s="4">
        <v>32036434</v>
      </c>
      <c r="C1398" s="4" t="str">
        <f t="shared" si="6"/>
        <v/>
      </c>
      <c r="D1398" s="4" t="s">
        <v>302</v>
      </c>
    </row>
    <row r="1399" spans="1:4" ht="15.75" customHeight="1">
      <c r="A1399" s="22">
        <v>28392330</v>
      </c>
      <c r="B1399" s="4">
        <v>20851868</v>
      </c>
      <c r="C1399" s="4" t="str">
        <f t="shared" si="6"/>
        <v/>
      </c>
      <c r="D1399" s="4" t="s">
        <v>302</v>
      </c>
    </row>
    <row r="1400" spans="1:4" ht="15.75" customHeight="1">
      <c r="A1400" s="22">
        <v>38771118</v>
      </c>
      <c r="B1400" s="4">
        <v>2548350</v>
      </c>
      <c r="C1400" s="4">
        <f t="shared" si="6"/>
        <v>38771118</v>
      </c>
      <c r="D1400" s="4" t="s">
        <v>302</v>
      </c>
    </row>
    <row r="1401" spans="1:4" ht="15.75" customHeight="1">
      <c r="A1401" s="22">
        <v>32386102</v>
      </c>
      <c r="B1401" s="4">
        <v>33088521</v>
      </c>
      <c r="C1401" s="4" t="str">
        <f t="shared" si="6"/>
        <v/>
      </c>
      <c r="D1401" s="4" t="s">
        <v>302</v>
      </c>
    </row>
    <row r="1402" spans="1:4" ht="15.75" customHeight="1">
      <c r="A1402" s="22">
        <v>11339860</v>
      </c>
      <c r="B1402" s="4">
        <v>31554674</v>
      </c>
      <c r="C1402" s="4" t="str">
        <f t="shared" si="6"/>
        <v/>
      </c>
      <c r="D1402" s="4" t="s">
        <v>302</v>
      </c>
    </row>
    <row r="1403" spans="1:4" ht="15.75" customHeight="1">
      <c r="A1403" s="22">
        <v>20487415</v>
      </c>
      <c r="B1403" s="4">
        <v>28452096</v>
      </c>
      <c r="C1403" s="4" t="str">
        <f t="shared" si="6"/>
        <v/>
      </c>
      <c r="D1403" s="4" t="s">
        <v>302</v>
      </c>
    </row>
    <row r="1404" spans="1:4" ht="15.75" customHeight="1">
      <c r="A1404" s="22">
        <v>22497528</v>
      </c>
      <c r="B1404" s="4">
        <v>18628071</v>
      </c>
      <c r="C1404" s="4" t="str">
        <f t="shared" si="6"/>
        <v/>
      </c>
      <c r="D1404" s="4" t="s">
        <v>302</v>
      </c>
    </row>
    <row r="1405" spans="1:4" ht="15.75" customHeight="1">
      <c r="A1405" s="22">
        <v>28443092</v>
      </c>
      <c r="B1405" s="4">
        <v>34523191</v>
      </c>
      <c r="C1405" s="4" t="str">
        <f t="shared" si="6"/>
        <v/>
      </c>
      <c r="D1405" s="4" t="s">
        <v>302</v>
      </c>
    </row>
    <row r="1406" spans="1:4" ht="15.75" customHeight="1">
      <c r="A1406" s="22">
        <v>27928011</v>
      </c>
      <c r="B1406" s="4">
        <v>27307972</v>
      </c>
      <c r="C1406" s="4" t="str">
        <f t="shared" si="6"/>
        <v/>
      </c>
      <c r="D1406" s="4" t="s">
        <v>302</v>
      </c>
    </row>
    <row r="1407" spans="1:4" ht="15.75" customHeight="1">
      <c r="A1407" s="22">
        <v>20414752</v>
      </c>
      <c r="B1407" s="4">
        <v>29020348</v>
      </c>
      <c r="C1407" s="4" t="str">
        <f t="shared" si="6"/>
        <v/>
      </c>
      <c r="D1407" s="4" t="s">
        <v>302</v>
      </c>
    </row>
    <row r="1408" spans="1:4" ht="15.75" customHeight="1">
      <c r="A1408" s="22">
        <v>36110128</v>
      </c>
      <c r="B1408" s="4">
        <v>25807050</v>
      </c>
      <c r="C1408" s="4" t="str">
        <f t="shared" si="6"/>
        <v/>
      </c>
      <c r="D1408" s="4" t="s">
        <v>302</v>
      </c>
    </row>
    <row r="1409" spans="1:4" ht="15.75" customHeight="1">
      <c r="A1409" s="22">
        <v>23816504</v>
      </c>
      <c r="B1409" s="4">
        <v>29528545</v>
      </c>
      <c r="C1409" s="4" t="str">
        <f t="shared" si="6"/>
        <v/>
      </c>
      <c r="D1409" s="4" t="s">
        <v>302</v>
      </c>
    </row>
    <row r="1410" spans="1:4" ht="15.75" customHeight="1">
      <c r="A1410" s="22">
        <v>38298135</v>
      </c>
      <c r="B1410" s="4">
        <v>37181429</v>
      </c>
      <c r="C1410" s="4">
        <f t="shared" si="6"/>
        <v>38298135</v>
      </c>
      <c r="D1410" s="4" t="s">
        <v>302</v>
      </c>
    </row>
    <row r="1411" spans="1:4" ht="15.75" customHeight="1">
      <c r="A1411" s="22">
        <v>12355385</v>
      </c>
      <c r="B1411" s="4">
        <v>26555946</v>
      </c>
      <c r="C1411" s="4" t="str">
        <f t="shared" si="6"/>
        <v/>
      </c>
      <c r="D1411" s="4" t="s">
        <v>302</v>
      </c>
    </row>
    <row r="1412" spans="1:4" ht="15.75" customHeight="1">
      <c r="A1412" s="22">
        <v>9366423</v>
      </c>
      <c r="B1412" s="4">
        <v>37279857</v>
      </c>
      <c r="C1412" s="4" t="str">
        <f t="shared" si="6"/>
        <v/>
      </c>
      <c r="D1412" s="4" t="s">
        <v>302</v>
      </c>
    </row>
    <row r="1413" spans="1:4" ht="15.75" customHeight="1">
      <c r="A1413" s="22">
        <v>19022297</v>
      </c>
      <c r="B1413" s="4">
        <v>21348077</v>
      </c>
      <c r="C1413" s="4" t="str">
        <f t="shared" si="6"/>
        <v/>
      </c>
      <c r="D1413" s="4" t="s">
        <v>302</v>
      </c>
    </row>
    <row r="1414" spans="1:4" ht="15.75" customHeight="1">
      <c r="A1414" s="22">
        <v>32401076</v>
      </c>
      <c r="B1414" s="4">
        <v>32201900</v>
      </c>
      <c r="C1414" s="4" t="str">
        <f t="shared" si="6"/>
        <v/>
      </c>
      <c r="D1414" s="4" t="s">
        <v>302</v>
      </c>
    </row>
    <row r="1415" spans="1:4" ht="15.75" customHeight="1">
      <c r="A1415" s="22">
        <v>26920464</v>
      </c>
      <c r="B1415" s="4">
        <v>11964800</v>
      </c>
      <c r="C1415" s="4" t="str">
        <f t="shared" si="6"/>
        <v/>
      </c>
      <c r="D1415" s="4" t="s">
        <v>302</v>
      </c>
    </row>
    <row r="1416" spans="1:4" ht="15.75" customHeight="1">
      <c r="A1416" s="22">
        <v>33917715</v>
      </c>
      <c r="B1416" s="4">
        <v>29297965</v>
      </c>
      <c r="C1416" s="4" t="str">
        <f t="shared" si="6"/>
        <v/>
      </c>
      <c r="D1416" s="4" t="s">
        <v>302</v>
      </c>
    </row>
    <row r="1417" spans="1:4" ht="15.75" customHeight="1">
      <c r="A1417" s="22">
        <v>2824914</v>
      </c>
      <c r="B1417" s="4">
        <v>33311918</v>
      </c>
      <c r="C1417" s="4" t="str">
        <f t="shared" si="6"/>
        <v/>
      </c>
      <c r="D1417" s="4" t="s">
        <v>302</v>
      </c>
    </row>
    <row r="1418" spans="1:4" ht="15.75" customHeight="1">
      <c r="A1418" s="22">
        <v>38487325</v>
      </c>
      <c r="B1418" s="4">
        <v>11342304</v>
      </c>
      <c r="C1418" s="4">
        <f t="shared" si="6"/>
        <v>38487325</v>
      </c>
      <c r="D1418" s="4" t="s">
        <v>302</v>
      </c>
    </row>
    <row r="1419" spans="1:4" ht="15.75" customHeight="1">
      <c r="A1419" s="22">
        <v>1337559</v>
      </c>
      <c r="B1419" s="4">
        <v>17412968</v>
      </c>
      <c r="C1419" s="4" t="str">
        <f t="shared" si="6"/>
        <v/>
      </c>
      <c r="D1419" s="4" t="s">
        <v>302</v>
      </c>
    </row>
    <row r="1420" spans="1:4" ht="15.75" customHeight="1">
      <c r="A1420" s="22">
        <v>20851868</v>
      </c>
      <c r="B1420" s="4">
        <v>30742492</v>
      </c>
      <c r="C1420" s="4" t="str">
        <f t="shared" si="6"/>
        <v/>
      </c>
      <c r="D1420" s="4" t="s">
        <v>302</v>
      </c>
    </row>
    <row r="1421" spans="1:4" ht="15.75" customHeight="1">
      <c r="A1421" s="22">
        <v>2548350</v>
      </c>
      <c r="B1421" s="4">
        <v>28668490</v>
      </c>
      <c r="C1421" s="4" t="str">
        <f t="shared" si="6"/>
        <v/>
      </c>
      <c r="D1421" s="4" t="s">
        <v>302</v>
      </c>
    </row>
    <row r="1422" spans="1:4" ht="15.75" customHeight="1">
      <c r="A1422" s="22">
        <v>32036434</v>
      </c>
      <c r="B1422" s="4">
        <v>29326672</v>
      </c>
      <c r="C1422" s="4" t="str">
        <f t="shared" si="6"/>
        <v/>
      </c>
      <c r="D1422" s="4" t="s">
        <v>302</v>
      </c>
    </row>
    <row r="1423" spans="1:4" ht="15.75" customHeight="1">
      <c r="A1423" s="22">
        <v>18628071</v>
      </c>
      <c r="B1423" s="4">
        <v>23821512</v>
      </c>
      <c r="C1423" s="4" t="str">
        <f t="shared" si="6"/>
        <v/>
      </c>
      <c r="D1423" s="4" t="s">
        <v>302</v>
      </c>
    </row>
    <row r="1424" spans="1:4" ht="15.75" customHeight="1">
      <c r="A1424" s="22">
        <v>33088521</v>
      </c>
      <c r="B1424" s="4">
        <v>1893076</v>
      </c>
      <c r="C1424" s="4" t="str">
        <f t="shared" si="6"/>
        <v/>
      </c>
      <c r="D1424" s="4" t="s">
        <v>302</v>
      </c>
    </row>
    <row r="1425" spans="1:4" ht="15.75" customHeight="1">
      <c r="A1425" s="22">
        <v>31554674</v>
      </c>
      <c r="B1425" s="4">
        <v>28390986</v>
      </c>
      <c r="C1425" s="4" t="str">
        <f t="shared" si="6"/>
        <v/>
      </c>
      <c r="D1425" s="4" t="s">
        <v>302</v>
      </c>
    </row>
    <row r="1426" spans="1:4" ht="15.75" customHeight="1">
      <c r="A1426" s="22">
        <v>34523191</v>
      </c>
      <c r="B1426" s="4">
        <v>37808908</v>
      </c>
      <c r="C1426" s="4" t="str">
        <f t="shared" si="6"/>
        <v/>
      </c>
      <c r="D1426" s="4" t="s">
        <v>302</v>
      </c>
    </row>
    <row r="1427" spans="1:4" ht="15.75" customHeight="1">
      <c r="A1427" s="22">
        <v>25807050</v>
      </c>
      <c r="B1427" s="4">
        <v>31528583</v>
      </c>
      <c r="C1427" s="4" t="str">
        <f t="shared" si="6"/>
        <v/>
      </c>
      <c r="D1427" s="4" t="s">
        <v>302</v>
      </c>
    </row>
    <row r="1428" spans="1:4" ht="15.75" customHeight="1">
      <c r="A1428" s="22">
        <v>29528545</v>
      </c>
      <c r="B1428" s="4">
        <v>25918347</v>
      </c>
      <c r="C1428" s="4" t="str">
        <f t="shared" si="6"/>
        <v/>
      </c>
      <c r="D1428" s="4" t="s">
        <v>302</v>
      </c>
    </row>
    <row r="1429" spans="1:4" ht="15.75" customHeight="1">
      <c r="A1429" s="22">
        <v>28452096</v>
      </c>
      <c r="B1429" s="4">
        <v>24445302</v>
      </c>
      <c r="C1429" s="4" t="str">
        <f t="shared" si="6"/>
        <v/>
      </c>
      <c r="D1429" s="4" t="s">
        <v>302</v>
      </c>
    </row>
    <row r="1430" spans="1:4" ht="15.75" customHeight="1">
      <c r="A1430" s="22">
        <v>26555946</v>
      </c>
      <c r="B1430" s="4">
        <v>22872823</v>
      </c>
      <c r="C1430" s="4" t="str">
        <f t="shared" si="6"/>
        <v/>
      </c>
      <c r="D1430" s="4" t="s">
        <v>302</v>
      </c>
    </row>
    <row r="1431" spans="1:4" ht="15.75" customHeight="1">
      <c r="A1431" s="22">
        <v>32201900</v>
      </c>
      <c r="B1431" s="4">
        <v>8805707</v>
      </c>
      <c r="C1431" s="4" t="str">
        <f t="shared" si="6"/>
        <v/>
      </c>
      <c r="D1431" s="4" t="s">
        <v>302</v>
      </c>
    </row>
    <row r="1432" spans="1:4" ht="15.75" customHeight="1">
      <c r="A1432" s="22">
        <v>29020348</v>
      </c>
      <c r="B1432" s="4">
        <v>2542794</v>
      </c>
      <c r="C1432" s="4" t="str">
        <f t="shared" si="6"/>
        <v/>
      </c>
      <c r="D1432" s="4" t="s">
        <v>302</v>
      </c>
    </row>
    <row r="1433" spans="1:4" ht="15.75" customHeight="1">
      <c r="A1433" s="22">
        <v>27307972</v>
      </c>
      <c r="B1433" s="4">
        <v>11996753</v>
      </c>
      <c r="C1433" s="4" t="str">
        <f t="shared" si="6"/>
        <v/>
      </c>
      <c r="D1433" s="4" t="s">
        <v>302</v>
      </c>
    </row>
    <row r="1434" spans="1:4" ht="15.75" customHeight="1">
      <c r="A1434" s="22">
        <v>33311918</v>
      </c>
      <c r="B1434" s="4">
        <v>19671120</v>
      </c>
      <c r="C1434" s="4" t="str">
        <f t="shared" si="6"/>
        <v/>
      </c>
      <c r="D1434" s="4" t="s">
        <v>302</v>
      </c>
    </row>
    <row r="1435" spans="1:4" ht="15.75" customHeight="1">
      <c r="A1435" s="22">
        <v>21348077</v>
      </c>
      <c r="B1435" s="4">
        <v>16225414</v>
      </c>
      <c r="C1435" s="4" t="str">
        <f t="shared" si="6"/>
        <v/>
      </c>
      <c r="D1435" s="4" t="s">
        <v>302</v>
      </c>
    </row>
    <row r="1436" spans="1:4" ht="15.75" customHeight="1">
      <c r="A1436" s="22">
        <v>30742492</v>
      </c>
      <c r="B1436" s="4">
        <v>31516647</v>
      </c>
      <c r="C1436" s="4" t="str">
        <f t="shared" si="6"/>
        <v/>
      </c>
      <c r="D1436" s="4" t="s">
        <v>302</v>
      </c>
    </row>
    <row r="1437" spans="1:4" ht="15.75" customHeight="1">
      <c r="A1437" s="22">
        <v>11964800</v>
      </c>
      <c r="B1437" s="4">
        <v>28755030</v>
      </c>
      <c r="C1437" s="4" t="str">
        <f t="shared" si="6"/>
        <v/>
      </c>
      <c r="D1437" s="4" t="s">
        <v>302</v>
      </c>
    </row>
    <row r="1438" spans="1:4" ht="15.75" customHeight="1">
      <c r="A1438" s="22">
        <v>17412968</v>
      </c>
      <c r="B1438" s="4">
        <v>19022297</v>
      </c>
      <c r="C1438" s="4" t="str">
        <f t="shared" si="6"/>
        <v/>
      </c>
      <c r="D1438" s="4" t="s">
        <v>302</v>
      </c>
    </row>
    <row r="1439" spans="1:4" ht="15.75" customHeight="1">
      <c r="A1439" s="22">
        <v>28668490</v>
      </c>
      <c r="B1439" s="4">
        <v>22018204</v>
      </c>
      <c r="C1439" s="4" t="str">
        <f t="shared" si="6"/>
        <v/>
      </c>
      <c r="D1439" s="4" t="s">
        <v>302</v>
      </c>
    </row>
    <row r="1440" spans="1:4" ht="15.75" customHeight="1">
      <c r="A1440" s="22">
        <v>11342304</v>
      </c>
      <c r="B1440" s="4">
        <v>21487503</v>
      </c>
      <c r="C1440" s="4" t="str">
        <f t="shared" si="6"/>
        <v/>
      </c>
      <c r="D1440" s="4" t="s">
        <v>302</v>
      </c>
    </row>
    <row r="1441" spans="1:4" ht="15.75" customHeight="1">
      <c r="A1441" s="22">
        <v>29545911</v>
      </c>
      <c r="B1441" s="4">
        <v>7510619</v>
      </c>
      <c r="C1441" s="4" t="str">
        <f t="shared" si="6"/>
        <v/>
      </c>
      <c r="D1441" s="4" t="s">
        <v>302</v>
      </c>
    </row>
    <row r="1442" spans="1:4" ht="15.75" customHeight="1">
      <c r="A1442" s="22">
        <v>23821512</v>
      </c>
      <c r="B1442" s="4">
        <v>19892483</v>
      </c>
      <c r="C1442" s="4" t="str">
        <f t="shared" si="6"/>
        <v/>
      </c>
      <c r="D1442" s="4" t="s">
        <v>302</v>
      </c>
    </row>
    <row r="1443" spans="1:4" ht="15.75" customHeight="1">
      <c r="A1443" s="22">
        <v>28390986</v>
      </c>
      <c r="B1443" s="4">
        <v>12868990</v>
      </c>
      <c r="C1443" s="4" t="str">
        <f t="shared" si="6"/>
        <v/>
      </c>
      <c r="D1443" s="4" t="s">
        <v>302</v>
      </c>
    </row>
    <row r="1444" spans="1:4" ht="15.75" customHeight="1">
      <c r="A1444" s="22">
        <v>1893076</v>
      </c>
      <c r="B1444" s="4">
        <v>21858750</v>
      </c>
      <c r="C1444" s="4" t="str">
        <f t="shared" si="6"/>
        <v/>
      </c>
      <c r="D1444" s="4" t="s">
        <v>302</v>
      </c>
    </row>
    <row r="1445" spans="1:4" ht="15.75" customHeight="1">
      <c r="A1445" s="22">
        <v>37808908</v>
      </c>
      <c r="B1445" s="4">
        <v>15566823</v>
      </c>
      <c r="C1445" s="4" t="str">
        <f t="shared" si="6"/>
        <v/>
      </c>
      <c r="D1445" s="4" t="s">
        <v>302</v>
      </c>
    </row>
    <row r="1446" spans="1:4" ht="15.75" customHeight="1">
      <c r="A1446" s="22">
        <v>37279857</v>
      </c>
      <c r="B1446" s="4">
        <v>19664576</v>
      </c>
      <c r="C1446" s="4" t="str">
        <f t="shared" si="6"/>
        <v/>
      </c>
      <c r="D1446" s="4" t="s">
        <v>302</v>
      </c>
    </row>
    <row r="1447" spans="1:4" ht="15.75" customHeight="1">
      <c r="A1447" s="22">
        <v>31528583</v>
      </c>
      <c r="B1447" s="4">
        <v>23465006</v>
      </c>
      <c r="C1447" s="4" t="str">
        <f t="shared" si="6"/>
        <v/>
      </c>
      <c r="D1447" s="4" t="s">
        <v>302</v>
      </c>
    </row>
    <row r="1448" spans="1:4" ht="15.75" customHeight="1">
      <c r="A1448" s="22">
        <v>25918347</v>
      </c>
      <c r="B1448" s="4">
        <v>34788405</v>
      </c>
      <c r="C1448" s="4" t="str">
        <f t="shared" si="6"/>
        <v/>
      </c>
      <c r="D1448" s="4" t="s">
        <v>302</v>
      </c>
    </row>
    <row r="1449" spans="1:4" ht="15.75" customHeight="1">
      <c r="A1449" s="22">
        <v>29297965</v>
      </c>
      <c r="B1449" s="4">
        <v>9043936</v>
      </c>
      <c r="C1449" s="4" t="str">
        <f t="shared" si="6"/>
        <v/>
      </c>
      <c r="D1449" s="4" t="s">
        <v>302</v>
      </c>
    </row>
    <row r="1450" spans="1:4" ht="15.75" customHeight="1">
      <c r="A1450" s="22">
        <v>24923536</v>
      </c>
      <c r="B1450" s="4">
        <v>16250879</v>
      </c>
      <c r="C1450" s="4" t="str">
        <f t="shared" si="6"/>
        <v/>
      </c>
      <c r="D1450" s="4" t="s">
        <v>302</v>
      </c>
    </row>
    <row r="1451" spans="1:4" ht="15.75" customHeight="1">
      <c r="A1451" s="22">
        <v>22872823</v>
      </c>
      <c r="B1451" s="4">
        <v>38200989</v>
      </c>
      <c r="C1451" s="4" t="str">
        <f t="shared" si="6"/>
        <v/>
      </c>
      <c r="D1451" s="4" t="s">
        <v>302</v>
      </c>
    </row>
    <row r="1452" spans="1:4" ht="15.75" customHeight="1">
      <c r="A1452" s="22">
        <v>8805707</v>
      </c>
      <c r="B1452" s="4">
        <v>29178248</v>
      </c>
      <c r="C1452" s="4" t="str">
        <f t="shared" si="6"/>
        <v/>
      </c>
      <c r="D1452" s="4" t="s">
        <v>302</v>
      </c>
    </row>
    <row r="1453" spans="1:4" ht="15.75" customHeight="1">
      <c r="A1453" s="22">
        <v>11996753</v>
      </c>
      <c r="B1453" s="4">
        <v>29545911</v>
      </c>
      <c r="C1453" s="4" t="str">
        <f t="shared" si="6"/>
        <v/>
      </c>
      <c r="D1453" s="4" t="s">
        <v>302</v>
      </c>
    </row>
    <row r="1454" spans="1:4" ht="15.75" customHeight="1">
      <c r="A1454" s="22">
        <v>19671120</v>
      </c>
      <c r="B1454" s="4">
        <v>16931140</v>
      </c>
      <c r="C1454" s="4" t="str">
        <f t="shared" si="6"/>
        <v/>
      </c>
      <c r="D1454" s="4" t="s">
        <v>302</v>
      </c>
    </row>
    <row r="1455" spans="1:4" ht="15.75" customHeight="1">
      <c r="A1455" s="22">
        <v>29326672</v>
      </c>
      <c r="B1455" s="4">
        <v>24923536</v>
      </c>
      <c r="C1455" s="4" t="str">
        <f t="shared" si="6"/>
        <v/>
      </c>
      <c r="D1455" s="4" t="s">
        <v>302</v>
      </c>
    </row>
    <row r="1456" spans="1:4" ht="15.75" customHeight="1">
      <c r="A1456" s="22">
        <v>16225414</v>
      </c>
      <c r="B1456" s="4">
        <v>23271411</v>
      </c>
      <c r="C1456" s="4" t="str">
        <f t="shared" si="6"/>
        <v/>
      </c>
      <c r="D1456" s="4" t="s">
        <v>302</v>
      </c>
    </row>
    <row r="1457" spans="1:4" ht="15.75" customHeight="1">
      <c r="A1457" s="22">
        <v>2542794</v>
      </c>
      <c r="B1457" s="4">
        <v>33359064</v>
      </c>
      <c r="C1457" s="4" t="str">
        <f t="shared" si="6"/>
        <v/>
      </c>
      <c r="D1457" s="4" t="s">
        <v>302</v>
      </c>
    </row>
    <row r="1458" spans="1:4" ht="15.75" customHeight="1">
      <c r="A1458" s="22">
        <v>31516647</v>
      </c>
      <c r="B1458" s="4">
        <v>34587551</v>
      </c>
      <c r="C1458" s="4" t="str">
        <f t="shared" si="6"/>
        <v/>
      </c>
      <c r="D1458" s="4" t="s">
        <v>302</v>
      </c>
    </row>
    <row r="1459" spans="1:4" ht="15.75" customHeight="1">
      <c r="A1459" s="22">
        <v>38593233</v>
      </c>
      <c r="B1459" s="4">
        <v>36493341</v>
      </c>
      <c r="C1459" s="4">
        <f t="shared" si="6"/>
        <v>38593233</v>
      </c>
      <c r="D1459" s="4" t="s">
        <v>302</v>
      </c>
    </row>
    <row r="1460" spans="1:4" ht="15.75" customHeight="1">
      <c r="A1460" s="22">
        <v>28755030</v>
      </c>
      <c r="B1460" s="4">
        <v>28398495</v>
      </c>
      <c r="C1460" s="4" t="str">
        <f t="shared" si="6"/>
        <v/>
      </c>
      <c r="D1460" s="4" t="s">
        <v>302</v>
      </c>
    </row>
    <row r="1461" spans="1:4" ht="15.75" customHeight="1">
      <c r="A1461" s="22">
        <v>22018204</v>
      </c>
      <c r="B1461" s="4">
        <v>17033403</v>
      </c>
      <c r="C1461" s="4" t="str">
        <f t="shared" si="6"/>
        <v/>
      </c>
      <c r="D1461" s="4" t="s">
        <v>302</v>
      </c>
    </row>
    <row r="1462" spans="1:4" ht="15.75" customHeight="1">
      <c r="A1462" s="22">
        <v>38243840</v>
      </c>
      <c r="B1462" s="4">
        <v>24881673</v>
      </c>
      <c r="C1462" s="4" t="str">
        <f t="shared" si="6"/>
        <v/>
      </c>
      <c r="D1462" s="4" t="s">
        <v>302</v>
      </c>
    </row>
    <row r="1463" spans="1:4" ht="15.75" customHeight="1">
      <c r="A1463" s="22">
        <v>7510619</v>
      </c>
      <c r="B1463" s="4">
        <v>33670052</v>
      </c>
      <c r="C1463" s="4" t="str">
        <f t="shared" si="6"/>
        <v/>
      </c>
      <c r="D1463" s="4" t="s">
        <v>302</v>
      </c>
    </row>
    <row r="1464" spans="1:4" ht="15.75" customHeight="1">
      <c r="A1464" s="22">
        <v>2560617</v>
      </c>
      <c r="B1464" s="4">
        <v>8085554</v>
      </c>
      <c r="C1464" s="4" t="str">
        <f t="shared" si="6"/>
        <v/>
      </c>
      <c r="D1464" s="4" t="s">
        <v>302</v>
      </c>
    </row>
    <row r="1465" spans="1:4" ht="15.75" customHeight="1">
      <c r="A1465" s="22">
        <v>24445302</v>
      </c>
      <c r="B1465" s="4">
        <v>31248389</v>
      </c>
      <c r="C1465" s="4" t="str">
        <f t="shared" si="6"/>
        <v/>
      </c>
      <c r="D1465" s="4" t="s">
        <v>302</v>
      </c>
    </row>
    <row r="1466" spans="1:4" ht="15.75" customHeight="1">
      <c r="A1466" s="22">
        <v>21487503</v>
      </c>
      <c r="B1466" s="4">
        <v>17035801</v>
      </c>
      <c r="C1466" s="4" t="str">
        <f t="shared" si="6"/>
        <v/>
      </c>
      <c r="D1466" s="4" t="s">
        <v>302</v>
      </c>
    </row>
    <row r="1467" spans="1:4" ht="15.75" customHeight="1">
      <c r="A1467" s="22">
        <v>19892483</v>
      </c>
      <c r="B1467" s="4">
        <v>16382451</v>
      </c>
      <c r="C1467" s="4" t="str">
        <f t="shared" si="6"/>
        <v/>
      </c>
      <c r="D1467" s="4" t="s">
        <v>302</v>
      </c>
    </row>
    <row r="1468" spans="1:4" ht="15.75" customHeight="1">
      <c r="A1468" s="22">
        <v>21858750</v>
      </c>
      <c r="B1468" s="4">
        <v>26493843</v>
      </c>
      <c r="C1468" s="4" t="str">
        <f t="shared" si="6"/>
        <v/>
      </c>
      <c r="D1468" s="4" t="s">
        <v>302</v>
      </c>
    </row>
    <row r="1469" spans="1:4" ht="15.75" customHeight="1">
      <c r="A1469" s="22">
        <v>15566823</v>
      </c>
      <c r="B1469" s="4">
        <v>30663091</v>
      </c>
      <c r="C1469" s="4" t="str">
        <f t="shared" si="6"/>
        <v/>
      </c>
      <c r="D1469" s="4" t="s">
        <v>302</v>
      </c>
    </row>
    <row r="1470" spans="1:4" ht="15.75" customHeight="1">
      <c r="A1470" s="22">
        <v>19664576</v>
      </c>
      <c r="B1470" s="4">
        <v>22524157</v>
      </c>
      <c r="C1470" s="4" t="str">
        <f t="shared" si="6"/>
        <v/>
      </c>
      <c r="D1470" s="4" t="s">
        <v>302</v>
      </c>
    </row>
    <row r="1471" spans="1:4" ht="15.75" customHeight="1">
      <c r="A1471" s="22">
        <v>23465006</v>
      </c>
      <c r="B1471" s="4">
        <v>12627369</v>
      </c>
      <c r="C1471" s="4" t="str">
        <f t="shared" si="6"/>
        <v/>
      </c>
      <c r="D1471" s="4" t="s">
        <v>302</v>
      </c>
    </row>
    <row r="1472" spans="1:4" ht="15.75" customHeight="1">
      <c r="A1472" s="22">
        <v>34788405</v>
      </c>
      <c r="B1472" s="4">
        <v>32450288</v>
      </c>
      <c r="C1472" s="4" t="str">
        <f t="shared" si="6"/>
        <v/>
      </c>
      <c r="D1472" s="4" t="s">
        <v>302</v>
      </c>
    </row>
    <row r="1473" spans="1:4" ht="15.75" customHeight="1">
      <c r="A1473" s="22">
        <v>38200989</v>
      </c>
      <c r="B1473" s="4">
        <v>19298239</v>
      </c>
      <c r="C1473" s="4" t="str">
        <f t="shared" si="6"/>
        <v/>
      </c>
      <c r="D1473" s="4" t="s">
        <v>302</v>
      </c>
    </row>
    <row r="1474" spans="1:4" ht="15.75" customHeight="1">
      <c r="A1474" s="22">
        <v>16250879</v>
      </c>
      <c r="B1474" s="4">
        <v>10846461</v>
      </c>
      <c r="C1474" s="4" t="str">
        <f t="shared" si="6"/>
        <v/>
      </c>
      <c r="D1474" s="4" t="s">
        <v>302</v>
      </c>
    </row>
    <row r="1475" spans="1:4" ht="15.75" customHeight="1">
      <c r="A1475" s="22">
        <v>29178248</v>
      </c>
      <c r="B1475" s="4">
        <v>19033999</v>
      </c>
      <c r="C1475" s="4" t="str">
        <f t="shared" si="6"/>
        <v/>
      </c>
      <c r="D1475" s="4" t="s">
        <v>302</v>
      </c>
    </row>
    <row r="1476" spans="1:4" ht="15.75" customHeight="1">
      <c r="A1476" s="22">
        <v>12868990</v>
      </c>
      <c r="B1476" s="4">
        <v>17173218</v>
      </c>
      <c r="C1476" s="4" t="str">
        <f t="shared" si="6"/>
        <v/>
      </c>
      <c r="D1476" s="4" t="s">
        <v>302</v>
      </c>
    </row>
    <row r="1477" spans="1:4" ht="15.75" customHeight="1">
      <c r="A1477" s="22">
        <v>38768311</v>
      </c>
      <c r="B1477" s="4">
        <v>2904225</v>
      </c>
      <c r="C1477" s="4">
        <f t="shared" si="6"/>
        <v>38768311</v>
      </c>
      <c r="D1477" s="4" t="s">
        <v>302</v>
      </c>
    </row>
    <row r="1478" spans="1:4" ht="15.75" customHeight="1">
      <c r="A1478" s="22">
        <v>16931140</v>
      </c>
      <c r="B1478" s="4">
        <v>36189995</v>
      </c>
      <c r="C1478" s="4" t="str">
        <f t="shared" si="6"/>
        <v/>
      </c>
      <c r="D1478" s="4" t="s">
        <v>302</v>
      </c>
    </row>
    <row r="1479" spans="1:4" ht="15.75" customHeight="1">
      <c r="A1479" s="22">
        <v>9043936</v>
      </c>
      <c r="B1479" s="4">
        <v>12206970</v>
      </c>
      <c r="C1479" s="4" t="str">
        <f t="shared" si="6"/>
        <v/>
      </c>
      <c r="D1479" s="4" t="s">
        <v>302</v>
      </c>
    </row>
    <row r="1480" spans="1:4" ht="15.75" customHeight="1">
      <c r="A1480" s="22">
        <v>34587551</v>
      </c>
      <c r="B1480" s="4">
        <v>30696997</v>
      </c>
      <c r="C1480" s="4" t="str">
        <f t="shared" si="6"/>
        <v/>
      </c>
      <c r="D1480" s="4" t="s">
        <v>302</v>
      </c>
    </row>
    <row r="1481" spans="1:4" ht="15.75" customHeight="1">
      <c r="A1481" s="22">
        <v>28398495</v>
      </c>
      <c r="B1481" s="4">
        <v>22623774</v>
      </c>
      <c r="C1481" s="4" t="str">
        <f t="shared" si="6"/>
        <v/>
      </c>
      <c r="D1481" s="4" t="s">
        <v>302</v>
      </c>
    </row>
    <row r="1482" spans="1:4" ht="15.75" customHeight="1">
      <c r="A1482" s="22">
        <v>36493341</v>
      </c>
      <c r="B1482" s="4">
        <v>17617406</v>
      </c>
      <c r="C1482" s="4" t="str">
        <f t="shared" si="6"/>
        <v/>
      </c>
      <c r="D1482" s="4" t="s">
        <v>302</v>
      </c>
    </row>
    <row r="1483" spans="1:4" ht="15.75" customHeight="1">
      <c r="A1483" s="22">
        <v>17033403</v>
      </c>
      <c r="B1483" s="4">
        <v>31704470</v>
      </c>
      <c r="C1483" s="4" t="str">
        <f t="shared" si="6"/>
        <v/>
      </c>
      <c r="D1483" s="4" t="s">
        <v>302</v>
      </c>
    </row>
    <row r="1484" spans="1:4" ht="15.75" customHeight="1">
      <c r="A1484" s="22">
        <v>23271411</v>
      </c>
      <c r="B1484" s="4">
        <v>2691680</v>
      </c>
      <c r="C1484" s="4" t="str">
        <f t="shared" si="6"/>
        <v/>
      </c>
      <c r="D1484" s="4" t="s">
        <v>302</v>
      </c>
    </row>
    <row r="1485" spans="1:4" ht="15.75" customHeight="1">
      <c r="A1485" s="22">
        <v>33670052</v>
      </c>
      <c r="B1485" s="4">
        <v>32534440</v>
      </c>
      <c r="C1485" s="4" t="str">
        <f t="shared" si="6"/>
        <v/>
      </c>
      <c r="D1485" s="4" t="s">
        <v>302</v>
      </c>
    </row>
    <row r="1486" spans="1:4" ht="15.75" customHeight="1">
      <c r="A1486" s="22">
        <v>8085554</v>
      </c>
      <c r="B1486" s="4">
        <v>2173884</v>
      </c>
      <c r="C1486" s="4" t="str">
        <f t="shared" si="6"/>
        <v/>
      </c>
      <c r="D1486" s="4" t="s">
        <v>302</v>
      </c>
    </row>
    <row r="1487" spans="1:4" ht="15.75" customHeight="1">
      <c r="A1487" s="22">
        <v>31248389</v>
      </c>
      <c r="B1487" s="4">
        <v>36895097</v>
      </c>
      <c r="C1487" s="4" t="str">
        <f t="shared" si="6"/>
        <v/>
      </c>
      <c r="D1487" s="4" t="s">
        <v>302</v>
      </c>
    </row>
    <row r="1488" spans="1:4" ht="15.75" customHeight="1">
      <c r="A1488" s="22">
        <v>26493843</v>
      </c>
      <c r="B1488" s="4">
        <v>22801446</v>
      </c>
      <c r="C1488" s="4" t="str">
        <f t="shared" si="6"/>
        <v/>
      </c>
      <c r="D1488" s="4" t="s">
        <v>302</v>
      </c>
    </row>
    <row r="1489" spans="1:4" ht="15.75" customHeight="1">
      <c r="A1489" s="22">
        <v>17035801</v>
      </c>
      <c r="B1489" s="4">
        <v>18675117</v>
      </c>
      <c r="C1489" s="4" t="str">
        <f t="shared" si="6"/>
        <v/>
      </c>
      <c r="D1489" s="4" t="s">
        <v>302</v>
      </c>
    </row>
    <row r="1490" spans="1:4" ht="15.75" customHeight="1">
      <c r="A1490" s="22">
        <v>16382451</v>
      </c>
      <c r="B1490" s="4">
        <v>34071792</v>
      </c>
      <c r="C1490" s="4" t="str">
        <f t="shared" si="6"/>
        <v/>
      </c>
      <c r="D1490" s="4" t="s">
        <v>302</v>
      </c>
    </row>
    <row r="1491" spans="1:4" ht="15.75" customHeight="1">
      <c r="A1491" s="22">
        <v>30663091</v>
      </c>
      <c r="B1491" s="4">
        <v>33059947</v>
      </c>
      <c r="C1491" s="4" t="str">
        <f t="shared" si="6"/>
        <v/>
      </c>
      <c r="D1491" s="4" t="s">
        <v>302</v>
      </c>
    </row>
    <row r="1492" spans="1:4" ht="15.75" customHeight="1">
      <c r="A1492" s="22">
        <v>22524157</v>
      </c>
      <c r="B1492" s="4">
        <v>1394174</v>
      </c>
      <c r="C1492" s="4" t="str">
        <f t="shared" si="6"/>
        <v/>
      </c>
      <c r="D1492" s="4" t="s">
        <v>302</v>
      </c>
    </row>
    <row r="1493" spans="1:4" ht="15.75" customHeight="1">
      <c r="A1493" s="22">
        <v>24881673</v>
      </c>
      <c r="B1493" s="4">
        <v>28723708</v>
      </c>
      <c r="C1493" s="4" t="str">
        <f t="shared" si="6"/>
        <v/>
      </c>
      <c r="D1493" s="4" t="s">
        <v>302</v>
      </c>
    </row>
    <row r="1494" spans="1:4" ht="15.75" customHeight="1">
      <c r="A1494" s="22">
        <v>12627369</v>
      </c>
      <c r="B1494" s="4">
        <v>20225269</v>
      </c>
      <c r="C1494" s="4" t="str">
        <f t="shared" si="6"/>
        <v/>
      </c>
      <c r="D1494" s="4" t="s">
        <v>302</v>
      </c>
    </row>
    <row r="1495" spans="1:4" ht="15.75" customHeight="1">
      <c r="A1495" s="22">
        <v>33359064</v>
      </c>
      <c r="B1495" s="4">
        <v>9700844</v>
      </c>
      <c r="C1495" s="4" t="str">
        <f t="shared" si="6"/>
        <v/>
      </c>
      <c r="D1495" s="4" t="s">
        <v>302</v>
      </c>
    </row>
    <row r="1496" spans="1:4" ht="15.75" customHeight="1">
      <c r="A1496" s="22">
        <v>32450288</v>
      </c>
      <c r="B1496" s="4">
        <v>7955311</v>
      </c>
      <c r="C1496" s="4" t="str">
        <f t="shared" si="6"/>
        <v/>
      </c>
      <c r="D1496" s="4" t="s">
        <v>302</v>
      </c>
    </row>
    <row r="1497" spans="1:4" ht="15.75" customHeight="1">
      <c r="A1497" s="22">
        <v>19298239</v>
      </c>
      <c r="B1497" s="4">
        <v>30013962</v>
      </c>
      <c r="C1497" s="4" t="str">
        <f t="shared" si="6"/>
        <v/>
      </c>
      <c r="D1497" s="4" t="s">
        <v>302</v>
      </c>
    </row>
    <row r="1498" spans="1:4" ht="15.75" customHeight="1">
      <c r="A1498" s="22">
        <v>19033999</v>
      </c>
      <c r="B1498" s="4">
        <v>15936168</v>
      </c>
      <c r="C1498" s="4" t="str">
        <f t="shared" si="6"/>
        <v/>
      </c>
      <c r="D1498" s="4" t="s">
        <v>302</v>
      </c>
    </row>
    <row r="1499" spans="1:4" ht="15.75" customHeight="1">
      <c r="A1499" s="22">
        <v>17173218</v>
      </c>
      <c r="B1499" s="4">
        <v>36882347</v>
      </c>
      <c r="C1499" s="4" t="str">
        <f t="shared" si="6"/>
        <v/>
      </c>
      <c r="D1499" s="4" t="s">
        <v>302</v>
      </c>
    </row>
    <row r="1500" spans="1:4" ht="15.75" customHeight="1">
      <c r="A1500" s="22">
        <v>36189995</v>
      </c>
      <c r="B1500" s="4">
        <v>33133590</v>
      </c>
      <c r="C1500" s="4" t="str">
        <f t="shared" si="6"/>
        <v/>
      </c>
      <c r="D1500" s="4" t="s">
        <v>302</v>
      </c>
    </row>
    <row r="1501" spans="1:4" ht="15.75" customHeight="1">
      <c r="A1501" s="22">
        <v>2904225</v>
      </c>
      <c r="B1501" s="4">
        <v>2560619</v>
      </c>
      <c r="C1501" s="4" t="str">
        <f t="shared" si="6"/>
        <v/>
      </c>
      <c r="D1501" s="4" t="s">
        <v>302</v>
      </c>
    </row>
    <row r="1502" spans="1:4" ht="15.75" customHeight="1">
      <c r="A1502" s="22">
        <v>10846461</v>
      </c>
      <c r="B1502" s="4">
        <v>20466274</v>
      </c>
      <c r="C1502" s="4" t="str">
        <f t="shared" si="6"/>
        <v/>
      </c>
      <c r="D1502" s="4" t="s">
        <v>302</v>
      </c>
    </row>
    <row r="1503" spans="1:4" ht="15.75" customHeight="1">
      <c r="A1503" s="22">
        <v>30696997</v>
      </c>
      <c r="B1503" s="4">
        <v>33819481</v>
      </c>
      <c r="C1503" s="4" t="str">
        <f t="shared" si="6"/>
        <v/>
      </c>
      <c r="D1503" s="4" t="s">
        <v>302</v>
      </c>
    </row>
    <row r="1504" spans="1:4" ht="15.75" customHeight="1">
      <c r="A1504" s="22">
        <v>22623774</v>
      </c>
      <c r="B1504" s="4">
        <v>21279280</v>
      </c>
      <c r="C1504" s="4" t="str">
        <f t="shared" si="6"/>
        <v/>
      </c>
      <c r="D1504" s="4" t="s">
        <v>302</v>
      </c>
    </row>
    <row r="1505" spans="1:4" ht="15.75" customHeight="1">
      <c r="A1505" s="22">
        <v>17617406</v>
      </c>
      <c r="B1505" s="4">
        <v>30188990</v>
      </c>
      <c r="C1505" s="4" t="str">
        <f t="shared" si="6"/>
        <v/>
      </c>
      <c r="D1505" s="4" t="s">
        <v>302</v>
      </c>
    </row>
    <row r="1506" spans="1:4" ht="15.75" customHeight="1">
      <c r="A1506" s="22">
        <v>31704470</v>
      </c>
      <c r="B1506" s="4">
        <v>28096984</v>
      </c>
      <c r="C1506" s="4" t="str">
        <f t="shared" si="6"/>
        <v/>
      </c>
      <c r="D1506" s="4" t="s">
        <v>302</v>
      </c>
    </row>
    <row r="1507" spans="1:4" ht="15.75" customHeight="1">
      <c r="A1507" s="22">
        <v>2691680</v>
      </c>
      <c r="B1507" s="4">
        <v>34939755</v>
      </c>
      <c r="C1507" s="4" t="str">
        <f t="shared" si="6"/>
        <v/>
      </c>
      <c r="D1507" s="4" t="s">
        <v>302</v>
      </c>
    </row>
    <row r="1508" spans="1:4" ht="15.75" customHeight="1">
      <c r="A1508" s="22">
        <v>2173884</v>
      </c>
      <c r="B1508" s="4">
        <v>17124085</v>
      </c>
      <c r="C1508" s="4" t="str">
        <f t="shared" si="6"/>
        <v/>
      </c>
      <c r="D1508" s="4" t="s">
        <v>302</v>
      </c>
    </row>
    <row r="1509" spans="1:4" ht="15.75" customHeight="1">
      <c r="A1509" s="22">
        <v>36895097</v>
      </c>
      <c r="B1509" s="4">
        <v>30562175</v>
      </c>
      <c r="C1509" s="4" t="str">
        <f t="shared" si="6"/>
        <v/>
      </c>
      <c r="D1509" s="4" t="s">
        <v>302</v>
      </c>
    </row>
    <row r="1510" spans="1:4" ht="15.75" customHeight="1">
      <c r="A1510" s="22">
        <v>12206970</v>
      </c>
      <c r="B1510" s="4">
        <v>21748845</v>
      </c>
      <c r="C1510" s="4" t="str">
        <f t="shared" si="6"/>
        <v/>
      </c>
      <c r="D1510" s="4" t="s">
        <v>302</v>
      </c>
    </row>
    <row r="1511" spans="1:4" ht="15.75" customHeight="1">
      <c r="A1511" s="22">
        <v>18675117</v>
      </c>
      <c r="B1511" s="4">
        <v>32047230</v>
      </c>
      <c r="C1511" s="4" t="str">
        <f t="shared" si="6"/>
        <v/>
      </c>
      <c r="D1511" s="4" t="s">
        <v>302</v>
      </c>
    </row>
    <row r="1512" spans="1:4" ht="15.75" customHeight="1">
      <c r="A1512" s="22">
        <v>34071792</v>
      </c>
      <c r="B1512" s="4">
        <v>24315842</v>
      </c>
      <c r="C1512" s="4" t="str">
        <f t="shared" si="6"/>
        <v/>
      </c>
      <c r="D1512" s="4" t="s">
        <v>302</v>
      </c>
    </row>
    <row r="1513" spans="1:4" ht="15.75" customHeight="1">
      <c r="A1513" s="22">
        <v>33059947</v>
      </c>
      <c r="B1513" s="4">
        <v>2560617</v>
      </c>
      <c r="C1513" s="4" t="str">
        <f t="shared" si="6"/>
        <v/>
      </c>
      <c r="D1513" s="4" t="s">
        <v>302</v>
      </c>
    </row>
    <row r="1514" spans="1:4" ht="15.75" customHeight="1">
      <c r="A1514" s="22">
        <v>22801446</v>
      </c>
      <c r="B1514" s="4">
        <v>31380705</v>
      </c>
      <c r="C1514" s="4" t="str">
        <f t="shared" si="6"/>
        <v/>
      </c>
      <c r="D1514" s="4" t="s">
        <v>302</v>
      </c>
    </row>
    <row r="1515" spans="1:4" ht="15.75" customHeight="1">
      <c r="A1515" s="22">
        <v>28723708</v>
      </c>
      <c r="B1515" s="4">
        <v>19845116</v>
      </c>
      <c r="C1515" s="4" t="str">
        <f t="shared" si="6"/>
        <v/>
      </c>
      <c r="D1515" s="4" t="s">
        <v>302</v>
      </c>
    </row>
    <row r="1516" spans="1:4" ht="15.75" customHeight="1">
      <c r="A1516" s="22">
        <v>1394174</v>
      </c>
      <c r="B1516" s="4">
        <v>27486740</v>
      </c>
      <c r="C1516" s="4" t="str">
        <f t="shared" si="6"/>
        <v/>
      </c>
      <c r="D1516" s="4" t="s">
        <v>302</v>
      </c>
    </row>
    <row r="1517" spans="1:4" ht="15.75" customHeight="1">
      <c r="A1517" s="22">
        <v>38597860</v>
      </c>
      <c r="B1517" s="4">
        <v>31942610</v>
      </c>
      <c r="C1517" s="4">
        <f t="shared" si="6"/>
        <v>38597860</v>
      </c>
      <c r="D1517" s="4" t="s">
        <v>302</v>
      </c>
    </row>
    <row r="1518" spans="1:4" ht="15.75" customHeight="1">
      <c r="A1518" s="22">
        <v>20225269</v>
      </c>
      <c r="B1518" s="4">
        <v>36964509</v>
      </c>
      <c r="C1518" s="4" t="str">
        <f t="shared" si="6"/>
        <v/>
      </c>
      <c r="D1518" s="4" t="s">
        <v>302</v>
      </c>
    </row>
    <row r="1519" spans="1:4" ht="15.75" customHeight="1">
      <c r="A1519" s="22">
        <v>32534440</v>
      </c>
      <c r="B1519" s="4">
        <v>21720806</v>
      </c>
      <c r="C1519" s="4" t="str">
        <f t="shared" si="6"/>
        <v/>
      </c>
      <c r="D1519" s="4" t="s">
        <v>302</v>
      </c>
    </row>
    <row r="1520" spans="1:4" ht="15.75" customHeight="1">
      <c r="A1520" s="22">
        <v>15936168</v>
      </c>
      <c r="B1520" s="4">
        <v>25582535</v>
      </c>
      <c r="C1520" s="4" t="str">
        <f t="shared" si="6"/>
        <v/>
      </c>
      <c r="D1520" s="4" t="s">
        <v>302</v>
      </c>
    </row>
    <row r="1521" spans="1:4" ht="15.75" customHeight="1">
      <c r="A1521" s="22">
        <v>26950725</v>
      </c>
      <c r="B1521" s="4">
        <v>29756385</v>
      </c>
      <c r="C1521" s="4" t="str">
        <f t="shared" si="6"/>
        <v/>
      </c>
      <c r="D1521" s="4" t="s">
        <v>302</v>
      </c>
    </row>
    <row r="1522" spans="1:4" ht="15.75" customHeight="1">
      <c r="A1522" s="22">
        <v>9700844</v>
      </c>
      <c r="B1522" s="4">
        <v>34595132</v>
      </c>
      <c r="C1522" s="4" t="str">
        <f t="shared" si="6"/>
        <v/>
      </c>
      <c r="D1522" s="4" t="s">
        <v>302</v>
      </c>
    </row>
    <row r="1523" spans="1:4" ht="15.75" customHeight="1">
      <c r="A1523" s="22">
        <v>7955311</v>
      </c>
      <c r="B1523" s="4">
        <v>21037551</v>
      </c>
      <c r="C1523" s="4" t="str">
        <f t="shared" si="6"/>
        <v/>
      </c>
      <c r="D1523" s="4" t="s">
        <v>302</v>
      </c>
    </row>
    <row r="1524" spans="1:4" ht="15.75" customHeight="1">
      <c r="A1524" s="22">
        <v>36882347</v>
      </c>
      <c r="B1524" s="4">
        <v>9886378</v>
      </c>
      <c r="C1524" s="4" t="str">
        <f t="shared" si="6"/>
        <v/>
      </c>
      <c r="D1524" s="4" t="s">
        <v>302</v>
      </c>
    </row>
    <row r="1525" spans="1:4" ht="15.75" customHeight="1">
      <c r="A1525" s="22">
        <v>38937530</v>
      </c>
      <c r="B1525" s="4">
        <v>11171895</v>
      </c>
      <c r="C1525" s="4">
        <f t="shared" si="6"/>
        <v>38937530</v>
      </c>
      <c r="D1525" s="4" t="s">
        <v>302</v>
      </c>
    </row>
    <row r="1526" spans="1:4" ht="15.75" customHeight="1">
      <c r="A1526" s="22">
        <v>33133590</v>
      </c>
      <c r="B1526" s="4">
        <v>25946433</v>
      </c>
      <c r="C1526" s="4" t="str">
        <f t="shared" si="6"/>
        <v/>
      </c>
      <c r="D1526" s="4" t="s">
        <v>302</v>
      </c>
    </row>
    <row r="1527" spans="1:4" ht="15.75" customHeight="1">
      <c r="A1527" s="22">
        <v>33819481</v>
      </c>
      <c r="B1527" s="4">
        <v>36216522</v>
      </c>
      <c r="C1527" s="4" t="str">
        <f t="shared" si="6"/>
        <v/>
      </c>
      <c r="D1527" s="4" t="s">
        <v>302</v>
      </c>
    </row>
    <row r="1528" spans="1:4" ht="15.75" customHeight="1">
      <c r="A1528" s="22">
        <v>21279280</v>
      </c>
      <c r="B1528" s="4">
        <v>26950725</v>
      </c>
      <c r="C1528" s="4" t="str">
        <f t="shared" si="6"/>
        <v/>
      </c>
      <c r="D1528" s="4" t="s">
        <v>302</v>
      </c>
    </row>
    <row r="1529" spans="1:4" ht="15.75" customHeight="1">
      <c r="A1529" s="22">
        <v>38414857</v>
      </c>
      <c r="B1529" s="4">
        <v>33533068</v>
      </c>
      <c r="C1529" s="4">
        <f t="shared" si="6"/>
        <v>38414857</v>
      </c>
      <c r="D1529" s="4" t="s">
        <v>302</v>
      </c>
    </row>
    <row r="1530" spans="1:4" ht="15.75" customHeight="1">
      <c r="A1530" s="22">
        <v>30013962</v>
      </c>
      <c r="B1530" s="4">
        <v>26046087</v>
      </c>
      <c r="C1530" s="4" t="str">
        <f t="shared" si="6"/>
        <v/>
      </c>
      <c r="D1530" s="4" t="s">
        <v>302</v>
      </c>
    </row>
    <row r="1531" spans="1:4" ht="15.75" customHeight="1">
      <c r="A1531" s="22">
        <v>2560619</v>
      </c>
      <c r="B1531" s="4">
        <v>22414904</v>
      </c>
      <c r="C1531" s="4" t="str">
        <f t="shared" si="6"/>
        <v/>
      </c>
      <c r="D1531" s="4" t="s">
        <v>302</v>
      </c>
    </row>
    <row r="1532" spans="1:4" ht="15.75" customHeight="1">
      <c r="A1532" s="22">
        <v>30188990</v>
      </c>
      <c r="B1532" s="4">
        <v>16174601</v>
      </c>
      <c r="C1532" s="4" t="str">
        <f t="shared" ref="C1532:C1743" si="7">IFERROR(IF(MATCH(A1532,B:B,0)&gt;0,""),A1532)</f>
        <v/>
      </c>
      <c r="D1532" s="4" t="s">
        <v>302</v>
      </c>
    </row>
    <row r="1533" spans="1:4" ht="15.75" customHeight="1">
      <c r="A1533" s="22">
        <v>17124085</v>
      </c>
      <c r="B1533" s="4">
        <v>30168657</v>
      </c>
      <c r="C1533" s="4" t="str">
        <f t="shared" si="7"/>
        <v/>
      </c>
      <c r="D1533" s="4" t="s">
        <v>302</v>
      </c>
    </row>
    <row r="1534" spans="1:4" ht="15.75" customHeight="1">
      <c r="A1534" s="22">
        <v>21748845</v>
      </c>
      <c r="B1534" s="4">
        <v>29787887</v>
      </c>
      <c r="C1534" s="4" t="str">
        <f t="shared" si="7"/>
        <v/>
      </c>
      <c r="D1534" s="4" t="s">
        <v>302</v>
      </c>
    </row>
    <row r="1535" spans="1:4" ht="15.75" customHeight="1">
      <c r="A1535" s="22">
        <v>32047230</v>
      </c>
      <c r="B1535" s="4">
        <v>1650955</v>
      </c>
      <c r="C1535" s="4" t="str">
        <f t="shared" si="7"/>
        <v/>
      </c>
      <c r="D1535" s="4" t="s">
        <v>302</v>
      </c>
    </row>
    <row r="1536" spans="1:4" ht="15.75" customHeight="1">
      <c r="A1536" s="22">
        <v>30562175</v>
      </c>
      <c r="B1536" s="4">
        <v>19667214</v>
      </c>
      <c r="C1536" s="4" t="str">
        <f t="shared" si="7"/>
        <v/>
      </c>
      <c r="D1536" s="4" t="s">
        <v>302</v>
      </c>
    </row>
    <row r="1537" spans="1:4" ht="15.75" customHeight="1">
      <c r="A1537" s="22">
        <v>20466274</v>
      </c>
      <c r="B1537" s="4">
        <v>32027295</v>
      </c>
      <c r="C1537" s="4" t="str">
        <f t="shared" si="7"/>
        <v/>
      </c>
      <c r="D1537" s="4" t="s">
        <v>302</v>
      </c>
    </row>
    <row r="1538" spans="1:4" ht="15.75" customHeight="1">
      <c r="A1538" s="22">
        <v>28096984</v>
      </c>
      <c r="B1538" s="4">
        <v>19099488</v>
      </c>
      <c r="C1538" s="4" t="str">
        <f t="shared" si="7"/>
        <v/>
      </c>
      <c r="D1538" s="4" t="s">
        <v>302</v>
      </c>
    </row>
    <row r="1539" spans="1:4" ht="15.75" customHeight="1">
      <c r="A1539" s="22">
        <v>34939755</v>
      </c>
      <c r="B1539" s="4">
        <v>36996872</v>
      </c>
      <c r="C1539" s="4" t="str">
        <f t="shared" si="7"/>
        <v/>
      </c>
      <c r="D1539" s="4" t="s">
        <v>302</v>
      </c>
    </row>
    <row r="1540" spans="1:4" ht="15.75" customHeight="1">
      <c r="A1540" s="22">
        <v>24315842</v>
      </c>
      <c r="B1540" s="4">
        <v>33823791</v>
      </c>
      <c r="C1540" s="4" t="str">
        <f t="shared" si="7"/>
        <v/>
      </c>
      <c r="D1540" s="4" t="s">
        <v>302</v>
      </c>
    </row>
    <row r="1541" spans="1:4" ht="15.75" customHeight="1">
      <c r="A1541" s="22">
        <v>31380705</v>
      </c>
      <c r="B1541" s="4">
        <v>24877035</v>
      </c>
      <c r="C1541" s="4" t="str">
        <f t="shared" si="7"/>
        <v/>
      </c>
      <c r="D1541" s="4" t="s">
        <v>302</v>
      </c>
    </row>
    <row r="1542" spans="1:4" ht="15.75" customHeight="1">
      <c r="A1542" s="22">
        <v>19845116</v>
      </c>
      <c r="B1542" s="4">
        <v>25888743</v>
      </c>
      <c r="C1542" s="4" t="str">
        <f t="shared" si="7"/>
        <v/>
      </c>
      <c r="D1542" s="4" t="s">
        <v>302</v>
      </c>
    </row>
    <row r="1543" spans="1:4" ht="15.75" customHeight="1">
      <c r="A1543" s="22">
        <v>27486740</v>
      </c>
      <c r="B1543" s="4">
        <v>27402152</v>
      </c>
      <c r="C1543" s="4" t="str">
        <f t="shared" si="7"/>
        <v/>
      </c>
      <c r="D1543" s="4" t="s">
        <v>302</v>
      </c>
    </row>
    <row r="1544" spans="1:4" ht="15.75" customHeight="1">
      <c r="A1544" s="22">
        <v>36964509</v>
      </c>
      <c r="B1544" s="4">
        <v>35651518</v>
      </c>
      <c r="C1544" s="4" t="str">
        <f t="shared" si="7"/>
        <v/>
      </c>
      <c r="D1544" s="4" t="s">
        <v>302</v>
      </c>
    </row>
    <row r="1545" spans="1:4" ht="15.75" customHeight="1">
      <c r="A1545" s="22">
        <v>31942610</v>
      </c>
      <c r="B1545" s="4">
        <v>8830838</v>
      </c>
      <c r="C1545" s="4" t="str">
        <f t="shared" si="7"/>
        <v/>
      </c>
      <c r="D1545" s="4" t="s">
        <v>302</v>
      </c>
    </row>
    <row r="1546" spans="1:4" ht="15.75" customHeight="1">
      <c r="A1546" s="22">
        <v>21720806</v>
      </c>
      <c r="B1546" s="4">
        <v>8016478</v>
      </c>
      <c r="C1546" s="4" t="str">
        <f t="shared" si="7"/>
        <v/>
      </c>
      <c r="D1546" s="4" t="s">
        <v>302</v>
      </c>
    </row>
    <row r="1547" spans="1:4" ht="15.75" customHeight="1">
      <c r="A1547" s="22">
        <v>25582535</v>
      </c>
      <c r="B1547" s="4">
        <v>19752295</v>
      </c>
      <c r="C1547" s="4" t="str">
        <f t="shared" si="7"/>
        <v/>
      </c>
      <c r="D1547" s="4" t="s">
        <v>302</v>
      </c>
    </row>
    <row r="1548" spans="1:4" ht="15.75" customHeight="1">
      <c r="A1548" s="22">
        <v>21037551</v>
      </c>
      <c r="B1548" s="4">
        <v>32004700</v>
      </c>
      <c r="C1548" s="4" t="str">
        <f t="shared" si="7"/>
        <v/>
      </c>
      <c r="D1548" s="4" t="s">
        <v>302</v>
      </c>
    </row>
    <row r="1549" spans="1:4" ht="15.75" customHeight="1">
      <c r="A1549" s="22">
        <v>34595132</v>
      </c>
      <c r="B1549" s="4">
        <v>9829439</v>
      </c>
      <c r="C1549" s="4" t="str">
        <f t="shared" si="7"/>
        <v/>
      </c>
      <c r="D1549" s="4" t="s">
        <v>302</v>
      </c>
    </row>
    <row r="1550" spans="1:4" ht="15.75" customHeight="1">
      <c r="A1550" s="22">
        <v>9886378</v>
      </c>
      <c r="B1550" s="4">
        <v>38041493</v>
      </c>
      <c r="C1550" s="4" t="str">
        <f t="shared" si="7"/>
        <v/>
      </c>
      <c r="D1550" s="4" t="s">
        <v>302</v>
      </c>
    </row>
    <row r="1551" spans="1:4" ht="15.75" customHeight="1">
      <c r="A1551" s="22">
        <v>11171895</v>
      </c>
      <c r="B1551" s="4">
        <v>9030868</v>
      </c>
      <c r="C1551" s="4" t="str">
        <f t="shared" si="7"/>
        <v/>
      </c>
      <c r="D1551" s="4" t="s">
        <v>302</v>
      </c>
    </row>
    <row r="1552" spans="1:4" ht="15.75" customHeight="1">
      <c r="A1552" s="22">
        <v>29756385</v>
      </c>
      <c r="B1552" s="4">
        <v>26383177</v>
      </c>
      <c r="C1552" s="4" t="str">
        <f t="shared" si="7"/>
        <v/>
      </c>
      <c r="D1552" s="4" t="s">
        <v>302</v>
      </c>
    </row>
    <row r="1553" spans="1:4" ht="15.75" customHeight="1">
      <c r="A1553" s="22">
        <v>36216522</v>
      </c>
      <c r="B1553" s="4">
        <v>33718897</v>
      </c>
      <c r="C1553" s="4" t="str">
        <f t="shared" si="7"/>
        <v/>
      </c>
      <c r="D1553" s="4" t="s">
        <v>302</v>
      </c>
    </row>
    <row r="1554" spans="1:4" ht="15.75" customHeight="1">
      <c r="A1554" s="22">
        <v>25946433</v>
      </c>
      <c r="B1554" s="4">
        <v>31782875</v>
      </c>
      <c r="C1554" s="4" t="str">
        <f t="shared" si="7"/>
        <v/>
      </c>
      <c r="D1554" s="4" t="s">
        <v>302</v>
      </c>
    </row>
    <row r="1555" spans="1:4" ht="15.75" customHeight="1">
      <c r="A1555" s="22">
        <v>22414904</v>
      </c>
      <c r="B1555" s="4">
        <v>10392432</v>
      </c>
      <c r="C1555" s="4" t="str">
        <f t="shared" si="7"/>
        <v/>
      </c>
      <c r="D1555" s="4" t="s">
        <v>302</v>
      </c>
    </row>
    <row r="1556" spans="1:4" ht="15.75" customHeight="1">
      <c r="A1556" s="22">
        <v>26046087</v>
      </c>
      <c r="B1556" s="4">
        <v>22996288</v>
      </c>
      <c r="C1556" s="4" t="str">
        <f t="shared" si="7"/>
        <v/>
      </c>
      <c r="D1556" s="4" t="s">
        <v>302</v>
      </c>
    </row>
    <row r="1557" spans="1:4" ht="15.75" customHeight="1">
      <c r="A1557" s="22">
        <v>30168657</v>
      </c>
      <c r="B1557" s="4">
        <v>36193010</v>
      </c>
      <c r="C1557" s="4" t="str">
        <f t="shared" si="7"/>
        <v/>
      </c>
      <c r="D1557" s="4" t="s">
        <v>302</v>
      </c>
    </row>
    <row r="1558" spans="1:4" ht="15.75" customHeight="1">
      <c r="A1558" s="22">
        <v>16174601</v>
      </c>
      <c r="B1558" s="4">
        <v>27057748</v>
      </c>
      <c r="C1558" s="4" t="str">
        <f t="shared" si="7"/>
        <v/>
      </c>
      <c r="D1558" s="4" t="s">
        <v>302</v>
      </c>
    </row>
    <row r="1559" spans="1:4" ht="15.75" customHeight="1">
      <c r="A1559" s="22">
        <v>33533068</v>
      </c>
      <c r="B1559" s="4">
        <v>3627265</v>
      </c>
      <c r="C1559" s="4" t="str">
        <f t="shared" si="7"/>
        <v/>
      </c>
      <c r="D1559" s="4" t="s">
        <v>302</v>
      </c>
    </row>
    <row r="1560" spans="1:4" ht="15.75" customHeight="1">
      <c r="A1560" s="22">
        <v>19667214</v>
      </c>
      <c r="B1560" s="4">
        <v>31324107</v>
      </c>
      <c r="C1560" s="4" t="str">
        <f t="shared" si="7"/>
        <v/>
      </c>
      <c r="D1560" s="4" t="s">
        <v>302</v>
      </c>
    </row>
    <row r="1561" spans="1:4" ht="15.75" customHeight="1">
      <c r="A1561" s="22">
        <v>1650955</v>
      </c>
      <c r="B1561" s="4">
        <v>12765120</v>
      </c>
      <c r="C1561" s="4" t="str">
        <f t="shared" si="7"/>
        <v/>
      </c>
      <c r="D1561" s="4" t="s">
        <v>302</v>
      </c>
    </row>
    <row r="1562" spans="1:4" ht="15.75" customHeight="1">
      <c r="A1562" s="22">
        <v>29787887</v>
      </c>
      <c r="B1562" s="4">
        <v>32903425</v>
      </c>
      <c r="C1562" s="4" t="str">
        <f t="shared" si="7"/>
        <v/>
      </c>
      <c r="D1562" s="4" t="s">
        <v>302</v>
      </c>
    </row>
    <row r="1563" spans="1:4" ht="15.75" customHeight="1">
      <c r="A1563" s="22">
        <v>32027295</v>
      </c>
      <c r="B1563" s="4">
        <v>33158469</v>
      </c>
      <c r="C1563" s="4" t="str">
        <f t="shared" si="7"/>
        <v/>
      </c>
      <c r="D1563" s="4" t="s">
        <v>302</v>
      </c>
    </row>
    <row r="1564" spans="1:4" ht="15.75" customHeight="1">
      <c r="A1564" s="22">
        <v>19099488</v>
      </c>
      <c r="B1564" s="4">
        <v>21810148</v>
      </c>
      <c r="C1564" s="4" t="str">
        <f t="shared" si="7"/>
        <v/>
      </c>
      <c r="D1564" s="4" t="s">
        <v>302</v>
      </c>
    </row>
    <row r="1565" spans="1:4" ht="15.75" customHeight="1">
      <c r="A1565" s="22">
        <v>36996872</v>
      </c>
      <c r="B1565" s="4">
        <v>32666270</v>
      </c>
      <c r="C1565" s="4" t="str">
        <f t="shared" si="7"/>
        <v/>
      </c>
      <c r="D1565" s="4" t="s">
        <v>302</v>
      </c>
    </row>
    <row r="1566" spans="1:4" ht="15.75" customHeight="1">
      <c r="A1566" s="22">
        <v>25888743</v>
      </c>
      <c r="B1566" s="4">
        <v>36363720</v>
      </c>
      <c r="C1566" s="4" t="str">
        <f t="shared" si="7"/>
        <v/>
      </c>
      <c r="D1566" s="4" t="s">
        <v>302</v>
      </c>
    </row>
    <row r="1567" spans="1:4" ht="15.75" customHeight="1">
      <c r="A1567" s="22">
        <v>21898692</v>
      </c>
      <c r="B1567" s="4">
        <v>28129450</v>
      </c>
      <c r="C1567" s="4" t="str">
        <f t="shared" si="7"/>
        <v/>
      </c>
      <c r="D1567" s="4" t="s">
        <v>302</v>
      </c>
    </row>
    <row r="1568" spans="1:4" ht="15.75" customHeight="1">
      <c r="A1568" s="22">
        <v>27402152</v>
      </c>
      <c r="B1568" s="4">
        <v>31554310</v>
      </c>
      <c r="C1568" s="4" t="str">
        <f t="shared" si="7"/>
        <v/>
      </c>
      <c r="D1568" s="4" t="s">
        <v>302</v>
      </c>
    </row>
    <row r="1569" spans="1:4" ht="15.75" customHeight="1">
      <c r="A1569" s="22">
        <v>35651518</v>
      </c>
      <c r="B1569" s="4">
        <v>17065205</v>
      </c>
      <c r="C1569" s="4" t="str">
        <f t="shared" si="7"/>
        <v/>
      </c>
      <c r="D1569" s="4" t="s">
        <v>302</v>
      </c>
    </row>
    <row r="1570" spans="1:4" ht="15.75" customHeight="1">
      <c r="A1570" s="22">
        <v>33823791</v>
      </c>
      <c r="B1570" s="4">
        <v>18829379</v>
      </c>
      <c r="C1570" s="4" t="str">
        <f t="shared" si="7"/>
        <v/>
      </c>
      <c r="D1570" s="4" t="s">
        <v>302</v>
      </c>
    </row>
    <row r="1571" spans="1:4" ht="15.75" customHeight="1">
      <c r="A1571" s="22">
        <v>24877035</v>
      </c>
      <c r="B1571" s="4">
        <v>23665115</v>
      </c>
      <c r="C1571" s="4" t="str">
        <f t="shared" si="7"/>
        <v/>
      </c>
      <c r="D1571" s="4" t="s">
        <v>302</v>
      </c>
    </row>
    <row r="1572" spans="1:4" ht="15.75" customHeight="1">
      <c r="A1572" s="22">
        <v>8830838</v>
      </c>
      <c r="B1572" s="4">
        <v>38243840</v>
      </c>
      <c r="C1572" s="4" t="str">
        <f t="shared" si="7"/>
        <v/>
      </c>
      <c r="D1572" s="4" t="s">
        <v>302</v>
      </c>
    </row>
    <row r="1573" spans="1:4" ht="15.75" customHeight="1">
      <c r="A1573" s="22">
        <v>19752295</v>
      </c>
      <c r="B1573" s="4">
        <v>24455117</v>
      </c>
      <c r="C1573" s="4" t="str">
        <f t="shared" si="7"/>
        <v/>
      </c>
      <c r="D1573" s="4" t="s">
        <v>302</v>
      </c>
    </row>
    <row r="1574" spans="1:4" ht="15.75" customHeight="1">
      <c r="A1574" s="22">
        <v>8016478</v>
      </c>
      <c r="B1574" s="4">
        <v>33085827</v>
      </c>
      <c r="C1574" s="4" t="str">
        <f t="shared" si="7"/>
        <v/>
      </c>
      <c r="D1574" s="4" t="s">
        <v>302</v>
      </c>
    </row>
    <row r="1575" spans="1:4" ht="15.75" customHeight="1">
      <c r="A1575" s="22">
        <v>32004700</v>
      </c>
      <c r="B1575" s="4">
        <v>30906348</v>
      </c>
      <c r="C1575" s="4" t="str">
        <f t="shared" si="7"/>
        <v/>
      </c>
      <c r="D1575" s="4" t="s">
        <v>302</v>
      </c>
    </row>
    <row r="1576" spans="1:4" ht="15.75" customHeight="1">
      <c r="A1576" s="22">
        <v>9829439</v>
      </c>
      <c r="B1576" s="4">
        <v>36014102</v>
      </c>
      <c r="C1576" s="4" t="str">
        <f t="shared" si="7"/>
        <v/>
      </c>
      <c r="D1576" s="4" t="s">
        <v>302</v>
      </c>
    </row>
    <row r="1577" spans="1:4" ht="15.75" customHeight="1">
      <c r="A1577" s="22">
        <v>38041493</v>
      </c>
      <c r="B1577" s="4">
        <v>34070379</v>
      </c>
      <c r="C1577" s="4" t="str">
        <f t="shared" si="7"/>
        <v/>
      </c>
      <c r="D1577" s="4" t="s">
        <v>302</v>
      </c>
    </row>
    <row r="1578" spans="1:4" ht="15.75" customHeight="1">
      <c r="A1578" s="22">
        <v>9030868</v>
      </c>
      <c r="B1578" s="4">
        <v>30831633</v>
      </c>
      <c r="C1578" s="4" t="str">
        <f t="shared" si="7"/>
        <v/>
      </c>
      <c r="D1578" s="4" t="s">
        <v>302</v>
      </c>
    </row>
    <row r="1579" spans="1:4" ht="15.75" customHeight="1">
      <c r="A1579" s="22">
        <v>33718897</v>
      </c>
      <c r="B1579" s="4">
        <v>32245201</v>
      </c>
      <c r="C1579" s="4" t="str">
        <f t="shared" si="7"/>
        <v/>
      </c>
      <c r="D1579" s="4" t="s">
        <v>302</v>
      </c>
    </row>
    <row r="1580" spans="1:4" ht="15.75" customHeight="1">
      <c r="A1580" s="22">
        <v>26383177</v>
      </c>
      <c r="B1580" s="4">
        <v>24801397</v>
      </c>
      <c r="C1580" s="4" t="str">
        <f t="shared" si="7"/>
        <v/>
      </c>
      <c r="D1580" s="4" t="s">
        <v>302</v>
      </c>
    </row>
    <row r="1581" spans="1:4" ht="15.75" customHeight="1">
      <c r="A1581" s="22">
        <v>31782875</v>
      </c>
      <c r="B1581" s="4">
        <v>9766884</v>
      </c>
      <c r="C1581" s="4" t="str">
        <f t="shared" si="7"/>
        <v/>
      </c>
      <c r="D1581" s="4" t="s">
        <v>302</v>
      </c>
    </row>
    <row r="1582" spans="1:4" ht="15.75" customHeight="1">
      <c r="A1582" s="22">
        <v>22996288</v>
      </c>
      <c r="B1582" s="4">
        <v>20087928</v>
      </c>
      <c r="C1582" s="4" t="str">
        <f t="shared" si="7"/>
        <v/>
      </c>
      <c r="D1582" s="4" t="s">
        <v>302</v>
      </c>
    </row>
    <row r="1583" spans="1:4" ht="15.75" customHeight="1">
      <c r="A1583" s="22">
        <v>10392432</v>
      </c>
      <c r="B1583" s="4">
        <v>12070831</v>
      </c>
      <c r="C1583" s="4" t="str">
        <f t="shared" si="7"/>
        <v/>
      </c>
      <c r="D1583" s="4" t="s">
        <v>302</v>
      </c>
    </row>
    <row r="1584" spans="1:4" ht="15.75" customHeight="1">
      <c r="A1584" s="22">
        <v>36193010</v>
      </c>
      <c r="B1584" s="4">
        <v>7871934</v>
      </c>
      <c r="C1584" s="4" t="str">
        <f t="shared" si="7"/>
        <v/>
      </c>
      <c r="D1584" s="4" t="s">
        <v>302</v>
      </c>
    </row>
    <row r="1585" spans="1:4" ht="15.75" customHeight="1">
      <c r="A1585" s="22">
        <v>3627265</v>
      </c>
      <c r="B1585" s="4">
        <v>7727764</v>
      </c>
      <c r="C1585" s="4" t="str">
        <f t="shared" si="7"/>
        <v/>
      </c>
      <c r="D1585" s="4" t="s">
        <v>302</v>
      </c>
    </row>
    <row r="1586" spans="1:4" ht="15.75" customHeight="1">
      <c r="A1586" s="22">
        <v>27057748</v>
      </c>
      <c r="B1586" s="4">
        <v>17601705</v>
      </c>
      <c r="C1586" s="4" t="str">
        <f t="shared" si="7"/>
        <v/>
      </c>
      <c r="D1586" s="4" t="s">
        <v>302</v>
      </c>
    </row>
    <row r="1587" spans="1:4" ht="15.75" customHeight="1">
      <c r="A1587" s="22">
        <v>12765120</v>
      </c>
      <c r="B1587" s="4">
        <v>7692906</v>
      </c>
      <c r="C1587" s="4" t="str">
        <f t="shared" si="7"/>
        <v/>
      </c>
      <c r="D1587" s="4" t="s">
        <v>302</v>
      </c>
    </row>
    <row r="1588" spans="1:4" ht="15.75" customHeight="1">
      <c r="A1588" s="22">
        <v>31324107</v>
      </c>
      <c r="B1588" s="4">
        <v>17902128</v>
      </c>
      <c r="C1588" s="4" t="str">
        <f t="shared" si="7"/>
        <v/>
      </c>
      <c r="D1588" s="4" t="s">
        <v>302</v>
      </c>
    </row>
    <row r="1589" spans="1:4" ht="15.75" customHeight="1">
      <c r="A1589" s="22">
        <v>33158469</v>
      </c>
      <c r="B1589" s="4">
        <v>38187380</v>
      </c>
      <c r="C1589" s="4" t="str">
        <f t="shared" si="7"/>
        <v/>
      </c>
      <c r="D1589" s="4" t="s">
        <v>302</v>
      </c>
    </row>
    <row r="1590" spans="1:4" ht="15.75" customHeight="1">
      <c r="A1590" s="22">
        <v>21810148</v>
      </c>
      <c r="B1590" s="4">
        <v>12767008</v>
      </c>
      <c r="C1590" s="4" t="str">
        <f t="shared" si="7"/>
        <v/>
      </c>
      <c r="D1590" s="4" t="s">
        <v>302</v>
      </c>
    </row>
    <row r="1591" spans="1:4" ht="15.75" customHeight="1">
      <c r="A1591" s="22">
        <v>36363720</v>
      </c>
      <c r="B1591" s="4">
        <v>12476296</v>
      </c>
      <c r="C1591" s="4" t="str">
        <f t="shared" si="7"/>
        <v/>
      </c>
      <c r="D1591" s="4" t="s">
        <v>302</v>
      </c>
    </row>
    <row r="1592" spans="1:4" ht="15.75" customHeight="1">
      <c r="A1592" s="22">
        <v>32903425</v>
      </c>
      <c r="B1592" s="4">
        <v>17988530</v>
      </c>
      <c r="C1592" s="4" t="str">
        <f t="shared" si="7"/>
        <v/>
      </c>
      <c r="D1592" s="4" t="s">
        <v>302</v>
      </c>
    </row>
    <row r="1593" spans="1:4" ht="15.75" customHeight="1">
      <c r="A1593" s="22">
        <v>31554310</v>
      </c>
      <c r="B1593" s="4">
        <v>12353198</v>
      </c>
      <c r="C1593" s="4" t="str">
        <f t="shared" si="7"/>
        <v/>
      </c>
      <c r="D1593" s="4" t="s">
        <v>302</v>
      </c>
    </row>
    <row r="1594" spans="1:4" ht="15.75" customHeight="1">
      <c r="A1594" s="22">
        <v>32666270</v>
      </c>
      <c r="B1594" s="4">
        <v>21898692</v>
      </c>
      <c r="C1594" s="4" t="str">
        <f t="shared" si="7"/>
        <v/>
      </c>
      <c r="D1594" s="4" t="s">
        <v>302</v>
      </c>
    </row>
    <row r="1595" spans="1:4" ht="15.75" customHeight="1">
      <c r="A1595" s="22">
        <v>23665115</v>
      </c>
      <c r="B1595" s="4">
        <v>12910597</v>
      </c>
      <c r="C1595" s="4" t="str">
        <f t="shared" si="7"/>
        <v/>
      </c>
      <c r="D1595" s="4" t="s">
        <v>302</v>
      </c>
    </row>
    <row r="1596" spans="1:4" ht="15.75" customHeight="1">
      <c r="A1596" s="22">
        <v>17065205</v>
      </c>
      <c r="B1596" s="4">
        <v>12537769</v>
      </c>
      <c r="C1596" s="4" t="str">
        <f t="shared" si="7"/>
        <v/>
      </c>
      <c r="D1596" s="4" t="s">
        <v>302</v>
      </c>
    </row>
    <row r="1597" spans="1:4" ht="15.75" customHeight="1">
      <c r="A1597" s="22">
        <v>28129450</v>
      </c>
      <c r="B1597" s="4">
        <v>26029371</v>
      </c>
      <c r="C1597" s="4" t="str">
        <f t="shared" si="7"/>
        <v/>
      </c>
      <c r="D1597" s="4" t="s">
        <v>302</v>
      </c>
    </row>
    <row r="1598" spans="1:4" ht="15.75" customHeight="1">
      <c r="A1598" s="22">
        <v>18829379</v>
      </c>
      <c r="B1598" s="4">
        <v>15209395</v>
      </c>
      <c r="C1598" s="4" t="str">
        <f t="shared" si="7"/>
        <v/>
      </c>
      <c r="D1598" s="4" t="s">
        <v>302</v>
      </c>
    </row>
    <row r="1599" spans="1:4" ht="15.75" customHeight="1">
      <c r="A1599" s="22">
        <v>24455117</v>
      </c>
      <c r="B1599" s="4">
        <v>18929381</v>
      </c>
      <c r="C1599" s="4" t="str">
        <f t="shared" si="7"/>
        <v/>
      </c>
      <c r="D1599" s="4" t="s">
        <v>302</v>
      </c>
    </row>
    <row r="1600" spans="1:4" ht="15.75" customHeight="1">
      <c r="A1600" s="22">
        <v>36014102</v>
      </c>
      <c r="B1600" s="4">
        <v>29900673</v>
      </c>
      <c r="C1600" s="4" t="str">
        <f t="shared" si="7"/>
        <v/>
      </c>
      <c r="D1600" s="4" t="s">
        <v>302</v>
      </c>
    </row>
    <row r="1601" spans="1:4" ht="15.75" customHeight="1">
      <c r="A1601" s="22">
        <v>30906348</v>
      </c>
      <c r="B1601" s="4">
        <v>16882166</v>
      </c>
      <c r="C1601" s="4" t="str">
        <f t="shared" si="7"/>
        <v/>
      </c>
      <c r="D1601" s="4" t="s">
        <v>302</v>
      </c>
    </row>
    <row r="1602" spans="1:4" ht="15.75" customHeight="1">
      <c r="A1602" s="22">
        <v>34070379</v>
      </c>
      <c r="B1602" s="4">
        <v>15782388</v>
      </c>
      <c r="C1602" s="4" t="str">
        <f t="shared" si="7"/>
        <v/>
      </c>
      <c r="D1602" s="4" t="s">
        <v>302</v>
      </c>
    </row>
    <row r="1603" spans="1:4" ht="15.75" customHeight="1">
      <c r="A1603" s="22">
        <v>30831633</v>
      </c>
      <c r="B1603" s="4">
        <v>37572949</v>
      </c>
      <c r="C1603" s="4" t="str">
        <f t="shared" si="7"/>
        <v/>
      </c>
      <c r="D1603" s="4" t="s">
        <v>302</v>
      </c>
    </row>
    <row r="1604" spans="1:4" ht="15.75" customHeight="1">
      <c r="A1604" s="22">
        <v>32245201</v>
      </c>
      <c r="B1604" s="4">
        <v>31824487</v>
      </c>
      <c r="C1604" s="4" t="str">
        <f t="shared" si="7"/>
        <v/>
      </c>
      <c r="D1604" s="4" t="s">
        <v>302</v>
      </c>
    </row>
    <row r="1605" spans="1:4" ht="15.75" customHeight="1">
      <c r="A1605" s="22">
        <v>9766884</v>
      </c>
      <c r="B1605" s="4">
        <v>31005137</v>
      </c>
      <c r="C1605" s="4" t="str">
        <f t="shared" si="7"/>
        <v/>
      </c>
      <c r="D1605" s="4" t="s">
        <v>302</v>
      </c>
    </row>
    <row r="1606" spans="1:4" ht="15.75" customHeight="1">
      <c r="A1606" s="22">
        <v>33085827</v>
      </c>
      <c r="B1606" s="4">
        <v>11843812</v>
      </c>
      <c r="C1606" s="4" t="str">
        <f t="shared" si="7"/>
        <v/>
      </c>
      <c r="D1606" s="4" t="s">
        <v>302</v>
      </c>
    </row>
    <row r="1607" spans="1:4" ht="15.75" customHeight="1">
      <c r="A1607" s="22">
        <v>12070831</v>
      </c>
      <c r="B1607" s="4">
        <v>36300166</v>
      </c>
      <c r="C1607" s="4" t="str">
        <f t="shared" si="7"/>
        <v/>
      </c>
      <c r="D1607" s="4" t="s">
        <v>302</v>
      </c>
    </row>
    <row r="1608" spans="1:4" ht="15.75" customHeight="1">
      <c r="A1608" s="22">
        <v>24801397</v>
      </c>
      <c r="B1608" s="4">
        <v>30831627</v>
      </c>
      <c r="C1608" s="4" t="str">
        <f t="shared" si="7"/>
        <v/>
      </c>
      <c r="D1608" s="4" t="s">
        <v>302</v>
      </c>
    </row>
    <row r="1609" spans="1:4" ht="15.75" customHeight="1">
      <c r="A1609" s="22">
        <v>7871934</v>
      </c>
      <c r="B1609" s="4">
        <v>20408855</v>
      </c>
      <c r="C1609" s="4" t="str">
        <f t="shared" si="7"/>
        <v/>
      </c>
      <c r="D1609" s="4" t="s">
        <v>302</v>
      </c>
    </row>
    <row r="1610" spans="1:4" ht="15.75" customHeight="1">
      <c r="A1610" s="22">
        <v>20087928</v>
      </c>
      <c r="B1610" s="4">
        <v>29358873</v>
      </c>
      <c r="C1610" s="4" t="str">
        <f t="shared" si="7"/>
        <v/>
      </c>
      <c r="D1610" s="4" t="s">
        <v>302</v>
      </c>
    </row>
    <row r="1611" spans="1:4" ht="15.75" customHeight="1">
      <c r="A1611" s="22">
        <v>17601705</v>
      </c>
      <c r="B1611" s="4">
        <v>11297322</v>
      </c>
      <c r="C1611" s="4" t="str">
        <f t="shared" si="7"/>
        <v/>
      </c>
      <c r="D1611" s="4" t="s">
        <v>302</v>
      </c>
    </row>
    <row r="1612" spans="1:4" ht="15.75" customHeight="1">
      <c r="A1612" s="22">
        <v>7692906</v>
      </c>
      <c r="B1612" s="4">
        <v>33048220</v>
      </c>
      <c r="C1612" s="4" t="str">
        <f t="shared" si="7"/>
        <v/>
      </c>
      <c r="D1612" s="4" t="s">
        <v>302</v>
      </c>
    </row>
    <row r="1613" spans="1:4" ht="15.75" customHeight="1">
      <c r="A1613" s="22">
        <v>7727764</v>
      </c>
      <c r="B1613" s="4">
        <v>11887337</v>
      </c>
      <c r="C1613" s="4" t="str">
        <f t="shared" si="7"/>
        <v/>
      </c>
      <c r="D1613" s="4" t="s">
        <v>302</v>
      </c>
    </row>
    <row r="1614" spans="1:4" ht="15.75" customHeight="1">
      <c r="A1614" s="22">
        <v>17902128</v>
      </c>
      <c r="B1614" s="4">
        <v>10878482</v>
      </c>
      <c r="C1614" s="4" t="str">
        <f t="shared" si="7"/>
        <v/>
      </c>
      <c r="D1614" s="4" t="s">
        <v>302</v>
      </c>
    </row>
    <row r="1615" spans="1:4" ht="15.75" customHeight="1">
      <c r="A1615" s="22">
        <v>12767008</v>
      </c>
      <c r="B1615" s="4">
        <v>32906131</v>
      </c>
      <c r="C1615" s="4" t="str">
        <f t="shared" si="7"/>
        <v/>
      </c>
      <c r="D1615" s="4" t="s">
        <v>302</v>
      </c>
    </row>
    <row r="1616" spans="1:4" ht="15.75" customHeight="1">
      <c r="A1616" s="22">
        <v>38758242</v>
      </c>
      <c r="B1616" s="4">
        <v>15175170</v>
      </c>
      <c r="C1616" s="4">
        <f t="shared" si="7"/>
        <v>38758242</v>
      </c>
      <c r="D1616" s="4" t="s">
        <v>302</v>
      </c>
    </row>
    <row r="1617" spans="1:4" ht="15.75" customHeight="1">
      <c r="A1617" s="22">
        <v>12476296</v>
      </c>
      <c r="B1617" s="4">
        <v>20548847</v>
      </c>
      <c r="C1617" s="4" t="str">
        <f t="shared" si="7"/>
        <v/>
      </c>
      <c r="D1617" s="4" t="s">
        <v>302</v>
      </c>
    </row>
    <row r="1618" spans="1:4" ht="15.75" customHeight="1">
      <c r="A1618" s="22">
        <v>38187380</v>
      </c>
      <c r="B1618" s="4">
        <v>30958288</v>
      </c>
      <c r="C1618" s="4" t="str">
        <f t="shared" si="7"/>
        <v/>
      </c>
      <c r="D1618" s="4" t="s">
        <v>302</v>
      </c>
    </row>
    <row r="1619" spans="1:4" ht="15.75" customHeight="1">
      <c r="A1619" s="22">
        <v>17988530</v>
      </c>
      <c r="B1619" s="4">
        <v>18789976</v>
      </c>
      <c r="C1619" s="4" t="str">
        <f t="shared" si="7"/>
        <v/>
      </c>
      <c r="D1619" s="4" t="s">
        <v>302</v>
      </c>
    </row>
    <row r="1620" spans="1:4" ht="15.75" customHeight="1">
      <c r="A1620" s="22">
        <v>12353198</v>
      </c>
      <c r="B1620" s="4">
        <v>25442238</v>
      </c>
      <c r="C1620" s="4" t="str">
        <f t="shared" si="7"/>
        <v/>
      </c>
      <c r="D1620" s="4" t="s">
        <v>302</v>
      </c>
    </row>
    <row r="1621" spans="1:4" ht="15.75" customHeight="1">
      <c r="A1621" s="22">
        <v>12537769</v>
      </c>
      <c r="B1621" s="4">
        <v>8907621</v>
      </c>
      <c r="C1621" s="4" t="str">
        <f t="shared" si="7"/>
        <v/>
      </c>
      <c r="D1621" s="4" t="s">
        <v>302</v>
      </c>
    </row>
    <row r="1622" spans="1:4" ht="15.75" customHeight="1">
      <c r="A1622" s="22">
        <v>12910597</v>
      </c>
      <c r="B1622" s="4">
        <v>21161019</v>
      </c>
      <c r="C1622" s="4" t="str">
        <f t="shared" si="7"/>
        <v/>
      </c>
      <c r="D1622" s="4" t="s">
        <v>302</v>
      </c>
    </row>
    <row r="1623" spans="1:4" ht="15.75" customHeight="1">
      <c r="A1623" s="22">
        <v>26029371</v>
      </c>
      <c r="B1623" s="4">
        <v>23544389</v>
      </c>
      <c r="C1623" s="4" t="str">
        <f t="shared" si="7"/>
        <v/>
      </c>
      <c r="D1623" s="4" t="s">
        <v>302</v>
      </c>
    </row>
    <row r="1624" spans="1:4" ht="15.75" customHeight="1">
      <c r="A1624" s="22">
        <v>15209395</v>
      </c>
      <c r="B1624" s="4">
        <v>34932790</v>
      </c>
      <c r="C1624" s="4" t="str">
        <f t="shared" si="7"/>
        <v/>
      </c>
      <c r="D1624" s="4" t="s">
        <v>302</v>
      </c>
    </row>
    <row r="1625" spans="1:4" ht="15.75" customHeight="1">
      <c r="A1625" s="22">
        <v>29900673</v>
      </c>
      <c r="B1625" s="4">
        <v>37131308</v>
      </c>
      <c r="C1625" s="4" t="str">
        <f t="shared" si="7"/>
        <v/>
      </c>
      <c r="D1625" s="4" t="s">
        <v>302</v>
      </c>
    </row>
    <row r="1626" spans="1:4" ht="15.75" customHeight="1">
      <c r="A1626" s="22">
        <v>18929381</v>
      </c>
      <c r="B1626" s="4">
        <v>18675102</v>
      </c>
      <c r="C1626" s="4" t="str">
        <f t="shared" si="7"/>
        <v/>
      </c>
      <c r="D1626" s="4" t="s">
        <v>302</v>
      </c>
    </row>
    <row r="1627" spans="1:4" ht="15.75" customHeight="1">
      <c r="A1627" s="22">
        <v>16882166</v>
      </c>
      <c r="B1627" s="4">
        <v>34188012</v>
      </c>
      <c r="C1627" s="4" t="str">
        <f t="shared" si="7"/>
        <v/>
      </c>
      <c r="D1627" s="4" t="s">
        <v>302</v>
      </c>
    </row>
    <row r="1628" spans="1:4" ht="15.75" customHeight="1">
      <c r="A1628" s="22">
        <v>15782388</v>
      </c>
      <c r="B1628" s="4">
        <v>35757074</v>
      </c>
      <c r="C1628" s="4" t="str">
        <f t="shared" si="7"/>
        <v/>
      </c>
      <c r="D1628" s="4" t="s">
        <v>302</v>
      </c>
    </row>
    <row r="1629" spans="1:4" ht="15.75" customHeight="1">
      <c r="A1629" s="22">
        <v>37572949</v>
      </c>
      <c r="B1629" s="4">
        <v>35336070</v>
      </c>
      <c r="C1629" s="4" t="str">
        <f t="shared" si="7"/>
        <v/>
      </c>
      <c r="D1629" s="4" t="s">
        <v>302</v>
      </c>
    </row>
    <row r="1630" spans="1:4" ht="15.75" customHeight="1">
      <c r="A1630" s="22">
        <v>38470444</v>
      </c>
      <c r="B1630" s="4">
        <v>2571338</v>
      </c>
      <c r="C1630" s="4">
        <f t="shared" si="7"/>
        <v>38470444</v>
      </c>
      <c r="D1630" s="4" t="s">
        <v>302</v>
      </c>
    </row>
    <row r="1631" spans="1:4" ht="15.75" customHeight="1">
      <c r="A1631" s="22">
        <v>31824487</v>
      </c>
      <c r="B1631" s="4">
        <v>37602673</v>
      </c>
      <c r="C1631" s="4" t="str">
        <f t="shared" si="7"/>
        <v/>
      </c>
      <c r="D1631" s="4" t="s">
        <v>302</v>
      </c>
    </row>
    <row r="1632" spans="1:4" ht="15.75" customHeight="1">
      <c r="A1632" s="22">
        <v>11843812</v>
      </c>
      <c r="B1632" s="4">
        <v>38144451</v>
      </c>
      <c r="C1632" s="4" t="str">
        <f t="shared" si="7"/>
        <v/>
      </c>
      <c r="D1632" s="4" t="s">
        <v>302</v>
      </c>
    </row>
    <row r="1633" spans="1:4" ht="15.75" customHeight="1">
      <c r="A1633" s="22">
        <v>31005137</v>
      </c>
      <c r="B1633" s="4">
        <v>21457420</v>
      </c>
      <c r="C1633" s="4" t="str">
        <f t="shared" si="7"/>
        <v/>
      </c>
      <c r="D1633" s="4" t="s">
        <v>302</v>
      </c>
    </row>
    <row r="1634" spans="1:4" ht="15.75" customHeight="1">
      <c r="A1634" s="22">
        <v>36300166</v>
      </c>
      <c r="B1634" s="4">
        <v>10911374</v>
      </c>
      <c r="C1634" s="4" t="str">
        <f t="shared" si="7"/>
        <v/>
      </c>
      <c r="D1634" s="4" t="s">
        <v>302</v>
      </c>
    </row>
    <row r="1635" spans="1:4" ht="15.75" customHeight="1">
      <c r="A1635" s="22">
        <v>30831627</v>
      </c>
      <c r="B1635" s="4">
        <v>11201155</v>
      </c>
      <c r="C1635" s="4" t="str">
        <f t="shared" si="7"/>
        <v/>
      </c>
      <c r="D1635" s="4" t="s">
        <v>302</v>
      </c>
    </row>
    <row r="1636" spans="1:4" ht="15.75" customHeight="1">
      <c r="A1636" s="22">
        <v>20408855</v>
      </c>
      <c r="B1636" s="4">
        <v>12073776</v>
      </c>
      <c r="C1636" s="4" t="str">
        <f t="shared" si="7"/>
        <v/>
      </c>
      <c r="D1636" s="4" t="s">
        <v>302</v>
      </c>
    </row>
    <row r="1637" spans="1:4" ht="15.75" customHeight="1">
      <c r="A1637" s="22">
        <v>29358873</v>
      </c>
      <c r="B1637" s="4">
        <v>25074497</v>
      </c>
      <c r="C1637" s="4" t="str">
        <f t="shared" si="7"/>
        <v/>
      </c>
      <c r="D1637" s="4" t="s">
        <v>302</v>
      </c>
    </row>
    <row r="1638" spans="1:4" ht="15.75" customHeight="1">
      <c r="A1638" s="22">
        <v>11297322</v>
      </c>
      <c r="B1638" s="4">
        <v>36367762</v>
      </c>
      <c r="C1638" s="4" t="str">
        <f t="shared" si="7"/>
        <v/>
      </c>
      <c r="D1638" s="4" t="s">
        <v>302</v>
      </c>
    </row>
    <row r="1639" spans="1:4" ht="15.75" customHeight="1">
      <c r="A1639" s="22">
        <v>33048220</v>
      </c>
      <c r="B1639" s="4">
        <v>32183884</v>
      </c>
      <c r="C1639" s="4" t="str">
        <f t="shared" si="7"/>
        <v/>
      </c>
      <c r="D1639" s="4" t="s">
        <v>302</v>
      </c>
    </row>
    <row r="1640" spans="1:4" ht="15.75" customHeight="1">
      <c r="A1640" s="22">
        <v>11887337</v>
      </c>
      <c r="B1640" s="4">
        <v>9827286</v>
      </c>
      <c r="C1640" s="4" t="str">
        <f t="shared" si="7"/>
        <v/>
      </c>
      <c r="D1640" s="4" t="s">
        <v>302</v>
      </c>
    </row>
    <row r="1641" spans="1:4" ht="15.75" customHeight="1">
      <c r="A1641" s="22">
        <v>10878482</v>
      </c>
      <c r="B1641" s="4">
        <v>25492663</v>
      </c>
      <c r="C1641" s="4" t="str">
        <f t="shared" si="7"/>
        <v/>
      </c>
      <c r="D1641" s="4" t="s">
        <v>302</v>
      </c>
    </row>
    <row r="1642" spans="1:4" ht="15.75" customHeight="1">
      <c r="A1642" s="22">
        <v>32906131</v>
      </c>
      <c r="B1642" s="4">
        <v>28282487</v>
      </c>
      <c r="C1642" s="4" t="str">
        <f t="shared" si="7"/>
        <v/>
      </c>
      <c r="D1642" s="4" t="s">
        <v>302</v>
      </c>
    </row>
    <row r="1643" spans="1:4" ht="15.75" customHeight="1">
      <c r="A1643" s="22">
        <v>15175170</v>
      </c>
      <c r="B1643" s="4">
        <v>16116557</v>
      </c>
      <c r="C1643" s="4" t="str">
        <f t="shared" si="7"/>
        <v/>
      </c>
      <c r="D1643" s="4" t="s">
        <v>302</v>
      </c>
    </row>
    <row r="1644" spans="1:4" ht="15.75" customHeight="1">
      <c r="A1644" s="22">
        <v>20548847</v>
      </c>
      <c r="B1644" s="4">
        <v>30294260</v>
      </c>
      <c r="C1644" s="4" t="str">
        <f t="shared" si="7"/>
        <v/>
      </c>
      <c r="D1644" s="4" t="s">
        <v>302</v>
      </c>
    </row>
    <row r="1645" spans="1:4" ht="15.75" customHeight="1">
      <c r="A1645" s="22">
        <v>30958288</v>
      </c>
      <c r="B1645" s="4">
        <v>8303178</v>
      </c>
      <c r="C1645" s="4" t="str">
        <f t="shared" si="7"/>
        <v/>
      </c>
      <c r="D1645" s="4" t="s">
        <v>302</v>
      </c>
    </row>
    <row r="1646" spans="1:4" ht="15.75" customHeight="1">
      <c r="A1646" s="22">
        <v>38817703</v>
      </c>
      <c r="B1646" s="4">
        <v>34576764</v>
      </c>
      <c r="C1646" s="4">
        <f t="shared" si="7"/>
        <v>38817703</v>
      </c>
      <c r="D1646" s="4" t="s">
        <v>302</v>
      </c>
    </row>
    <row r="1647" spans="1:4" ht="15.75" customHeight="1">
      <c r="A1647" s="22">
        <v>18789976</v>
      </c>
      <c r="B1647" s="4">
        <v>35038852</v>
      </c>
      <c r="C1647" s="4" t="str">
        <f t="shared" si="7"/>
        <v/>
      </c>
      <c r="D1647" s="4" t="s">
        <v>302</v>
      </c>
    </row>
    <row r="1648" spans="1:4" ht="15.75" customHeight="1">
      <c r="A1648" s="22">
        <v>8907621</v>
      </c>
      <c r="B1648" s="4">
        <v>15561688</v>
      </c>
      <c r="C1648" s="4" t="str">
        <f t="shared" si="7"/>
        <v/>
      </c>
      <c r="D1648" s="4" t="s">
        <v>302</v>
      </c>
    </row>
    <row r="1649" spans="1:4" ht="15.75" customHeight="1">
      <c r="A1649" s="22">
        <v>34932790</v>
      </c>
      <c r="B1649" s="4">
        <v>27222672</v>
      </c>
      <c r="C1649" s="4" t="str">
        <f t="shared" si="7"/>
        <v/>
      </c>
      <c r="D1649" s="4" t="s">
        <v>302</v>
      </c>
    </row>
    <row r="1650" spans="1:4" ht="15.75" customHeight="1">
      <c r="A1650" s="22">
        <v>25442238</v>
      </c>
      <c r="B1650" s="4">
        <v>33784434</v>
      </c>
      <c r="C1650" s="4" t="str">
        <f t="shared" si="7"/>
        <v/>
      </c>
      <c r="D1650" s="4" t="s">
        <v>302</v>
      </c>
    </row>
    <row r="1651" spans="1:4" ht="15.75" customHeight="1">
      <c r="A1651" s="22">
        <v>21161019</v>
      </c>
      <c r="B1651" s="4">
        <v>22580050</v>
      </c>
      <c r="C1651" s="4" t="str">
        <f t="shared" si="7"/>
        <v/>
      </c>
      <c r="D1651" s="4" t="s">
        <v>302</v>
      </c>
    </row>
    <row r="1652" spans="1:4" ht="15.75" customHeight="1">
      <c r="A1652" s="22">
        <v>23544389</v>
      </c>
      <c r="B1652" s="4">
        <v>16456326</v>
      </c>
      <c r="C1652" s="4" t="str">
        <f t="shared" si="7"/>
        <v/>
      </c>
      <c r="D1652" s="4" t="s">
        <v>302</v>
      </c>
    </row>
    <row r="1653" spans="1:4" ht="15.75" customHeight="1">
      <c r="A1653" s="22">
        <v>18675102</v>
      </c>
      <c r="B1653" s="4">
        <v>31837130</v>
      </c>
      <c r="C1653" s="4" t="str">
        <f t="shared" si="7"/>
        <v/>
      </c>
      <c r="D1653" s="4" t="s">
        <v>302</v>
      </c>
    </row>
    <row r="1654" spans="1:4" ht="15.75" customHeight="1">
      <c r="A1654" s="22">
        <v>38945270</v>
      </c>
      <c r="B1654" s="4">
        <v>33706010</v>
      </c>
      <c r="C1654" s="4">
        <f t="shared" si="7"/>
        <v>38945270</v>
      </c>
      <c r="D1654" s="4" t="s">
        <v>302</v>
      </c>
    </row>
    <row r="1655" spans="1:4" ht="15.75" customHeight="1">
      <c r="A1655" s="22">
        <v>35757074</v>
      </c>
      <c r="B1655" s="4">
        <v>35863244</v>
      </c>
      <c r="C1655" s="4" t="str">
        <f t="shared" si="7"/>
        <v/>
      </c>
      <c r="D1655" s="4" t="s">
        <v>302</v>
      </c>
    </row>
    <row r="1656" spans="1:4" ht="15.75" customHeight="1">
      <c r="A1656" s="22">
        <v>35336070</v>
      </c>
      <c r="B1656" s="4">
        <v>17716883</v>
      </c>
      <c r="C1656" s="4" t="str">
        <f t="shared" si="7"/>
        <v/>
      </c>
      <c r="D1656" s="4" t="s">
        <v>302</v>
      </c>
    </row>
    <row r="1657" spans="1:4" ht="15.75" customHeight="1">
      <c r="A1657" s="22">
        <v>37131308</v>
      </c>
      <c r="B1657" s="4">
        <v>18778180</v>
      </c>
      <c r="C1657" s="4" t="str">
        <f t="shared" si="7"/>
        <v/>
      </c>
      <c r="D1657" s="4" t="s">
        <v>302</v>
      </c>
    </row>
    <row r="1658" spans="1:4" ht="15.75" customHeight="1">
      <c r="A1658" s="22">
        <v>2571338</v>
      </c>
      <c r="B1658" s="4">
        <v>36572350</v>
      </c>
      <c r="C1658" s="4" t="str">
        <f t="shared" si="7"/>
        <v/>
      </c>
      <c r="D1658" s="4" t="s">
        <v>302</v>
      </c>
    </row>
    <row r="1659" spans="1:4" ht="15.75" customHeight="1">
      <c r="A1659" s="22">
        <v>34188012</v>
      </c>
      <c r="B1659" s="4">
        <v>21236397</v>
      </c>
      <c r="C1659" s="4" t="str">
        <f t="shared" si="7"/>
        <v/>
      </c>
      <c r="D1659" s="4" t="s">
        <v>302</v>
      </c>
    </row>
    <row r="1660" spans="1:4" ht="15.75" customHeight="1">
      <c r="A1660" s="22">
        <v>21457420</v>
      </c>
      <c r="B1660" s="4">
        <v>38007049</v>
      </c>
      <c r="C1660" s="4" t="str">
        <f t="shared" si="7"/>
        <v/>
      </c>
      <c r="D1660" s="4" t="s">
        <v>302</v>
      </c>
    </row>
    <row r="1661" spans="1:4" ht="15.75" customHeight="1">
      <c r="A1661" s="22">
        <v>10911374</v>
      </c>
      <c r="B1661" s="4">
        <v>31463932</v>
      </c>
      <c r="C1661" s="4" t="str">
        <f t="shared" si="7"/>
        <v/>
      </c>
      <c r="D1661" s="4" t="s">
        <v>302</v>
      </c>
    </row>
    <row r="1662" spans="1:4" ht="15.75" customHeight="1">
      <c r="A1662" s="22">
        <v>37602673</v>
      </c>
      <c r="B1662" s="4">
        <v>10951139</v>
      </c>
      <c r="C1662" s="4" t="str">
        <f t="shared" si="7"/>
        <v/>
      </c>
      <c r="D1662" s="4" t="s">
        <v>302</v>
      </c>
    </row>
    <row r="1663" spans="1:4" ht="15.75" customHeight="1">
      <c r="A1663" s="22">
        <v>11201155</v>
      </c>
      <c r="B1663" s="4">
        <v>18212637</v>
      </c>
      <c r="C1663" s="4" t="str">
        <f t="shared" si="7"/>
        <v/>
      </c>
      <c r="D1663" s="4" t="s">
        <v>302</v>
      </c>
    </row>
    <row r="1664" spans="1:4" ht="15.75" customHeight="1">
      <c r="A1664" s="22">
        <v>12073776</v>
      </c>
      <c r="B1664" s="4">
        <v>23225133</v>
      </c>
      <c r="C1664" s="4" t="str">
        <f t="shared" si="7"/>
        <v/>
      </c>
      <c r="D1664" s="4" t="s">
        <v>302</v>
      </c>
    </row>
    <row r="1665" spans="1:4" ht="15.75" customHeight="1">
      <c r="A1665" s="22">
        <v>38144451</v>
      </c>
      <c r="B1665" s="4">
        <v>38146348</v>
      </c>
      <c r="C1665" s="4" t="str">
        <f t="shared" si="7"/>
        <v/>
      </c>
      <c r="D1665" s="4" t="s">
        <v>302</v>
      </c>
    </row>
    <row r="1666" spans="1:4" ht="15.75" customHeight="1">
      <c r="A1666" s="22">
        <v>25074497</v>
      </c>
      <c r="B1666" s="4">
        <v>15621108</v>
      </c>
      <c r="C1666" s="4" t="str">
        <f t="shared" si="7"/>
        <v/>
      </c>
      <c r="D1666" s="4" t="s">
        <v>302</v>
      </c>
    </row>
    <row r="1667" spans="1:4" ht="15.75" customHeight="1">
      <c r="A1667" s="22">
        <v>36367762</v>
      </c>
      <c r="B1667" s="4">
        <v>8953678</v>
      </c>
      <c r="C1667" s="4" t="str">
        <f t="shared" si="7"/>
        <v/>
      </c>
      <c r="D1667" s="4" t="s">
        <v>302</v>
      </c>
    </row>
    <row r="1668" spans="1:4" ht="15.75" customHeight="1">
      <c r="A1668" s="22">
        <v>25492663</v>
      </c>
      <c r="B1668" s="4">
        <v>17580183</v>
      </c>
      <c r="C1668" s="4" t="str">
        <f t="shared" si="7"/>
        <v/>
      </c>
      <c r="D1668" s="4" t="s">
        <v>302</v>
      </c>
    </row>
    <row r="1669" spans="1:4" ht="15.75" customHeight="1">
      <c r="A1669" s="22">
        <v>32183884</v>
      </c>
      <c r="B1669" s="4">
        <v>34205498</v>
      </c>
      <c r="C1669" s="4" t="str">
        <f t="shared" si="7"/>
        <v/>
      </c>
      <c r="D1669" s="4" t="s">
        <v>302</v>
      </c>
    </row>
    <row r="1670" spans="1:4" ht="15.75" customHeight="1">
      <c r="A1670" s="22">
        <v>16116557</v>
      </c>
      <c r="B1670" s="4">
        <v>16386530</v>
      </c>
      <c r="C1670" s="4" t="str">
        <f t="shared" si="7"/>
        <v/>
      </c>
      <c r="D1670" s="4" t="s">
        <v>302</v>
      </c>
    </row>
    <row r="1671" spans="1:4" ht="15.75" customHeight="1">
      <c r="A1671" s="22">
        <v>9827286</v>
      </c>
      <c r="B1671" s="4">
        <v>9153236</v>
      </c>
      <c r="C1671" s="4" t="str">
        <f t="shared" si="7"/>
        <v/>
      </c>
      <c r="D1671" s="4" t="s">
        <v>302</v>
      </c>
    </row>
    <row r="1672" spans="1:4" ht="15.75" customHeight="1">
      <c r="A1672" s="22">
        <v>30294260</v>
      </c>
      <c r="B1672" s="4">
        <v>29239849</v>
      </c>
      <c r="C1672" s="4" t="str">
        <f t="shared" si="7"/>
        <v/>
      </c>
      <c r="D1672" s="4" t="s">
        <v>302</v>
      </c>
    </row>
    <row r="1673" spans="1:4" ht="15.75" customHeight="1">
      <c r="A1673" s="22">
        <v>28282487</v>
      </c>
      <c r="B1673" s="4">
        <v>22739739</v>
      </c>
      <c r="C1673" s="4" t="str">
        <f t="shared" si="7"/>
        <v/>
      </c>
      <c r="D1673" s="4" t="s">
        <v>302</v>
      </c>
    </row>
    <row r="1674" spans="1:4" ht="15.75" customHeight="1">
      <c r="A1674" s="22">
        <v>8303178</v>
      </c>
      <c r="B1674" s="4">
        <v>17032433</v>
      </c>
      <c r="C1674" s="4" t="str">
        <f t="shared" si="7"/>
        <v/>
      </c>
      <c r="D1674" s="4" t="s">
        <v>302</v>
      </c>
    </row>
    <row r="1675" spans="1:4" ht="15.75" customHeight="1">
      <c r="A1675" s="22">
        <v>34576764</v>
      </c>
      <c r="B1675" s="4">
        <v>8869358</v>
      </c>
      <c r="C1675" s="4" t="str">
        <f t="shared" si="7"/>
        <v/>
      </c>
      <c r="D1675" s="4" t="s">
        <v>302</v>
      </c>
    </row>
    <row r="1676" spans="1:4" ht="15.75" customHeight="1">
      <c r="A1676" s="22">
        <v>16456326</v>
      </c>
      <c r="B1676" s="4">
        <v>19656540</v>
      </c>
      <c r="C1676" s="4" t="str">
        <f t="shared" si="7"/>
        <v/>
      </c>
      <c r="D1676" s="4" t="s">
        <v>302</v>
      </c>
    </row>
    <row r="1677" spans="1:4" ht="15.75" customHeight="1">
      <c r="A1677" s="22">
        <v>33784434</v>
      </c>
      <c r="B1677" s="4">
        <v>29384118</v>
      </c>
      <c r="C1677" s="4" t="str">
        <f t="shared" si="7"/>
        <v/>
      </c>
      <c r="D1677" s="4" t="s">
        <v>302</v>
      </c>
    </row>
    <row r="1678" spans="1:4" ht="15.75" customHeight="1">
      <c r="A1678" s="22">
        <v>22580050</v>
      </c>
      <c r="B1678" s="4">
        <v>12195400</v>
      </c>
      <c r="C1678" s="4" t="str">
        <f t="shared" si="7"/>
        <v/>
      </c>
      <c r="D1678" s="4" t="s">
        <v>302</v>
      </c>
    </row>
    <row r="1679" spans="1:4" ht="15.75" customHeight="1">
      <c r="A1679" s="22">
        <v>31837130</v>
      </c>
      <c r="B1679" s="4">
        <v>21757415</v>
      </c>
      <c r="C1679" s="4" t="str">
        <f t="shared" si="7"/>
        <v/>
      </c>
      <c r="D1679" s="4" t="s">
        <v>302</v>
      </c>
    </row>
    <row r="1680" spans="1:4" ht="15.75" customHeight="1">
      <c r="A1680" s="22">
        <v>35038852</v>
      </c>
      <c r="B1680" s="4">
        <v>16489840</v>
      </c>
      <c r="C1680" s="4" t="str">
        <f t="shared" si="7"/>
        <v/>
      </c>
      <c r="D1680" s="4" t="s">
        <v>302</v>
      </c>
    </row>
    <row r="1681" spans="1:4" ht="15.75" customHeight="1">
      <c r="A1681" s="22">
        <v>33706010</v>
      </c>
      <c r="B1681" s="4">
        <v>8125426</v>
      </c>
      <c r="C1681" s="4" t="str">
        <f t="shared" si="7"/>
        <v/>
      </c>
      <c r="D1681" s="4" t="s">
        <v>302</v>
      </c>
    </row>
    <row r="1682" spans="1:4" ht="15.75" customHeight="1">
      <c r="A1682" s="22">
        <v>35863244</v>
      </c>
      <c r="B1682" s="4">
        <v>33194546</v>
      </c>
      <c r="C1682" s="4" t="str">
        <f t="shared" si="7"/>
        <v/>
      </c>
      <c r="D1682" s="4" t="s">
        <v>302</v>
      </c>
    </row>
    <row r="1683" spans="1:4" ht="15.75" customHeight="1">
      <c r="A1683" s="22">
        <v>17716883</v>
      </c>
      <c r="B1683" s="4">
        <v>37063394</v>
      </c>
      <c r="C1683" s="4" t="str">
        <f t="shared" si="7"/>
        <v/>
      </c>
      <c r="D1683" s="4" t="s">
        <v>302</v>
      </c>
    </row>
    <row r="1684" spans="1:4" ht="15.75" customHeight="1">
      <c r="A1684" s="22">
        <v>18778180</v>
      </c>
      <c r="B1684" s="4">
        <v>33363781</v>
      </c>
      <c r="C1684" s="4" t="str">
        <f t="shared" si="7"/>
        <v/>
      </c>
      <c r="D1684" s="4" t="s">
        <v>302</v>
      </c>
    </row>
    <row r="1685" spans="1:4" ht="15.75" customHeight="1">
      <c r="A1685" s="22">
        <v>36572350</v>
      </c>
      <c r="B1685" s="4">
        <v>10738138</v>
      </c>
      <c r="C1685" s="4" t="str">
        <f t="shared" si="7"/>
        <v/>
      </c>
      <c r="D1685" s="4" t="s">
        <v>302</v>
      </c>
    </row>
    <row r="1686" spans="1:4" ht="15.75" customHeight="1">
      <c r="A1686" s="22">
        <v>27222672</v>
      </c>
      <c r="B1686" s="4">
        <v>22542037</v>
      </c>
      <c r="C1686" s="4" t="str">
        <f t="shared" si="7"/>
        <v/>
      </c>
      <c r="D1686" s="4" t="s">
        <v>302</v>
      </c>
    </row>
    <row r="1687" spans="1:4" ht="15.75" customHeight="1">
      <c r="A1687" s="22">
        <v>38007049</v>
      </c>
      <c r="B1687" s="4">
        <v>29642192</v>
      </c>
      <c r="C1687" s="4" t="str">
        <f t="shared" si="7"/>
        <v/>
      </c>
      <c r="D1687" s="4" t="s">
        <v>302</v>
      </c>
    </row>
    <row r="1688" spans="1:4" ht="15.75" customHeight="1">
      <c r="A1688" s="22">
        <v>21236397</v>
      </c>
      <c r="B1688" s="4">
        <v>21300108</v>
      </c>
      <c r="C1688" s="4" t="str">
        <f t="shared" si="7"/>
        <v/>
      </c>
      <c r="D1688" s="4" t="s">
        <v>302</v>
      </c>
    </row>
    <row r="1689" spans="1:4" ht="15.75" customHeight="1">
      <c r="A1689" s="22">
        <v>31463932</v>
      </c>
      <c r="B1689" s="4">
        <v>9155970</v>
      </c>
      <c r="C1689" s="4" t="str">
        <f t="shared" si="7"/>
        <v/>
      </c>
      <c r="D1689" s="4" t="s">
        <v>302</v>
      </c>
    </row>
    <row r="1690" spans="1:4" ht="15.75" customHeight="1">
      <c r="A1690" s="22">
        <v>15561688</v>
      </c>
      <c r="B1690" s="4">
        <v>34206597</v>
      </c>
      <c r="C1690" s="4" t="str">
        <f t="shared" si="7"/>
        <v/>
      </c>
      <c r="D1690" s="4" t="s">
        <v>302</v>
      </c>
    </row>
    <row r="1691" spans="1:4" ht="15.75" customHeight="1">
      <c r="A1691" s="22">
        <v>18212637</v>
      </c>
      <c r="B1691" s="4">
        <v>12182687</v>
      </c>
      <c r="C1691" s="4" t="str">
        <f t="shared" si="7"/>
        <v/>
      </c>
      <c r="D1691" s="4" t="s">
        <v>302</v>
      </c>
    </row>
    <row r="1692" spans="1:4" ht="15.75" customHeight="1">
      <c r="A1692" s="22">
        <v>23225133</v>
      </c>
      <c r="B1692" s="4">
        <v>23588740</v>
      </c>
      <c r="C1692" s="4" t="str">
        <f t="shared" si="7"/>
        <v/>
      </c>
      <c r="D1692" s="4" t="s">
        <v>302</v>
      </c>
    </row>
    <row r="1693" spans="1:4" ht="15.75" customHeight="1">
      <c r="A1693" s="22">
        <v>15621108</v>
      </c>
      <c r="B1693" s="4">
        <v>32944150</v>
      </c>
      <c r="C1693" s="4" t="str">
        <f t="shared" si="7"/>
        <v/>
      </c>
      <c r="D1693" s="4" t="s">
        <v>302</v>
      </c>
    </row>
    <row r="1694" spans="1:4" ht="15.75" customHeight="1">
      <c r="A1694" s="22">
        <v>8953678</v>
      </c>
      <c r="B1694" s="4">
        <v>19910888</v>
      </c>
      <c r="C1694" s="4" t="str">
        <f t="shared" si="7"/>
        <v/>
      </c>
      <c r="D1694" s="4" t="s">
        <v>302</v>
      </c>
    </row>
    <row r="1695" spans="1:4" ht="15.75" customHeight="1">
      <c r="A1695" s="22">
        <v>10951139</v>
      </c>
      <c r="B1695" s="4">
        <v>36806616</v>
      </c>
      <c r="C1695" s="4" t="str">
        <f t="shared" si="7"/>
        <v/>
      </c>
      <c r="D1695" s="4" t="s">
        <v>302</v>
      </c>
    </row>
    <row r="1696" spans="1:4" ht="15.75" customHeight="1">
      <c r="A1696" s="22">
        <v>17580183</v>
      </c>
      <c r="B1696" s="4">
        <v>29535361</v>
      </c>
      <c r="C1696" s="4" t="str">
        <f t="shared" si="7"/>
        <v/>
      </c>
      <c r="D1696" s="4" t="s">
        <v>302</v>
      </c>
    </row>
    <row r="1697" spans="1:4" ht="15.75" customHeight="1">
      <c r="A1697" s="22">
        <v>34205498</v>
      </c>
      <c r="B1697" s="4">
        <v>22372783</v>
      </c>
      <c r="C1697" s="4" t="str">
        <f t="shared" si="7"/>
        <v/>
      </c>
      <c r="D1697" s="4" t="s">
        <v>302</v>
      </c>
    </row>
    <row r="1698" spans="1:4" ht="15.75" customHeight="1">
      <c r="A1698" s="22">
        <v>38146348</v>
      </c>
      <c r="B1698" s="4">
        <v>36284352</v>
      </c>
      <c r="C1698" s="4" t="str">
        <f t="shared" si="7"/>
        <v/>
      </c>
      <c r="D1698" s="4" t="s">
        <v>302</v>
      </c>
    </row>
    <row r="1699" spans="1:4" ht="15.75" customHeight="1">
      <c r="A1699" s="22">
        <v>16386530</v>
      </c>
      <c r="B1699" s="4">
        <v>24337150</v>
      </c>
      <c r="C1699" s="4" t="str">
        <f t="shared" si="7"/>
        <v/>
      </c>
      <c r="D1699" s="4" t="s">
        <v>302</v>
      </c>
    </row>
    <row r="1700" spans="1:4" ht="15.75" customHeight="1">
      <c r="A1700" s="22">
        <v>9153236</v>
      </c>
      <c r="B1700" s="4">
        <v>35242131</v>
      </c>
      <c r="C1700" s="4" t="str">
        <f t="shared" si="7"/>
        <v/>
      </c>
      <c r="D1700" s="4" t="s">
        <v>302</v>
      </c>
    </row>
    <row r="1701" spans="1:4" ht="15.75" customHeight="1">
      <c r="A1701" s="22">
        <v>29239849</v>
      </c>
      <c r="B1701" s="4">
        <v>21121877</v>
      </c>
      <c r="C1701" s="4" t="str">
        <f t="shared" si="7"/>
        <v/>
      </c>
      <c r="D1701" s="4" t="s">
        <v>302</v>
      </c>
    </row>
    <row r="1702" spans="1:4" ht="15.75" customHeight="1">
      <c r="A1702" s="22">
        <v>22739739</v>
      </c>
      <c r="B1702" s="4">
        <v>9577878</v>
      </c>
      <c r="C1702" s="4" t="str">
        <f t="shared" si="7"/>
        <v/>
      </c>
      <c r="D1702" s="4" t="s">
        <v>302</v>
      </c>
    </row>
    <row r="1703" spans="1:4" ht="15.75" customHeight="1">
      <c r="A1703" s="22">
        <v>17032433</v>
      </c>
      <c r="B1703" s="4">
        <v>15169557</v>
      </c>
      <c r="C1703" s="4" t="str">
        <f t="shared" si="7"/>
        <v/>
      </c>
      <c r="D1703" s="4" t="s">
        <v>302</v>
      </c>
    </row>
    <row r="1704" spans="1:4" ht="15.75" customHeight="1">
      <c r="A1704" s="22">
        <v>8869358</v>
      </c>
      <c r="B1704" s="4">
        <v>34912727</v>
      </c>
      <c r="C1704" s="4" t="str">
        <f t="shared" si="7"/>
        <v/>
      </c>
      <c r="D1704" s="4" t="s">
        <v>302</v>
      </c>
    </row>
    <row r="1705" spans="1:4" ht="15.75" customHeight="1">
      <c r="A1705" s="22">
        <v>29384118</v>
      </c>
      <c r="B1705" s="4">
        <v>26451078</v>
      </c>
      <c r="C1705" s="4" t="str">
        <f t="shared" si="7"/>
        <v/>
      </c>
      <c r="D1705" s="4" t="s">
        <v>302</v>
      </c>
    </row>
    <row r="1706" spans="1:4" ht="15.75" customHeight="1">
      <c r="A1706" s="22">
        <v>19656540</v>
      </c>
      <c r="B1706" s="4">
        <v>28834054</v>
      </c>
      <c r="C1706" s="4" t="str">
        <f t="shared" si="7"/>
        <v/>
      </c>
      <c r="D1706" s="4" t="s">
        <v>302</v>
      </c>
    </row>
    <row r="1707" spans="1:4" ht="15.75" customHeight="1">
      <c r="A1707" s="22">
        <v>12195400</v>
      </c>
      <c r="B1707" s="4">
        <v>34874835</v>
      </c>
      <c r="C1707" s="4" t="str">
        <f t="shared" si="7"/>
        <v/>
      </c>
      <c r="D1707" s="4" t="s">
        <v>302</v>
      </c>
    </row>
    <row r="1708" spans="1:4" ht="15.75" customHeight="1">
      <c r="A1708" s="22">
        <v>21757415</v>
      </c>
      <c r="B1708" s="4">
        <v>35215180</v>
      </c>
      <c r="C1708" s="4" t="str">
        <f t="shared" si="7"/>
        <v/>
      </c>
      <c r="D1708" s="4" t="s">
        <v>302</v>
      </c>
    </row>
    <row r="1709" spans="1:4" ht="15.75" customHeight="1">
      <c r="A1709" s="22">
        <v>16489840</v>
      </c>
      <c r="B1709" s="4">
        <v>34022099</v>
      </c>
      <c r="C1709" s="4" t="str">
        <f t="shared" si="7"/>
        <v/>
      </c>
      <c r="D1709" s="4" t="s">
        <v>302</v>
      </c>
    </row>
    <row r="1710" spans="1:4" ht="15.75" customHeight="1">
      <c r="A1710" s="22">
        <v>8125426</v>
      </c>
      <c r="B1710" s="4">
        <v>28864597</v>
      </c>
      <c r="C1710" s="4" t="str">
        <f t="shared" si="7"/>
        <v/>
      </c>
      <c r="D1710" s="4" t="s">
        <v>302</v>
      </c>
    </row>
    <row r="1711" spans="1:4" ht="15.75" customHeight="1">
      <c r="A1711" s="22">
        <v>33194546</v>
      </c>
      <c r="B1711" s="4">
        <v>23165654</v>
      </c>
      <c r="C1711" s="4" t="str">
        <f t="shared" si="7"/>
        <v/>
      </c>
      <c r="D1711" s="4" t="s">
        <v>302</v>
      </c>
    </row>
    <row r="1712" spans="1:4" ht="15.75" customHeight="1">
      <c r="A1712" s="22">
        <v>37063394</v>
      </c>
      <c r="B1712" s="4">
        <v>9342002</v>
      </c>
      <c r="C1712" s="4" t="str">
        <f t="shared" si="7"/>
        <v/>
      </c>
      <c r="D1712" s="4" t="s">
        <v>302</v>
      </c>
    </row>
    <row r="1713" spans="1:4" ht="15.75" customHeight="1">
      <c r="A1713" s="22">
        <v>33363781</v>
      </c>
      <c r="B1713" s="4">
        <v>26460048</v>
      </c>
      <c r="C1713" s="4" t="str">
        <f t="shared" si="7"/>
        <v/>
      </c>
      <c r="D1713" s="4" t="s">
        <v>302</v>
      </c>
    </row>
    <row r="1714" spans="1:4" ht="15.75" customHeight="1">
      <c r="A1714" s="22">
        <v>10738138</v>
      </c>
      <c r="C1714" s="4" t="str">
        <f t="shared" si="7"/>
        <v/>
      </c>
      <c r="D1714" s="4" t="s">
        <v>302</v>
      </c>
    </row>
    <row r="1715" spans="1:4" ht="15.75" customHeight="1">
      <c r="A1715" s="22">
        <v>22542037</v>
      </c>
      <c r="C1715" s="4" t="str">
        <f t="shared" si="7"/>
        <v/>
      </c>
      <c r="D1715" s="4" t="s">
        <v>302</v>
      </c>
    </row>
    <row r="1716" spans="1:4" ht="15.75" customHeight="1">
      <c r="A1716" s="22">
        <v>29642192</v>
      </c>
      <c r="C1716" s="4" t="str">
        <f t="shared" si="7"/>
        <v/>
      </c>
      <c r="D1716" s="4" t="s">
        <v>302</v>
      </c>
    </row>
    <row r="1717" spans="1:4" ht="15.75" customHeight="1">
      <c r="A1717" s="22">
        <v>21300108</v>
      </c>
      <c r="C1717" s="4" t="str">
        <f t="shared" si="7"/>
        <v/>
      </c>
      <c r="D1717" s="4" t="s">
        <v>302</v>
      </c>
    </row>
    <row r="1718" spans="1:4" ht="15.75" customHeight="1">
      <c r="A1718" s="22">
        <v>34206597</v>
      </c>
      <c r="C1718" s="4" t="str">
        <f t="shared" si="7"/>
        <v/>
      </c>
      <c r="D1718" s="4" t="s">
        <v>302</v>
      </c>
    </row>
    <row r="1719" spans="1:4" ht="15.75" customHeight="1">
      <c r="A1719" s="22">
        <v>12182687</v>
      </c>
      <c r="C1719" s="4" t="str">
        <f t="shared" si="7"/>
        <v/>
      </c>
      <c r="D1719" s="4" t="s">
        <v>302</v>
      </c>
    </row>
    <row r="1720" spans="1:4" ht="15.75" customHeight="1">
      <c r="A1720" s="22">
        <v>9155970</v>
      </c>
      <c r="C1720" s="4" t="str">
        <f t="shared" si="7"/>
        <v/>
      </c>
      <c r="D1720" s="4" t="s">
        <v>302</v>
      </c>
    </row>
    <row r="1721" spans="1:4" ht="15.75" customHeight="1">
      <c r="A1721" s="22">
        <v>32944150</v>
      </c>
      <c r="C1721" s="4" t="str">
        <f t="shared" si="7"/>
        <v/>
      </c>
      <c r="D1721" s="4" t="s">
        <v>302</v>
      </c>
    </row>
    <row r="1722" spans="1:4" ht="15.75" customHeight="1">
      <c r="A1722" s="22">
        <v>23588740</v>
      </c>
      <c r="C1722" s="4" t="str">
        <f t="shared" si="7"/>
        <v/>
      </c>
      <c r="D1722" s="4" t="s">
        <v>302</v>
      </c>
    </row>
    <row r="1723" spans="1:4" ht="15.75" customHeight="1">
      <c r="A1723" s="22">
        <v>19910888</v>
      </c>
      <c r="C1723" s="4" t="str">
        <f t="shared" si="7"/>
        <v/>
      </c>
      <c r="D1723" s="4" t="s">
        <v>302</v>
      </c>
    </row>
    <row r="1724" spans="1:4" ht="15.75" customHeight="1">
      <c r="A1724" s="22">
        <v>36806616</v>
      </c>
      <c r="C1724" s="4" t="str">
        <f t="shared" si="7"/>
        <v/>
      </c>
      <c r="D1724" s="4" t="s">
        <v>302</v>
      </c>
    </row>
    <row r="1725" spans="1:4" ht="15.75" customHeight="1">
      <c r="A1725" s="22">
        <v>29535361</v>
      </c>
      <c r="C1725" s="4" t="str">
        <f t="shared" si="7"/>
        <v/>
      </c>
      <c r="D1725" s="4" t="s">
        <v>302</v>
      </c>
    </row>
    <row r="1726" spans="1:4" ht="15.75" customHeight="1">
      <c r="A1726" s="22">
        <v>36284352</v>
      </c>
      <c r="C1726" s="4" t="str">
        <f t="shared" si="7"/>
        <v/>
      </c>
      <c r="D1726" s="4" t="s">
        <v>302</v>
      </c>
    </row>
    <row r="1727" spans="1:4" ht="15.75" customHeight="1">
      <c r="A1727" s="22">
        <v>22372783</v>
      </c>
      <c r="C1727" s="4" t="str">
        <f t="shared" si="7"/>
        <v/>
      </c>
      <c r="D1727" s="4" t="s">
        <v>302</v>
      </c>
    </row>
    <row r="1728" spans="1:4" ht="15.75" customHeight="1">
      <c r="A1728" s="22">
        <v>24337150</v>
      </c>
      <c r="C1728" s="4" t="str">
        <f t="shared" si="7"/>
        <v/>
      </c>
      <c r="D1728" s="4" t="s">
        <v>302</v>
      </c>
    </row>
    <row r="1729" spans="1:4" ht="15.75" customHeight="1">
      <c r="A1729" s="22">
        <v>35242131</v>
      </c>
      <c r="C1729" s="4" t="str">
        <f t="shared" si="7"/>
        <v/>
      </c>
      <c r="D1729" s="4" t="s">
        <v>302</v>
      </c>
    </row>
    <row r="1730" spans="1:4" ht="15.75" customHeight="1">
      <c r="A1730" s="22">
        <v>21121877</v>
      </c>
      <c r="C1730" s="4" t="str">
        <f t="shared" si="7"/>
        <v/>
      </c>
      <c r="D1730" s="4" t="s">
        <v>302</v>
      </c>
    </row>
    <row r="1731" spans="1:4" ht="15.75" customHeight="1">
      <c r="A1731" s="22">
        <v>9577878</v>
      </c>
      <c r="C1731" s="4" t="str">
        <f t="shared" si="7"/>
        <v/>
      </c>
      <c r="D1731" s="4" t="s">
        <v>302</v>
      </c>
    </row>
    <row r="1732" spans="1:4" ht="15.75" customHeight="1">
      <c r="A1732" s="22">
        <v>15169557</v>
      </c>
      <c r="C1732" s="4" t="str">
        <f t="shared" si="7"/>
        <v/>
      </c>
      <c r="D1732" s="4" t="s">
        <v>302</v>
      </c>
    </row>
    <row r="1733" spans="1:4" ht="15.75" customHeight="1">
      <c r="A1733" s="22">
        <v>34912727</v>
      </c>
      <c r="C1733" s="4" t="str">
        <f t="shared" si="7"/>
        <v/>
      </c>
      <c r="D1733" s="4" t="s">
        <v>302</v>
      </c>
    </row>
    <row r="1734" spans="1:4" ht="15.75" customHeight="1">
      <c r="A1734" s="22">
        <v>26451078</v>
      </c>
      <c r="C1734" s="4" t="str">
        <f t="shared" si="7"/>
        <v/>
      </c>
      <c r="D1734" s="4" t="s">
        <v>302</v>
      </c>
    </row>
    <row r="1735" spans="1:4" ht="15.75" customHeight="1">
      <c r="A1735" s="22">
        <v>28834054</v>
      </c>
      <c r="C1735" s="4" t="str">
        <f t="shared" si="7"/>
        <v/>
      </c>
      <c r="D1735" s="4" t="s">
        <v>302</v>
      </c>
    </row>
    <row r="1736" spans="1:4" ht="15.75" customHeight="1">
      <c r="A1736" s="22">
        <v>34874835</v>
      </c>
      <c r="C1736" s="4" t="str">
        <f t="shared" si="7"/>
        <v/>
      </c>
      <c r="D1736" s="4" t="s">
        <v>302</v>
      </c>
    </row>
    <row r="1737" spans="1:4" ht="15.75" customHeight="1">
      <c r="A1737" s="22">
        <v>35215180</v>
      </c>
      <c r="C1737" s="4" t="str">
        <f t="shared" si="7"/>
        <v/>
      </c>
      <c r="D1737" s="4" t="s">
        <v>302</v>
      </c>
    </row>
    <row r="1738" spans="1:4" ht="15.75" customHeight="1">
      <c r="A1738" s="22">
        <v>34022099</v>
      </c>
      <c r="C1738" s="4" t="str">
        <f t="shared" si="7"/>
        <v/>
      </c>
      <c r="D1738" s="4" t="s">
        <v>302</v>
      </c>
    </row>
    <row r="1739" spans="1:4" ht="15.75" customHeight="1">
      <c r="A1739" s="22">
        <v>28864597</v>
      </c>
      <c r="C1739" s="4" t="str">
        <f t="shared" si="7"/>
        <v/>
      </c>
      <c r="D1739" s="4" t="s">
        <v>302</v>
      </c>
    </row>
    <row r="1740" spans="1:4" ht="15.75" customHeight="1">
      <c r="A1740" s="22">
        <v>23165654</v>
      </c>
      <c r="C1740" s="4" t="str">
        <f t="shared" si="7"/>
        <v/>
      </c>
      <c r="D1740" s="4" t="s">
        <v>302</v>
      </c>
    </row>
    <row r="1741" spans="1:4" ht="15.75" customHeight="1">
      <c r="A1741" s="22">
        <v>9342002</v>
      </c>
      <c r="C1741" s="4" t="str">
        <f t="shared" si="7"/>
        <v/>
      </c>
      <c r="D1741" s="4" t="s">
        <v>302</v>
      </c>
    </row>
    <row r="1742" spans="1:4" ht="15.75" customHeight="1">
      <c r="A1742" s="22">
        <v>38596415</v>
      </c>
      <c r="C1742" s="4">
        <f t="shared" si="7"/>
        <v>38596415</v>
      </c>
      <c r="D1742" s="4" t="s">
        <v>302</v>
      </c>
    </row>
    <row r="1743" spans="1:4" ht="15.75" customHeight="1">
      <c r="A1743" s="22">
        <v>26460048</v>
      </c>
      <c r="C1743" s="4" t="str">
        <f t="shared" si="7"/>
        <v/>
      </c>
      <c r="D1743" s="4" t="s">
        <v>302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1743"/>
  <sheetViews>
    <sheetView workbookViewId="0"/>
  </sheetViews>
  <sheetFormatPr defaultColWidth="12.6328125" defaultRowHeight="15" customHeight="1"/>
  <cols>
    <col min="1" max="6" width="12.6328125" customWidth="1"/>
  </cols>
  <sheetData>
    <row r="1" spans="1:13" ht="15.75" customHeight="1">
      <c r="A1" s="23" t="s">
        <v>4795</v>
      </c>
      <c r="B1" s="23" t="s">
        <v>4796</v>
      </c>
      <c r="C1" s="23" t="s">
        <v>4797</v>
      </c>
      <c r="D1" s="23" t="s">
        <v>4798</v>
      </c>
      <c r="E1" s="23" t="s">
        <v>0</v>
      </c>
      <c r="F1" s="23" t="s">
        <v>4799</v>
      </c>
      <c r="G1" s="23" t="s">
        <v>1</v>
      </c>
      <c r="H1" s="23" t="s">
        <v>4800</v>
      </c>
      <c r="I1" s="23" t="s">
        <v>4801</v>
      </c>
      <c r="J1" s="23" t="s">
        <v>4802</v>
      </c>
      <c r="K1" s="23" t="s">
        <v>303</v>
      </c>
      <c r="L1" s="23" t="s">
        <v>4803</v>
      </c>
      <c r="M1" s="21" t="s">
        <v>4804</v>
      </c>
    </row>
    <row r="2" spans="1:13" ht="15.75" customHeight="1">
      <c r="A2" s="22">
        <v>27337451</v>
      </c>
      <c r="B2" s="23" t="s">
        <v>4805</v>
      </c>
      <c r="C2" s="23" t="s">
        <v>4806</v>
      </c>
      <c r="D2" s="23" t="s">
        <v>4807</v>
      </c>
      <c r="E2" s="23" t="s">
        <v>1118</v>
      </c>
      <c r="F2" s="23" t="s">
        <v>4808</v>
      </c>
      <c r="G2" s="22">
        <v>2016</v>
      </c>
      <c r="H2" s="24">
        <v>42545</v>
      </c>
      <c r="I2" s="23"/>
      <c r="J2" s="23"/>
      <c r="K2" s="23" t="s">
        <v>1119</v>
      </c>
      <c r="L2" s="23" t="s">
        <v>4809</v>
      </c>
      <c r="M2" s="24">
        <v>45480</v>
      </c>
    </row>
    <row r="3" spans="1:13" ht="15.75" customHeight="1">
      <c r="A3" s="22">
        <v>37938768</v>
      </c>
      <c r="B3" s="23" t="s">
        <v>4810</v>
      </c>
      <c r="C3" s="23" t="s">
        <v>4811</v>
      </c>
      <c r="D3" s="23" t="s">
        <v>4812</v>
      </c>
      <c r="E3" s="23" t="s">
        <v>2866</v>
      </c>
      <c r="F3" s="23" t="s">
        <v>4813</v>
      </c>
      <c r="G3" s="22">
        <v>2023</v>
      </c>
      <c r="H3" s="24">
        <v>45238</v>
      </c>
      <c r="I3" s="23" t="s">
        <v>4814</v>
      </c>
      <c r="J3" s="23" t="s">
        <v>4815</v>
      </c>
      <c r="K3" s="23" t="s">
        <v>2867</v>
      </c>
      <c r="L3" s="23" t="s">
        <v>4816</v>
      </c>
      <c r="M3" s="22">
        <v>1742</v>
      </c>
    </row>
    <row r="4" spans="1:13" ht="15.75" customHeight="1">
      <c r="A4" s="22">
        <v>25762531</v>
      </c>
      <c r="B4" s="23" t="s">
        <v>4817</v>
      </c>
      <c r="C4" s="23" t="s">
        <v>4806</v>
      </c>
      <c r="D4" s="23" t="s">
        <v>4818</v>
      </c>
      <c r="E4" s="23" t="s">
        <v>1118</v>
      </c>
      <c r="F4" s="23" t="s">
        <v>4819</v>
      </c>
      <c r="G4" s="22">
        <v>2015</v>
      </c>
      <c r="H4" s="24">
        <v>42076</v>
      </c>
      <c r="I4" s="26" t="s">
        <v>4820</v>
      </c>
      <c r="J4" s="27"/>
      <c r="K4" s="26" t="s">
        <v>1121</v>
      </c>
      <c r="L4" s="27"/>
      <c r="M4" s="23"/>
    </row>
    <row r="5" spans="1:13" ht="15.75" customHeight="1">
      <c r="A5" s="22">
        <v>33587722</v>
      </c>
      <c r="B5" s="23" t="s">
        <v>4821</v>
      </c>
      <c r="C5" s="23" t="s">
        <v>4822</v>
      </c>
      <c r="D5" s="23" t="s">
        <v>4823</v>
      </c>
      <c r="E5" s="23" t="s">
        <v>492</v>
      </c>
      <c r="F5" s="23" t="s">
        <v>4824</v>
      </c>
      <c r="G5" s="22">
        <v>2021</v>
      </c>
      <c r="H5" s="24">
        <v>44242</v>
      </c>
      <c r="I5" s="26" t="s">
        <v>4825</v>
      </c>
      <c r="J5" s="27"/>
      <c r="K5" s="26" t="s">
        <v>493</v>
      </c>
      <c r="L5" s="27"/>
      <c r="M5" s="27"/>
    </row>
    <row r="6" spans="1:13" ht="15.75" customHeight="1">
      <c r="A6" s="22">
        <v>31439151</v>
      </c>
      <c r="B6" s="23" t="s">
        <v>4826</v>
      </c>
      <c r="C6" s="23" t="s">
        <v>4827</v>
      </c>
      <c r="D6" s="23" t="s">
        <v>4828</v>
      </c>
      <c r="E6" s="23" t="s">
        <v>3386</v>
      </c>
      <c r="F6" s="23" t="s">
        <v>4829</v>
      </c>
      <c r="G6" s="22">
        <v>2019</v>
      </c>
      <c r="H6" s="24">
        <v>43701</v>
      </c>
      <c r="I6" s="23"/>
      <c r="J6" s="23"/>
      <c r="K6" s="26" t="s">
        <v>3387</v>
      </c>
      <c r="L6" s="27"/>
      <c r="M6" s="27"/>
    </row>
    <row r="7" spans="1:13" ht="15.75" customHeight="1">
      <c r="A7" s="22">
        <v>37067947</v>
      </c>
      <c r="B7" s="23" t="s">
        <v>4830</v>
      </c>
      <c r="C7" s="23" t="s">
        <v>4831</v>
      </c>
      <c r="D7" s="23" t="s">
        <v>4832</v>
      </c>
      <c r="E7" s="23" t="s">
        <v>262</v>
      </c>
      <c r="F7" s="23" t="s">
        <v>4833</v>
      </c>
      <c r="G7" s="22">
        <v>2023</v>
      </c>
      <c r="H7" s="24">
        <v>45033</v>
      </c>
      <c r="I7" s="26" t="s">
        <v>4834</v>
      </c>
      <c r="J7" s="27"/>
      <c r="K7" s="26" t="s">
        <v>392</v>
      </c>
      <c r="L7" s="27"/>
      <c r="M7" s="27"/>
    </row>
    <row r="8" spans="1:13" ht="15.75" customHeight="1">
      <c r="A8" s="22">
        <v>14979393</v>
      </c>
      <c r="B8" s="23" t="s">
        <v>4835</v>
      </c>
      <c r="C8" s="23" t="s">
        <v>4836</v>
      </c>
      <c r="D8" s="23" t="s">
        <v>4837</v>
      </c>
      <c r="E8" s="23" t="s">
        <v>1060</v>
      </c>
      <c r="F8" s="23" t="s">
        <v>4838</v>
      </c>
      <c r="G8" s="22">
        <v>2004</v>
      </c>
      <c r="H8" s="24">
        <v>38043</v>
      </c>
      <c r="I8" s="23"/>
      <c r="J8" s="23"/>
      <c r="K8" s="26" t="s">
        <v>1061</v>
      </c>
      <c r="L8" s="27"/>
      <c r="M8" s="23"/>
    </row>
    <row r="9" spans="1:13" ht="15.75" customHeight="1">
      <c r="A9" s="22">
        <v>29194419</v>
      </c>
      <c r="B9" s="23" t="s">
        <v>4839</v>
      </c>
      <c r="C9" s="23" t="s">
        <v>4840</v>
      </c>
      <c r="D9" s="23" t="s">
        <v>4841</v>
      </c>
      <c r="E9" s="23" t="s">
        <v>1955</v>
      </c>
      <c r="F9" s="23" t="s">
        <v>4842</v>
      </c>
      <c r="G9" s="22">
        <v>2017</v>
      </c>
      <c r="H9" s="24">
        <v>43071</v>
      </c>
      <c r="I9" s="26" t="s">
        <v>4843</v>
      </c>
      <c r="J9" s="27"/>
      <c r="K9" s="26" t="s">
        <v>1956</v>
      </c>
      <c r="L9" s="27"/>
      <c r="M9" s="23"/>
    </row>
    <row r="10" spans="1:13" ht="15.75" customHeight="1">
      <c r="A10" s="22">
        <v>10069356</v>
      </c>
      <c r="B10" s="23" t="s">
        <v>4844</v>
      </c>
      <c r="C10" s="23" t="s">
        <v>4845</v>
      </c>
      <c r="D10" s="23" t="s">
        <v>4846</v>
      </c>
      <c r="E10" s="23" t="s">
        <v>1879</v>
      </c>
      <c r="F10" s="23" t="s">
        <v>4847</v>
      </c>
      <c r="G10" s="22">
        <v>1999</v>
      </c>
      <c r="H10" s="24">
        <v>36228</v>
      </c>
      <c r="I10" s="23"/>
      <c r="J10" s="23"/>
      <c r="K10" s="26" t="s">
        <v>1880</v>
      </c>
      <c r="L10" s="27"/>
      <c r="M10" s="23"/>
    </row>
    <row r="11" spans="1:13" ht="15.75" customHeight="1">
      <c r="A11" s="22">
        <v>26802216</v>
      </c>
      <c r="B11" s="23" t="s">
        <v>4848</v>
      </c>
      <c r="C11" s="23" t="s">
        <v>4849</v>
      </c>
      <c r="D11" s="23" t="s">
        <v>4850</v>
      </c>
      <c r="E11" s="23" t="s">
        <v>1664</v>
      </c>
      <c r="F11" s="23" t="s">
        <v>4851</v>
      </c>
      <c r="G11" s="22">
        <v>2016</v>
      </c>
      <c r="H11" s="24">
        <v>42393</v>
      </c>
      <c r="I11" s="23"/>
      <c r="J11" s="23"/>
      <c r="K11" s="26" t="s">
        <v>1667</v>
      </c>
      <c r="L11" s="27"/>
      <c r="M11" s="27"/>
    </row>
    <row r="12" spans="1:13" ht="15.75" customHeight="1">
      <c r="A12" s="22">
        <v>25462448</v>
      </c>
      <c r="B12" s="23" t="s">
        <v>4852</v>
      </c>
      <c r="C12" s="23" t="s">
        <v>4853</v>
      </c>
      <c r="D12" s="23" t="s">
        <v>4854</v>
      </c>
      <c r="E12" s="23" t="s">
        <v>1290</v>
      </c>
      <c r="F12" s="23" t="s">
        <v>4855</v>
      </c>
      <c r="G12" s="22">
        <v>2014</v>
      </c>
      <c r="H12" s="24">
        <v>41976</v>
      </c>
      <c r="I12" s="23" t="s">
        <v>4856</v>
      </c>
      <c r="J12" s="23" t="s">
        <v>4857</v>
      </c>
      <c r="K12" s="26" t="s">
        <v>1291</v>
      </c>
      <c r="L12" s="27"/>
      <c r="M12" s="27"/>
    </row>
    <row r="13" spans="1:13" ht="15.75" customHeight="1">
      <c r="A13" s="22">
        <v>10815027</v>
      </c>
      <c r="B13" s="23" t="s">
        <v>4844</v>
      </c>
      <c r="C13" s="23" t="s">
        <v>4849</v>
      </c>
      <c r="D13" s="23" t="s">
        <v>4858</v>
      </c>
      <c r="E13" s="23" t="s">
        <v>1664</v>
      </c>
      <c r="F13" s="23" t="s">
        <v>4859</v>
      </c>
      <c r="G13" s="22">
        <v>2000</v>
      </c>
      <c r="H13" s="24">
        <v>36664</v>
      </c>
      <c r="I13" s="23"/>
      <c r="J13" s="23"/>
      <c r="K13" s="26" t="s">
        <v>1665</v>
      </c>
      <c r="L13" s="27"/>
      <c r="M13" s="27"/>
    </row>
    <row r="14" spans="1:13" ht="15.75" customHeight="1">
      <c r="A14" s="22">
        <v>29795424</v>
      </c>
      <c r="B14" s="23" t="s">
        <v>4860</v>
      </c>
      <c r="C14" s="23" t="s">
        <v>4861</v>
      </c>
      <c r="D14" s="23" t="s">
        <v>4862</v>
      </c>
      <c r="E14" s="23" t="s">
        <v>3590</v>
      </c>
      <c r="F14" s="23" t="s">
        <v>4863</v>
      </c>
      <c r="G14" s="22">
        <v>2018</v>
      </c>
      <c r="H14" s="24">
        <v>43246</v>
      </c>
      <c r="I14" s="23"/>
      <c r="J14" s="23"/>
      <c r="K14" s="26" t="s">
        <v>3591</v>
      </c>
      <c r="L14" s="27"/>
      <c r="M14" s="27"/>
    </row>
    <row r="15" spans="1:13" ht="15.75" customHeight="1">
      <c r="A15" s="22">
        <v>36739398</v>
      </c>
      <c r="B15" s="23" t="s">
        <v>4864</v>
      </c>
      <c r="C15" s="23" t="s">
        <v>4865</v>
      </c>
      <c r="D15" s="23" t="s">
        <v>4866</v>
      </c>
      <c r="E15" s="23" t="s">
        <v>163</v>
      </c>
      <c r="F15" s="23" t="s">
        <v>4867</v>
      </c>
      <c r="G15" s="22">
        <v>2023</v>
      </c>
      <c r="H15" s="24">
        <v>44961</v>
      </c>
      <c r="I15" s="26" t="s">
        <v>4868</v>
      </c>
      <c r="J15" s="27"/>
      <c r="K15" s="26" t="s">
        <v>407</v>
      </c>
      <c r="L15" s="27"/>
      <c r="M15" s="27"/>
    </row>
    <row r="16" spans="1:13" ht="15.75" customHeight="1">
      <c r="A16" s="22">
        <v>29304865</v>
      </c>
      <c r="B16" s="23" t="s">
        <v>4869</v>
      </c>
      <c r="C16" s="23" t="s">
        <v>4870</v>
      </c>
      <c r="D16" s="23" t="s">
        <v>4871</v>
      </c>
      <c r="E16" s="23" t="s">
        <v>1293</v>
      </c>
      <c r="F16" s="23" t="s">
        <v>4867</v>
      </c>
      <c r="G16" s="22">
        <v>2018</v>
      </c>
      <c r="H16" s="24">
        <v>43107</v>
      </c>
      <c r="I16" s="26" t="s">
        <v>4872</v>
      </c>
      <c r="J16" s="27"/>
      <c r="K16" s="26" t="s">
        <v>1294</v>
      </c>
      <c r="L16" s="27"/>
      <c r="M16" s="27"/>
    </row>
    <row r="17" spans="1:13" ht="15.75" customHeight="1">
      <c r="A17" s="22">
        <v>36878429</v>
      </c>
      <c r="B17" s="23" t="s">
        <v>4873</v>
      </c>
      <c r="C17" s="23" t="s">
        <v>4874</v>
      </c>
      <c r="D17" s="23" t="s">
        <v>4875</v>
      </c>
      <c r="E17" s="23" t="s">
        <v>292</v>
      </c>
      <c r="F17" s="23" t="s">
        <v>4876</v>
      </c>
      <c r="G17" s="22">
        <v>2023</v>
      </c>
      <c r="H17" s="24">
        <v>44991</v>
      </c>
      <c r="I17" s="23"/>
      <c r="J17" s="23"/>
      <c r="K17" s="26" t="s">
        <v>422</v>
      </c>
      <c r="L17" s="27"/>
      <c r="M17" s="27"/>
    </row>
    <row r="18" spans="1:13" ht="15.75" customHeight="1">
      <c r="A18" s="22">
        <v>15480369</v>
      </c>
      <c r="B18" s="23" t="s">
        <v>4877</v>
      </c>
      <c r="C18" s="23" t="s">
        <v>4878</v>
      </c>
      <c r="D18" s="23" t="s">
        <v>4879</v>
      </c>
      <c r="E18" s="23" t="s">
        <v>607</v>
      </c>
      <c r="F18" s="23" t="s">
        <v>4880</v>
      </c>
      <c r="G18" s="22">
        <v>2004</v>
      </c>
      <c r="H18" s="24">
        <v>38274</v>
      </c>
      <c r="I18" s="23"/>
      <c r="J18" s="23"/>
      <c r="K18" s="26" t="s">
        <v>608</v>
      </c>
      <c r="L18" s="27"/>
      <c r="M18" s="27"/>
    </row>
    <row r="19" spans="1:13" ht="15.75" customHeight="1">
      <c r="A19" s="22">
        <v>29512392</v>
      </c>
      <c r="B19" s="23" t="s">
        <v>4881</v>
      </c>
      <c r="C19" s="23" t="s">
        <v>4882</v>
      </c>
      <c r="D19" s="23" t="s">
        <v>4883</v>
      </c>
      <c r="E19" s="23" t="s">
        <v>3758</v>
      </c>
      <c r="F19" s="23" t="s">
        <v>4884</v>
      </c>
      <c r="G19" s="22">
        <v>2018</v>
      </c>
      <c r="H19" s="24">
        <v>43167</v>
      </c>
      <c r="I19" s="23"/>
      <c r="J19" s="23"/>
      <c r="K19" s="26" t="s">
        <v>3759</v>
      </c>
      <c r="L19" s="27"/>
      <c r="M19" s="23"/>
    </row>
    <row r="20" spans="1:13" ht="15.75" customHeight="1">
      <c r="A20" s="22">
        <v>27773488</v>
      </c>
      <c r="B20" s="23" t="s">
        <v>4885</v>
      </c>
      <c r="C20" s="23" t="s">
        <v>4806</v>
      </c>
      <c r="D20" s="23" t="s">
        <v>4886</v>
      </c>
      <c r="E20" s="23" t="s">
        <v>1118</v>
      </c>
      <c r="F20" s="23" t="s">
        <v>4887</v>
      </c>
      <c r="G20" s="22">
        <v>2017</v>
      </c>
      <c r="H20" s="24">
        <v>42668</v>
      </c>
      <c r="I20" s="23"/>
      <c r="J20" s="23"/>
      <c r="K20" s="26" t="s">
        <v>1123</v>
      </c>
      <c r="L20" s="27"/>
      <c r="M20" s="27"/>
    </row>
    <row r="21" spans="1:13" ht="15.75" customHeight="1">
      <c r="A21" s="22">
        <v>33952641</v>
      </c>
      <c r="B21" s="23" t="s">
        <v>4888</v>
      </c>
      <c r="C21" s="23" t="s">
        <v>4889</v>
      </c>
      <c r="D21" s="23" t="s">
        <v>4890</v>
      </c>
      <c r="E21" s="23" t="s">
        <v>4477</v>
      </c>
      <c r="F21" s="23" t="s">
        <v>4891</v>
      </c>
      <c r="G21" s="22">
        <v>2021</v>
      </c>
      <c r="H21" s="24">
        <v>44322</v>
      </c>
      <c r="I21" s="26" t="s">
        <v>4892</v>
      </c>
      <c r="J21" s="27"/>
      <c r="K21" s="26" t="s">
        <v>4478</v>
      </c>
      <c r="L21" s="27"/>
      <c r="M21" s="23"/>
    </row>
    <row r="22" spans="1:13" ht="15.75" customHeight="1">
      <c r="A22" s="22">
        <v>17276368</v>
      </c>
      <c r="B22" s="23" t="s">
        <v>4893</v>
      </c>
      <c r="C22" s="23" t="s">
        <v>4894</v>
      </c>
      <c r="D22" s="23" t="s">
        <v>4895</v>
      </c>
      <c r="E22" s="23" t="s">
        <v>3041</v>
      </c>
      <c r="F22" s="23" t="s">
        <v>4896</v>
      </c>
      <c r="G22" s="22">
        <v>2006</v>
      </c>
      <c r="H22" s="24">
        <v>39119</v>
      </c>
      <c r="I22" s="23"/>
      <c r="J22" s="23"/>
      <c r="K22" s="26" t="s">
        <v>3044</v>
      </c>
      <c r="L22" s="27"/>
      <c r="M22" s="27"/>
    </row>
    <row r="23" spans="1:13" ht="15.75" customHeight="1">
      <c r="A23" s="22">
        <v>22356254</v>
      </c>
      <c r="B23" s="23" t="s">
        <v>4897</v>
      </c>
      <c r="C23" s="23" t="s">
        <v>4898</v>
      </c>
      <c r="D23" s="23" t="s">
        <v>4899</v>
      </c>
      <c r="E23" s="23" t="s">
        <v>2875</v>
      </c>
      <c r="F23" s="23" t="s">
        <v>4900</v>
      </c>
      <c r="G23" s="22">
        <v>2012</v>
      </c>
      <c r="H23" s="24">
        <v>40963</v>
      </c>
      <c r="I23" s="23"/>
      <c r="J23" s="23"/>
      <c r="K23" s="26" t="s">
        <v>2876</v>
      </c>
      <c r="L23" s="27"/>
      <c r="M23" s="27"/>
    </row>
    <row r="24" spans="1:13" ht="15.75" customHeight="1">
      <c r="A24" s="22">
        <v>22052666</v>
      </c>
      <c r="B24" s="23" t="s">
        <v>4901</v>
      </c>
      <c r="C24" s="23" t="s">
        <v>4902</v>
      </c>
      <c r="D24" s="23" t="s">
        <v>4903</v>
      </c>
      <c r="E24" s="23" t="s">
        <v>3555</v>
      </c>
      <c r="F24" s="23" t="s">
        <v>4859</v>
      </c>
      <c r="G24" s="22">
        <v>2012</v>
      </c>
      <c r="H24" s="24">
        <v>40852</v>
      </c>
      <c r="I24" s="26" t="s">
        <v>4904</v>
      </c>
      <c r="J24" s="27"/>
      <c r="K24" s="26" t="s">
        <v>3556</v>
      </c>
      <c r="L24" s="27"/>
      <c r="M24" s="23"/>
    </row>
    <row r="25" spans="1:13" ht="15.75" customHeight="1">
      <c r="A25" s="22">
        <v>28650593</v>
      </c>
      <c r="B25" s="23" t="s">
        <v>4905</v>
      </c>
      <c r="C25" s="23" t="s">
        <v>4906</v>
      </c>
      <c r="D25" s="23" t="s">
        <v>4907</v>
      </c>
      <c r="E25" s="23" t="s">
        <v>3590</v>
      </c>
      <c r="F25" s="23" t="s">
        <v>4908</v>
      </c>
      <c r="G25" s="22">
        <v>2018</v>
      </c>
      <c r="H25" s="24">
        <v>42913</v>
      </c>
      <c r="I25" s="23"/>
      <c r="J25" s="23"/>
      <c r="K25" s="26" t="s">
        <v>3593</v>
      </c>
      <c r="L25" s="27"/>
      <c r="M25" s="23"/>
    </row>
    <row r="26" spans="1:13" ht="15.75" customHeight="1">
      <c r="A26" s="22">
        <v>35911725</v>
      </c>
      <c r="B26" s="23" t="s">
        <v>4909</v>
      </c>
      <c r="C26" s="23" t="s">
        <v>4910</v>
      </c>
      <c r="D26" s="23" t="s">
        <v>4911</v>
      </c>
      <c r="E26" s="23" t="s">
        <v>1248</v>
      </c>
      <c r="F26" s="23" t="s">
        <v>4912</v>
      </c>
      <c r="G26" s="22">
        <v>2022</v>
      </c>
      <c r="H26" s="24">
        <v>44774</v>
      </c>
      <c r="I26" s="26" t="s">
        <v>4913</v>
      </c>
      <c r="J26" s="27"/>
      <c r="K26" s="26" t="s">
        <v>1249</v>
      </c>
      <c r="L26" s="27"/>
      <c r="M26" s="27"/>
    </row>
    <row r="27" spans="1:13" ht="15.75" customHeight="1">
      <c r="A27" s="22">
        <v>17276370</v>
      </c>
      <c r="B27" s="23" t="s">
        <v>4914</v>
      </c>
      <c r="C27" s="23" t="s">
        <v>4915</v>
      </c>
      <c r="D27" s="23" t="s">
        <v>4916</v>
      </c>
      <c r="E27" s="23" t="s">
        <v>197</v>
      </c>
      <c r="F27" s="23" t="s">
        <v>4896</v>
      </c>
      <c r="G27" s="22">
        <v>2006</v>
      </c>
      <c r="H27" s="24">
        <v>39119</v>
      </c>
      <c r="I27" s="23"/>
      <c r="J27" s="23"/>
      <c r="K27" s="26" t="s">
        <v>4690</v>
      </c>
      <c r="L27" s="27"/>
      <c r="M27" s="27"/>
    </row>
    <row r="28" spans="1:13" ht="15.75" customHeight="1">
      <c r="A28" s="22">
        <v>33548682</v>
      </c>
      <c r="B28" s="23" t="s">
        <v>4917</v>
      </c>
      <c r="C28" s="23" t="s">
        <v>4918</v>
      </c>
      <c r="D28" s="23" t="s">
        <v>4919</v>
      </c>
      <c r="E28" s="23" t="s">
        <v>613</v>
      </c>
      <c r="F28" s="23" t="s">
        <v>4896</v>
      </c>
      <c r="G28" s="22">
        <v>2021</v>
      </c>
      <c r="H28" s="24">
        <v>44233</v>
      </c>
      <c r="I28" s="23"/>
      <c r="J28" s="23"/>
      <c r="K28" s="26" t="s">
        <v>614</v>
      </c>
      <c r="L28" s="27"/>
      <c r="M28" s="27"/>
    </row>
    <row r="29" spans="1:13" ht="15.75" customHeight="1">
      <c r="A29" s="22">
        <v>34647632</v>
      </c>
      <c r="B29" s="23" t="s">
        <v>4920</v>
      </c>
      <c r="C29" s="23" t="s">
        <v>4921</v>
      </c>
      <c r="D29" s="23" t="s">
        <v>4922</v>
      </c>
      <c r="E29" s="23" t="s">
        <v>2966</v>
      </c>
      <c r="F29" s="23" t="s">
        <v>4923</v>
      </c>
      <c r="G29" s="22">
        <v>2022</v>
      </c>
      <c r="H29" s="24">
        <v>44483</v>
      </c>
      <c r="I29" s="26" t="s">
        <v>4924</v>
      </c>
      <c r="J29" s="27"/>
      <c r="K29" s="26" t="s">
        <v>2967</v>
      </c>
      <c r="L29" s="27"/>
      <c r="M29" s="23"/>
    </row>
    <row r="30" spans="1:13" ht="15.75" customHeight="1">
      <c r="A30" s="22">
        <v>12430932</v>
      </c>
      <c r="B30" s="23" t="s">
        <v>4925</v>
      </c>
      <c r="C30" s="23" t="s">
        <v>4849</v>
      </c>
      <c r="D30" s="23" t="s">
        <v>4926</v>
      </c>
      <c r="E30" s="23" t="s">
        <v>1664</v>
      </c>
      <c r="F30" s="23" t="s">
        <v>4927</v>
      </c>
      <c r="G30" s="22">
        <v>2002</v>
      </c>
      <c r="H30" s="24">
        <v>37575</v>
      </c>
      <c r="I30" s="23"/>
      <c r="J30" s="23"/>
      <c r="K30" s="26" t="s">
        <v>1669</v>
      </c>
      <c r="L30" s="27"/>
      <c r="M30" s="23"/>
    </row>
    <row r="31" spans="1:13" ht="15.75" customHeight="1">
      <c r="A31" s="22">
        <v>24792343</v>
      </c>
      <c r="B31" s="23" t="s">
        <v>4928</v>
      </c>
      <c r="C31" s="23" t="s">
        <v>4929</v>
      </c>
      <c r="D31" s="23" t="s">
        <v>4930</v>
      </c>
      <c r="E31" s="23" t="s">
        <v>4435</v>
      </c>
      <c r="F31" s="23" t="s">
        <v>4931</v>
      </c>
      <c r="G31" s="22">
        <v>2014</v>
      </c>
      <c r="H31" s="24">
        <v>41765</v>
      </c>
      <c r="I31" s="23"/>
      <c r="J31" s="23"/>
      <c r="K31" s="26" t="s">
        <v>4436</v>
      </c>
      <c r="L31" s="27"/>
      <c r="M31" s="27"/>
    </row>
    <row r="32" spans="1:13" ht="15.75" customHeight="1">
      <c r="A32" s="22">
        <v>31449472</v>
      </c>
      <c r="B32" s="23" t="s">
        <v>4932</v>
      </c>
      <c r="C32" s="23" t="s">
        <v>4933</v>
      </c>
      <c r="D32" s="23" t="s">
        <v>4934</v>
      </c>
      <c r="E32" s="23" t="s">
        <v>221</v>
      </c>
      <c r="F32" s="23" t="s">
        <v>4935</v>
      </c>
      <c r="G32" s="22">
        <v>2019</v>
      </c>
      <c r="H32" s="24">
        <v>43704</v>
      </c>
      <c r="I32" s="26" t="s">
        <v>4936</v>
      </c>
      <c r="J32" s="27"/>
      <c r="K32" s="26" t="s">
        <v>622</v>
      </c>
      <c r="L32" s="27"/>
      <c r="M32" s="23"/>
    </row>
    <row r="33" spans="1:13" ht="15.75" customHeight="1">
      <c r="A33" s="22">
        <v>25462440</v>
      </c>
      <c r="B33" s="23" t="s">
        <v>4937</v>
      </c>
      <c r="C33" s="23" t="s">
        <v>4938</v>
      </c>
      <c r="D33" s="23" t="s">
        <v>4939</v>
      </c>
      <c r="E33" s="23" t="s">
        <v>2409</v>
      </c>
      <c r="F33" s="23" t="s">
        <v>4855</v>
      </c>
      <c r="G33" s="22">
        <v>2014</v>
      </c>
      <c r="H33" s="24">
        <v>41976</v>
      </c>
      <c r="I33" s="23" t="s">
        <v>4940</v>
      </c>
      <c r="J33" s="23" t="s">
        <v>4941</v>
      </c>
      <c r="K33" s="26" t="s">
        <v>2410</v>
      </c>
      <c r="L33" s="27"/>
      <c r="M33" s="27"/>
    </row>
    <row r="34" spans="1:13" ht="15.75" customHeight="1">
      <c r="A34" s="22">
        <v>25285614</v>
      </c>
      <c r="B34" s="23" t="s">
        <v>4942</v>
      </c>
      <c r="C34" s="23" t="s">
        <v>4943</v>
      </c>
      <c r="D34" s="23" t="s">
        <v>4944</v>
      </c>
      <c r="E34" s="23" t="s">
        <v>221</v>
      </c>
      <c r="F34" s="23" t="s">
        <v>4855</v>
      </c>
      <c r="G34" s="22">
        <v>2014</v>
      </c>
      <c r="H34" s="24">
        <v>41919</v>
      </c>
      <c r="I34" s="23" t="s">
        <v>4945</v>
      </c>
      <c r="J34" s="23" t="s">
        <v>4946</v>
      </c>
      <c r="K34" s="26" t="s">
        <v>2365</v>
      </c>
      <c r="L34" s="27"/>
      <c r="M34" s="27"/>
    </row>
    <row r="35" spans="1:13" ht="15.75" customHeight="1">
      <c r="A35" s="22">
        <v>38631099</v>
      </c>
      <c r="B35" s="23" t="s">
        <v>4947</v>
      </c>
      <c r="C35" s="23" t="s">
        <v>4948</v>
      </c>
      <c r="D35" s="23" t="s">
        <v>4949</v>
      </c>
      <c r="E35" s="23" t="s">
        <v>4750</v>
      </c>
      <c r="F35" s="23" t="s">
        <v>4950</v>
      </c>
      <c r="G35" s="22">
        <v>2024</v>
      </c>
      <c r="H35" s="24">
        <v>45399</v>
      </c>
      <c r="I35" s="23"/>
      <c r="J35" s="23"/>
      <c r="K35" s="26" t="s">
        <v>4751</v>
      </c>
      <c r="L35" s="27"/>
      <c r="M35" s="27"/>
    </row>
    <row r="36" spans="1:13" ht="15.75" customHeight="1">
      <c r="A36" s="22">
        <v>1654146</v>
      </c>
      <c r="B36" s="23" t="s">
        <v>4951</v>
      </c>
      <c r="C36" s="23" t="s">
        <v>4952</v>
      </c>
      <c r="D36" s="23" t="s">
        <v>4953</v>
      </c>
      <c r="E36" s="23" t="s">
        <v>1063</v>
      </c>
      <c r="F36" s="23" t="s">
        <v>4954</v>
      </c>
      <c r="G36" s="22">
        <v>1991</v>
      </c>
      <c r="H36" s="24">
        <v>33359</v>
      </c>
      <c r="I36" s="23"/>
      <c r="J36" s="23"/>
      <c r="K36" s="23"/>
      <c r="L36" s="23"/>
      <c r="M36" s="23"/>
    </row>
    <row r="37" spans="1:13" ht="15.75" customHeight="1">
      <c r="A37" s="22">
        <v>21782505</v>
      </c>
      <c r="B37" s="23" t="s">
        <v>4955</v>
      </c>
      <c r="C37" s="23" t="s">
        <v>4956</v>
      </c>
      <c r="D37" s="23" t="s">
        <v>4957</v>
      </c>
      <c r="E37" s="23" t="s">
        <v>1118</v>
      </c>
      <c r="F37" s="23" t="s">
        <v>4896</v>
      </c>
      <c r="G37" s="22">
        <v>2011</v>
      </c>
      <c r="H37" s="24">
        <v>40750</v>
      </c>
      <c r="I37" s="23"/>
      <c r="J37" s="23"/>
      <c r="K37" s="26" t="s">
        <v>1125</v>
      </c>
      <c r="L37" s="27"/>
      <c r="M37" s="27"/>
    </row>
    <row r="38" spans="1:13" ht="15.75" customHeight="1">
      <c r="A38" s="22">
        <v>27538995</v>
      </c>
      <c r="B38" s="23" t="s">
        <v>4958</v>
      </c>
      <c r="C38" s="23" t="s">
        <v>4959</v>
      </c>
      <c r="D38" s="23" t="s">
        <v>4960</v>
      </c>
      <c r="E38" s="23" t="s">
        <v>3476</v>
      </c>
      <c r="F38" s="23" t="s">
        <v>4961</v>
      </c>
      <c r="G38" s="22">
        <v>2017</v>
      </c>
      <c r="H38" s="24">
        <v>42602</v>
      </c>
      <c r="I38" s="26" t="s">
        <v>4962</v>
      </c>
      <c r="J38" s="27"/>
      <c r="K38" s="26" t="s">
        <v>3479</v>
      </c>
      <c r="L38" s="27"/>
      <c r="M38" s="27"/>
    </row>
    <row r="39" spans="1:13" ht="15.75" customHeight="1">
      <c r="A39" s="22">
        <v>30427305</v>
      </c>
      <c r="B39" s="23" t="s">
        <v>4963</v>
      </c>
      <c r="C39" s="23" t="s">
        <v>4964</v>
      </c>
      <c r="D39" s="23" t="s">
        <v>4965</v>
      </c>
      <c r="E39" s="23" t="s">
        <v>3795</v>
      </c>
      <c r="F39" s="23" t="s">
        <v>4966</v>
      </c>
      <c r="G39" s="22">
        <v>2019</v>
      </c>
      <c r="H39" s="24">
        <v>43419</v>
      </c>
      <c r="I39" s="23"/>
      <c r="J39" s="23"/>
      <c r="K39" s="26" t="s">
        <v>3796</v>
      </c>
      <c r="L39" s="27"/>
      <c r="M39" s="23"/>
    </row>
    <row r="40" spans="1:13" ht="15.75" customHeight="1">
      <c r="A40" s="22">
        <v>26160819</v>
      </c>
      <c r="B40" s="23" t="s">
        <v>4967</v>
      </c>
      <c r="C40" s="23" t="s">
        <v>4968</v>
      </c>
      <c r="D40" s="23" t="s">
        <v>4969</v>
      </c>
      <c r="E40" s="23" t="s">
        <v>151</v>
      </c>
      <c r="F40" s="23" t="s">
        <v>4970</v>
      </c>
      <c r="G40" s="22">
        <v>2015</v>
      </c>
      <c r="H40" s="24">
        <v>42196</v>
      </c>
      <c r="I40" s="23"/>
      <c r="J40" s="23"/>
      <c r="K40" s="26" t="s">
        <v>3416</v>
      </c>
      <c r="L40" s="27"/>
      <c r="M40" s="23"/>
    </row>
    <row r="41" spans="1:13" ht="15.75" customHeight="1">
      <c r="A41" s="22">
        <v>32860467</v>
      </c>
      <c r="B41" s="23" t="s">
        <v>4971</v>
      </c>
      <c r="C41" s="23" t="s">
        <v>4972</v>
      </c>
      <c r="D41" s="23" t="s">
        <v>4973</v>
      </c>
      <c r="E41" s="23" t="s">
        <v>267</v>
      </c>
      <c r="F41" s="23" t="s">
        <v>4974</v>
      </c>
      <c r="G41" s="22">
        <v>2021</v>
      </c>
      <c r="H41" s="24">
        <v>44073</v>
      </c>
      <c r="I41" s="23"/>
      <c r="J41" s="23"/>
      <c r="K41" s="26" t="s">
        <v>399</v>
      </c>
      <c r="L41" s="27"/>
      <c r="M41" s="23"/>
    </row>
    <row r="42" spans="1:13" ht="15.75" customHeight="1">
      <c r="A42" s="22">
        <v>23526966</v>
      </c>
      <c r="B42" s="23" t="s">
        <v>4975</v>
      </c>
      <c r="C42" s="23" t="s">
        <v>4976</v>
      </c>
      <c r="D42" s="23" t="s">
        <v>4977</v>
      </c>
      <c r="E42" s="23" t="s">
        <v>2249</v>
      </c>
      <c r="F42" s="23" t="s">
        <v>4978</v>
      </c>
      <c r="G42" s="22">
        <v>2013</v>
      </c>
      <c r="H42" s="24">
        <v>41359</v>
      </c>
      <c r="I42" s="26" t="s">
        <v>4979</v>
      </c>
      <c r="J42" s="27"/>
      <c r="K42" s="26" t="s">
        <v>2250</v>
      </c>
      <c r="L42" s="27"/>
      <c r="M42" s="27"/>
    </row>
    <row r="43" spans="1:13" ht="15.75" customHeight="1">
      <c r="A43" s="22">
        <v>38228644</v>
      </c>
      <c r="B43" s="23" t="s">
        <v>4980</v>
      </c>
      <c r="C43" s="23" t="s">
        <v>4981</v>
      </c>
      <c r="D43" s="23" t="s">
        <v>4982</v>
      </c>
      <c r="E43" s="23" t="s">
        <v>221</v>
      </c>
      <c r="F43" s="23" t="s">
        <v>4983</v>
      </c>
      <c r="G43" s="22">
        <v>2024</v>
      </c>
      <c r="H43" s="24">
        <v>45307</v>
      </c>
      <c r="I43" s="26" t="s">
        <v>4984</v>
      </c>
      <c r="J43" s="27"/>
      <c r="K43" s="26" t="s">
        <v>350</v>
      </c>
      <c r="L43" s="27"/>
      <c r="M43" s="27"/>
    </row>
    <row r="44" spans="1:13" ht="15.75" customHeight="1">
      <c r="A44" s="22">
        <v>8386499</v>
      </c>
      <c r="B44" s="23" t="s">
        <v>4985</v>
      </c>
      <c r="C44" s="23" t="s">
        <v>4986</v>
      </c>
      <c r="D44" s="23" t="s">
        <v>4987</v>
      </c>
      <c r="E44" s="23" t="s">
        <v>1543</v>
      </c>
      <c r="F44" s="23" t="s">
        <v>4988</v>
      </c>
      <c r="G44" s="22">
        <v>1993</v>
      </c>
      <c r="H44" s="24">
        <v>33970</v>
      </c>
      <c r="I44" s="23"/>
      <c r="J44" s="23"/>
      <c r="K44" s="26" t="s">
        <v>1544</v>
      </c>
      <c r="L44" s="27"/>
      <c r="M44" s="27"/>
    </row>
    <row r="45" spans="1:13" ht="15.75" customHeight="1">
      <c r="A45" s="22">
        <v>32663845</v>
      </c>
      <c r="B45" s="23" t="s">
        <v>4989</v>
      </c>
      <c r="C45" s="23" t="s">
        <v>4990</v>
      </c>
      <c r="D45" s="23" t="s">
        <v>4991</v>
      </c>
      <c r="E45" s="23" t="s">
        <v>616</v>
      </c>
      <c r="F45" s="23" t="s">
        <v>4992</v>
      </c>
      <c r="G45" s="22">
        <v>2021</v>
      </c>
      <c r="H45" s="24">
        <v>44027</v>
      </c>
      <c r="I45" s="26" t="s">
        <v>4993</v>
      </c>
      <c r="J45" s="27"/>
      <c r="K45" s="26" t="s">
        <v>617</v>
      </c>
      <c r="L45" s="27"/>
      <c r="M45" s="23"/>
    </row>
    <row r="46" spans="1:13" ht="15.75" customHeight="1">
      <c r="A46" s="22">
        <v>25462439</v>
      </c>
      <c r="B46" s="23" t="s">
        <v>4994</v>
      </c>
      <c r="C46" s="23" t="s">
        <v>4995</v>
      </c>
      <c r="D46" s="23" t="s">
        <v>4996</v>
      </c>
      <c r="E46" s="23" t="s">
        <v>4233</v>
      </c>
      <c r="F46" s="23" t="s">
        <v>4855</v>
      </c>
      <c r="G46" s="22">
        <v>2014</v>
      </c>
      <c r="H46" s="24">
        <v>41976</v>
      </c>
      <c r="I46" s="23" t="s">
        <v>4997</v>
      </c>
      <c r="J46" s="23" t="s">
        <v>4998</v>
      </c>
      <c r="K46" s="26" t="s">
        <v>4234</v>
      </c>
      <c r="L46" s="27"/>
      <c r="M46" s="27"/>
    </row>
    <row r="47" spans="1:13" ht="15.75" customHeight="1">
      <c r="A47" s="22">
        <v>29797616</v>
      </c>
      <c r="B47" s="23" t="s">
        <v>4999</v>
      </c>
      <c r="C47" s="23" t="s">
        <v>5000</v>
      </c>
      <c r="D47" s="23" t="s">
        <v>5001</v>
      </c>
      <c r="E47" s="23" t="s">
        <v>256</v>
      </c>
      <c r="F47" s="23" t="s">
        <v>4974</v>
      </c>
      <c r="G47" s="22">
        <v>2018</v>
      </c>
      <c r="H47" s="24">
        <v>43246</v>
      </c>
      <c r="I47" s="23"/>
      <c r="J47" s="23"/>
      <c r="K47" s="26" t="s">
        <v>738</v>
      </c>
      <c r="L47" s="27"/>
      <c r="M47" s="23"/>
    </row>
    <row r="48" spans="1:13" ht="15.75" customHeight="1">
      <c r="A48" s="22">
        <v>12488560</v>
      </c>
      <c r="B48" s="23" t="s">
        <v>5002</v>
      </c>
      <c r="C48" s="23" t="s">
        <v>5003</v>
      </c>
      <c r="D48" s="23" t="s">
        <v>5004</v>
      </c>
      <c r="E48" s="23" t="s">
        <v>1879</v>
      </c>
      <c r="F48" s="23" t="s">
        <v>5005</v>
      </c>
      <c r="G48" s="22">
        <v>2003</v>
      </c>
      <c r="H48" s="24">
        <v>37609</v>
      </c>
      <c r="I48" s="23"/>
      <c r="J48" s="23"/>
      <c r="K48" s="26" t="s">
        <v>1882</v>
      </c>
      <c r="L48" s="27"/>
      <c r="M48" s="23"/>
    </row>
    <row r="49" spans="1:13" ht="15.75" customHeight="1">
      <c r="A49" s="22">
        <v>25694589</v>
      </c>
      <c r="B49" s="23" t="s">
        <v>5006</v>
      </c>
      <c r="C49" s="23" t="s">
        <v>5007</v>
      </c>
      <c r="D49" s="23" t="s">
        <v>5008</v>
      </c>
      <c r="E49" s="23" t="s">
        <v>4191</v>
      </c>
      <c r="F49" s="23" t="s">
        <v>4891</v>
      </c>
      <c r="G49" s="22">
        <v>2015</v>
      </c>
      <c r="H49" s="24">
        <v>42055</v>
      </c>
      <c r="I49" s="26" t="s">
        <v>5009</v>
      </c>
      <c r="J49" s="27"/>
      <c r="K49" s="26" t="s">
        <v>4200</v>
      </c>
      <c r="L49" s="27"/>
      <c r="M49" s="23"/>
    </row>
    <row r="50" spans="1:13" ht="15.75" customHeight="1">
      <c r="A50" s="22">
        <v>15653828</v>
      </c>
      <c r="B50" s="23" t="s">
        <v>5010</v>
      </c>
      <c r="C50" s="23" t="s">
        <v>5011</v>
      </c>
      <c r="D50" s="23" t="s">
        <v>5012</v>
      </c>
      <c r="E50" s="23" t="s">
        <v>1788</v>
      </c>
      <c r="F50" s="23" t="s">
        <v>4819</v>
      </c>
      <c r="G50" s="22">
        <v>2005</v>
      </c>
      <c r="H50" s="24">
        <v>38370</v>
      </c>
      <c r="I50" s="23" t="s">
        <v>5013</v>
      </c>
      <c r="J50" s="23"/>
      <c r="K50" s="26" t="s">
        <v>1789</v>
      </c>
      <c r="L50" s="27"/>
      <c r="M50" s="27"/>
    </row>
    <row r="51" spans="1:13" ht="15.75" customHeight="1">
      <c r="A51" s="22">
        <v>32775465</v>
      </c>
      <c r="B51" s="23" t="s">
        <v>5014</v>
      </c>
      <c r="C51" s="23" t="s">
        <v>5015</v>
      </c>
      <c r="D51" s="23" t="s">
        <v>5016</v>
      </c>
      <c r="E51" s="23" t="s">
        <v>3473</v>
      </c>
      <c r="F51" s="23" t="s">
        <v>5017</v>
      </c>
      <c r="G51" s="22">
        <v>2020</v>
      </c>
      <c r="H51" s="24">
        <v>44054</v>
      </c>
      <c r="I51" s="26" t="s">
        <v>5018</v>
      </c>
      <c r="J51" s="27"/>
      <c r="K51" s="26" t="s">
        <v>3474</v>
      </c>
      <c r="L51" s="27"/>
      <c r="M51" s="23"/>
    </row>
    <row r="52" spans="1:13" ht="15.75" customHeight="1">
      <c r="A52" s="22">
        <v>36833448</v>
      </c>
      <c r="B52" s="23" t="s">
        <v>5019</v>
      </c>
      <c r="C52" s="23" t="s">
        <v>5020</v>
      </c>
      <c r="D52" s="23" t="s">
        <v>5021</v>
      </c>
      <c r="E52" s="23" t="s">
        <v>2838</v>
      </c>
      <c r="F52" s="23" t="s">
        <v>5022</v>
      </c>
      <c r="G52" s="22">
        <v>2023</v>
      </c>
      <c r="H52" s="24">
        <v>44982</v>
      </c>
      <c r="I52" s="26" t="s">
        <v>5023</v>
      </c>
      <c r="J52" s="27"/>
      <c r="K52" s="26" t="s">
        <v>2839</v>
      </c>
      <c r="L52" s="27"/>
      <c r="M52" s="23"/>
    </row>
    <row r="53" spans="1:13" ht="15.75" customHeight="1">
      <c r="A53" s="22">
        <v>30398125</v>
      </c>
      <c r="B53" s="23" t="s">
        <v>5024</v>
      </c>
      <c r="C53" s="23" t="s">
        <v>5025</v>
      </c>
      <c r="D53" s="23" t="s">
        <v>5026</v>
      </c>
      <c r="E53" s="23" t="s">
        <v>1481</v>
      </c>
      <c r="F53" s="23" t="s">
        <v>5027</v>
      </c>
      <c r="G53" s="22">
        <v>2019</v>
      </c>
      <c r="H53" s="24">
        <v>43411</v>
      </c>
      <c r="I53" s="23"/>
      <c r="J53" s="23"/>
      <c r="K53" s="26" t="s">
        <v>1482</v>
      </c>
      <c r="L53" s="27"/>
      <c r="M53" s="27"/>
    </row>
    <row r="54" spans="1:13" ht="15.75" customHeight="1">
      <c r="A54" s="22">
        <v>21400833</v>
      </c>
      <c r="B54" s="23" t="s">
        <v>5028</v>
      </c>
      <c r="C54" s="23" t="s">
        <v>5029</v>
      </c>
      <c r="D54" s="23" t="s">
        <v>5030</v>
      </c>
      <c r="E54" s="23" t="s">
        <v>686</v>
      </c>
      <c r="F54" s="23" t="s">
        <v>5031</v>
      </c>
      <c r="G54" s="22">
        <v>2011</v>
      </c>
      <c r="H54" s="24">
        <v>40618</v>
      </c>
      <c r="I54" s="23"/>
      <c r="J54" s="23"/>
      <c r="K54" s="23"/>
      <c r="L54" s="23"/>
      <c r="M54" s="23"/>
    </row>
    <row r="55" spans="1:13" ht="15.75" customHeight="1">
      <c r="A55" s="22">
        <v>11964854</v>
      </c>
      <c r="B55" s="23" t="s">
        <v>5032</v>
      </c>
      <c r="C55" s="23" t="s">
        <v>5033</v>
      </c>
      <c r="D55" s="23" t="s">
        <v>5034</v>
      </c>
      <c r="E55" s="23" t="s">
        <v>2743</v>
      </c>
      <c r="F55" s="23" t="s">
        <v>5035</v>
      </c>
      <c r="G55" s="22">
        <v>2001</v>
      </c>
      <c r="H55" s="24">
        <v>37366</v>
      </c>
      <c r="I55" s="23"/>
      <c r="J55" s="23"/>
      <c r="K55" s="26" t="s">
        <v>2744</v>
      </c>
      <c r="L55" s="27"/>
      <c r="M55" s="27"/>
    </row>
    <row r="56" spans="1:13" ht="15.75" customHeight="1">
      <c r="A56" s="22">
        <v>32295911</v>
      </c>
      <c r="B56" s="23" t="s">
        <v>5036</v>
      </c>
      <c r="C56" s="23" t="s">
        <v>5037</v>
      </c>
      <c r="D56" s="23" t="s">
        <v>5038</v>
      </c>
      <c r="E56" s="23" t="s">
        <v>3067</v>
      </c>
      <c r="F56" s="23" t="s">
        <v>4891</v>
      </c>
      <c r="G56" s="22">
        <v>2020</v>
      </c>
      <c r="H56" s="24">
        <v>43938</v>
      </c>
      <c r="I56" s="26" t="s">
        <v>5039</v>
      </c>
      <c r="J56" s="27"/>
      <c r="K56" s="26" t="s">
        <v>3068</v>
      </c>
      <c r="L56" s="27"/>
      <c r="M56" s="23"/>
    </row>
    <row r="57" spans="1:13" ht="15.75" customHeight="1">
      <c r="A57" s="22">
        <v>38918446</v>
      </c>
      <c r="B57" s="23" t="s">
        <v>5040</v>
      </c>
      <c r="C57" s="23" t="s">
        <v>5041</v>
      </c>
      <c r="D57" s="23" t="s">
        <v>5042</v>
      </c>
      <c r="E57" s="23" t="s">
        <v>4777</v>
      </c>
      <c r="F57" s="23" t="s">
        <v>5043</v>
      </c>
      <c r="G57" s="22">
        <v>2024</v>
      </c>
      <c r="H57" s="24">
        <v>45468</v>
      </c>
      <c r="I57" s="26" t="s">
        <v>5044</v>
      </c>
      <c r="J57" s="27"/>
      <c r="K57" s="26" t="s">
        <v>4778</v>
      </c>
      <c r="L57" s="27"/>
      <c r="M57" s="27"/>
    </row>
    <row r="58" spans="1:13" ht="15.75" customHeight="1">
      <c r="A58" s="22">
        <v>32908059</v>
      </c>
      <c r="B58" s="23" t="s">
        <v>5045</v>
      </c>
      <c r="C58" s="23" t="s">
        <v>4968</v>
      </c>
      <c r="D58" s="23" t="s">
        <v>5046</v>
      </c>
      <c r="E58" s="23" t="s">
        <v>151</v>
      </c>
      <c r="F58" s="23" t="s">
        <v>5047</v>
      </c>
      <c r="G58" s="22">
        <v>2020</v>
      </c>
      <c r="H58" s="24">
        <v>44084</v>
      </c>
      <c r="I58" s="23"/>
      <c r="J58" s="23"/>
      <c r="K58" s="26" t="s">
        <v>3418</v>
      </c>
      <c r="L58" s="27"/>
      <c r="M58" s="23"/>
    </row>
    <row r="59" spans="1:13" ht="15.75" customHeight="1">
      <c r="A59" s="22">
        <v>31075291</v>
      </c>
      <c r="B59" s="23" t="s">
        <v>5048</v>
      </c>
      <c r="C59" s="23" t="s">
        <v>5049</v>
      </c>
      <c r="D59" s="23" t="s">
        <v>5050</v>
      </c>
      <c r="E59" s="23" t="s">
        <v>180</v>
      </c>
      <c r="F59" s="23" t="s">
        <v>5051</v>
      </c>
      <c r="G59" s="22">
        <v>2019</v>
      </c>
      <c r="H59" s="24">
        <v>43596</v>
      </c>
      <c r="I59" s="23"/>
      <c r="J59" s="23"/>
      <c r="K59" s="26" t="s">
        <v>306</v>
      </c>
      <c r="L59" s="27"/>
      <c r="M59" s="27"/>
    </row>
    <row r="60" spans="1:13" ht="15.75" customHeight="1">
      <c r="A60" s="22">
        <v>1365539</v>
      </c>
      <c r="B60" s="23" t="s">
        <v>5052</v>
      </c>
      <c r="C60" s="23" t="s">
        <v>5053</v>
      </c>
      <c r="D60" s="23" t="s">
        <v>5054</v>
      </c>
      <c r="E60" s="23" t="s">
        <v>4551</v>
      </c>
      <c r="F60" s="23" t="s">
        <v>5055</v>
      </c>
      <c r="G60" s="22">
        <v>1992</v>
      </c>
      <c r="H60" s="24">
        <v>33756</v>
      </c>
      <c r="I60" s="23"/>
      <c r="J60" s="23"/>
      <c r="K60" s="23"/>
      <c r="L60" s="23"/>
      <c r="M60" s="23"/>
    </row>
    <row r="61" spans="1:13" ht="15.75" customHeight="1">
      <c r="A61" s="22">
        <v>29698478</v>
      </c>
      <c r="B61" s="23" t="s">
        <v>5056</v>
      </c>
      <c r="C61" s="23" t="s">
        <v>5057</v>
      </c>
      <c r="D61" s="23" t="s">
        <v>5058</v>
      </c>
      <c r="E61" s="23" t="s">
        <v>723</v>
      </c>
      <c r="F61" s="23" t="s">
        <v>5059</v>
      </c>
      <c r="G61" s="22">
        <v>2018</v>
      </c>
      <c r="H61" s="24">
        <v>43217</v>
      </c>
      <c r="I61" s="26" t="s">
        <v>5060</v>
      </c>
      <c r="J61" s="27"/>
      <c r="K61" s="26" t="s">
        <v>724</v>
      </c>
      <c r="L61" s="27"/>
      <c r="M61" s="27"/>
    </row>
    <row r="62" spans="1:13" ht="15.75" customHeight="1">
      <c r="A62" s="22">
        <v>30996090</v>
      </c>
      <c r="B62" s="23" t="s">
        <v>5061</v>
      </c>
      <c r="C62" s="23" t="s">
        <v>5062</v>
      </c>
      <c r="D62" s="23" t="s">
        <v>5063</v>
      </c>
      <c r="E62" s="23" t="s">
        <v>2004</v>
      </c>
      <c r="F62" s="23" t="s">
        <v>4891</v>
      </c>
      <c r="G62" s="22">
        <v>2019</v>
      </c>
      <c r="H62" s="24">
        <v>43574</v>
      </c>
      <c r="I62" s="26" t="s">
        <v>5064</v>
      </c>
      <c r="J62" s="27"/>
      <c r="K62" s="26" t="s">
        <v>2005</v>
      </c>
      <c r="L62" s="27"/>
      <c r="M62" s="23"/>
    </row>
    <row r="63" spans="1:13" ht="15.75" customHeight="1">
      <c r="A63" s="22">
        <v>35444636</v>
      </c>
      <c r="B63" s="23" t="s">
        <v>5065</v>
      </c>
      <c r="C63" s="23" t="s">
        <v>5066</v>
      </c>
      <c r="D63" s="23" t="s">
        <v>5067</v>
      </c>
      <c r="E63" s="23" t="s">
        <v>4464</v>
      </c>
      <c r="F63" s="23" t="s">
        <v>4912</v>
      </c>
      <c r="G63" s="22">
        <v>2022</v>
      </c>
      <c r="H63" s="24">
        <v>44672</v>
      </c>
      <c r="I63" s="26" t="s">
        <v>5068</v>
      </c>
      <c r="J63" s="27"/>
      <c r="K63" s="26" t="s">
        <v>4465</v>
      </c>
      <c r="L63" s="27"/>
      <c r="M63" s="27"/>
    </row>
    <row r="64" spans="1:13" ht="15.75" customHeight="1">
      <c r="A64" s="22">
        <v>21488335</v>
      </c>
      <c r="B64" s="23" t="s">
        <v>5069</v>
      </c>
      <c r="C64" s="23" t="s">
        <v>5070</v>
      </c>
      <c r="D64" s="23" t="s">
        <v>5071</v>
      </c>
      <c r="E64" s="23" t="s">
        <v>4191</v>
      </c>
      <c r="F64" s="23" t="s">
        <v>5072</v>
      </c>
      <c r="G64" s="22">
        <v>2010</v>
      </c>
      <c r="H64" s="24">
        <v>40648</v>
      </c>
      <c r="I64" s="23"/>
      <c r="J64" s="23"/>
      <c r="K64" s="26" t="s">
        <v>4192</v>
      </c>
      <c r="L64" s="27"/>
      <c r="M64" s="23"/>
    </row>
    <row r="65" spans="1:13" ht="15.75" customHeight="1">
      <c r="A65" s="22">
        <v>27697585</v>
      </c>
      <c r="B65" s="23" t="s">
        <v>5073</v>
      </c>
      <c r="C65" s="23" t="s">
        <v>5074</v>
      </c>
      <c r="D65" s="23" t="s">
        <v>5075</v>
      </c>
      <c r="E65" s="23" t="s">
        <v>219</v>
      </c>
      <c r="F65" s="23" t="s">
        <v>5076</v>
      </c>
      <c r="G65" s="22">
        <v>2016</v>
      </c>
      <c r="H65" s="24">
        <v>42648</v>
      </c>
      <c r="I65" s="23"/>
      <c r="J65" s="23"/>
      <c r="K65" s="26" t="s">
        <v>343</v>
      </c>
      <c r="L65" s="27"/>
      <c r="M65" s="27"/>
    </row>
    <row r="66" spans="1:13" ht="15.75" customHeight="1">
      <c r="A66" s="22">
        <v>1314102</v>
      </c>
      <c r="B66" s="23" t="s">
        <v>5077</v>
      </c>
      <c r="C66" s="23" t="s">
        <v>5078</v>
      </c>
      <c r="D66" s="23" t="s">
        <v>5079</v>
      </c>
      <c r="E66" s="23" t="s">
        <v>3484</v>
      </c>
      <c r="F66" s="23" t="s">
        <v>5080</v>
      </c>
      <c r="G66" s="22">
        <v>1992</v>
      </c>
      <c r="H66" s="24">
        <v>33664</v>
      </c>
      <c r="I66" s="23"/>
      <c r="J66" s="23"/>
      <c r="K66" s="26" t="s">
        <v>3485</v>
      </c>
      <c r="L66" s="27"/>
      <c r="M66" s="23"/>
    </row>
    <row r="67" spans="1:13" ht="15.75" customHeight="1">
      <c r="A67" s="22">
        <v>35019717</v>
      </c>
      <c r="B67" s="23" t="s">
        <v>5081</v>
      </c>
      <c r="C67" s="23" t="s">
        <v>5082</v>
      </c>
      <c r="D67" s="23" t="s">
        <v>5083</v>
      </c>
      <c r="E67" s="23" t="s">
        <v>3810</v>
      </c>
      <c r="F67" s="23" t="s">
        <v>4891</v>
      </c>
      <c r="G67" s="22">
        <v>2022</v>
      </c>
      <c r="H67" s="24">
        <v>44573</v>
      </c>
      <c r="I67" s="26" t="s">
        <v>5084</v>
      </c>
      <c r="J67" s="27"/>
      <c r="K67" s="26" t="s">
        <v>3811</v>
      </c>
      <c r="L67" s="27"/>
      <c r="M67" s="23"/>
    </row>
    <row r="68" spans="1:13" ht="15.75" customHeight="1">
      <c r="A68" s="22">
        <v>11427741</v>
      </c>
      <c r="B68" s="23" t="s">
        <v>5085</v>
      </c>
      <c r="C68" s="23" t="s">
        <v>5086</v>
      </c>
      <c r="D68" s="23" t="s">
        <v>5087</v>
      </c>
      <c r="E68" s="23" t="s">
        <v>4527</v>
      </c>
      <c r="F68" s="23" t="s">
        <v>5088</v>
      </c>
      <c r="G68" s="22">
        <v>2001</v>
      </c>
      <c r="H68" s="24">
        <v>37070</v>
      </c>
      <c r="I68" s="23"/>
      <c r="J68" s="23"/>
      <c r="K68" s="23"/>
      <c r="L68" s="23"/>
      <c r="M68" s="23"/>
    </row>
    <row r="69" spans="1:13" ht="15.75" customHeight="1">
      <c r="A69" s="22">
        <v>31043533</v>
      </c>
      <c r="B69" s="23" t="s">
        <v>5089</v>
      </c>
      <c r="C69" s="23" t="s">
        <v>5090</v>
      </c>
      <c r="D69" s="23" t="s">
        <v>5091</v>
      </c>
      <c r="E69" s="23" t="s">
        <v>616</v>
      </c>
      <c r="F69" s="23" t="s">
        <v>4891</v>
      </c>
      <c r="G69" s="22">
        <v>2019</v>
      </c>
      <c r="H69" s="24">
        <v>43588</v>
      </c>
      <c r="I69" s="26" t="s">
        <v>5092</v>
      </c>
      <c r="J69" s="27"/>
      <c r="K69" s="26" t="s">
        <v>2290</v>
      </c>
      <c r="L69" s="27"/>
      <c r="M69" s="23"/>
    </row>
    <row r="70" spans="1:13" ht="15.75" customHeight="1">
      <c r="A70" s="22">
        <v>7663047</v>
      </c>
      <c r="B70" s="23" t="s">
        <v>4844</v>
      </c>
      <c r="C70" s="23" t="s">
        <v>5093</v>
      </c>
      <c r="D70" s="23" t="s">
        <v>5094</v>
      </c>
      <c r="E70" s="23" t="s">
        <v>3041</v>
      </c>
      <c r="F70" s="23" t="s">
        <v>5095</v>
      </c>
      <c r="G70" s="22">
        <v>1995</v>
      </c>
      <c r="H70" s="24">
        <v>34759</v>
      </c>
      <c r="I70" s="23"/>
      <c r="J70" s="23"/>
      <c r="K70" s="26" t="s">
        <v>3042</v>
      </c>
      <c r="L70" s="27"/>
      <c r="M70" s="27"/>
    </row>
    <row r="71" spans="1:13" ht="15.75" customHeight="1">
      <c r="A71" s="22">
        <v>1337298</v>
      </c>
      <c r="B71" s="23" t="s">
        <v>5096</v>
      </c>
      <c r="C71" s="23" t="s">
        <v>5097</v>
      </c>
      <c r="D71" s="23" t="s">
        <v>5098</v>
      </c>
      <c r="E71" s="23" t="s">
        <v>195</v>
      </c>
      <c r="F71" s="23" t="s">
        <v>5099</v>
      </c>
      <c r="G71" s="22">
        <v>1992</v>
      </c>
      <c r="H71" s="24">
        <v>33848</v>
      </c>
      <c r="I71" s="23"/>
      <c r="J71" s="23"/>
      <c r="K71" s="26" t="s">
        <v>4636</v>
      </c>
      <c r="L71" s="27"/>
      <c r="M71" s="27"/>
    </row>
    <row r="72" spans="1:13" ht="15.75" customHeight="1">
      <c r="A72" s="22">
        <v>17802896</v>
      </c>
      <c r="B72" s="23" t="s">
        <v>5100</v>
      </c>
      <c r="C72" s="23" t="s">
        <v>5101</v>
      </c>
      <c r="D72" s="23" t="s">
        <v>5102</v>
      </c>
      <c r="E72" s="23" t="s">
        <v>1533</v>
      </c>
      <c r="F72" s="23" t="s">
        <v>5103</v>
      </c>
      <c r="G72" s="22">
        <v>2007</v>
      </c>
      <c r="H72" s="24">
        <v>39332</v>
      </c>
      <c r="I72" s="23"/>
      <c r="J72" s="23"/>
      <c r="K72" s="23"/>
      <c r="L72" s="23"/>
      <c r="M72" s="23"/>
    </row>
    <row r="73" spans="1:13" ht="15.75" customHeight="1">
      <c r="A73" s="22">
        <v>26815906</v>
      </c>
      <c r="B73" s="23" t="s">
        <v>5104</v>
      </c>
      <c r="C73" s="23" t="s">
        <v>5105</v>
      </c>
      <c r="D73" s="23" t="s">
        <v>5106</v>
      </c>
      <c r="E73" s="23" t="s">
        <v>2180</v>
      </c>
      <c r="F73" s="23" t="s">
        <v>4923</v>
      </c>
      <c r="G73" s="22">
        <v>2016</v>
      </c>
      <c r="H73" s="24">
        <v>42397</v>
      </c>
      <c r="I73" s="23"/>
      <c r="J73" s="23"/>
      <c r="K73" s="26" t="s">
        <v>2181</v>
      </c>
      <c r="L73" s="27"/>
      <c r="M73" s="23"/>
    </row>
    <row r="74" spans="1:13" ht="15.75" customHeight="1">
      <c r="A74" s="22">
        <v>34390240</v>
      </c>
      <c r="B74" s="23" t="s">
        <v>5107</v>
      </c>
      <c r="C74" s="23" t="s">
        <v>5108</v>
      </c>
      <c r="D74" s="23" t="s">
        <v>5109</v>
      </c>
      <c r="E74" s="23" t="s">
        <v>245</v>
      </c>
      <c r="F74" s="23" t="s">
        <v>4992</v>
      </c>
      <c r="G74" s="22">
        <v>2022</v>
      </c>
      <c r="H74" s="24">
        <v>44422</v>
      </c>
      <c r="I74" s="26" t="s">
        <v>5110</v>
      </c>
      <c r="J74" s="27"/>
      <c r="K74" s="26" t="s">
        <v>380</v>
      </c>
      <c r="L74" s="27"/>
      <c r="M74" s="23"/>
    </row>
    <row r="75" spans="1:13" ht="15.75" customHeight="1">
      <c r="A75" s="22">
        <v>28056415</v>
      </c>
      <c r="B75" s="23" t="s">
        <v>5111</v>
      </c>
      <c r="C75" s="23" t="s">
        <v>5112</v>
      </c>
      <c r="D75" s="23" t="s">
        <v>5113</v>
      </c>
      <c r="E75" s="23" t="s">
        <v>2287</v>
      </c>
      <c r="F75" s="23" t="s">
        <v>4950</v>
      </c>
      <c r="G75" s="22">
        <v>2017</v>
      </c>
      <c r="H75" s="24">
        <v>42741</v>
      </c>
      <c r="I75" s="23"/>
      <c r="J75" s="23"/>
      <c r="K75" s="26" t="s">
        <v>2288</v>
      </c>
      <c r="L75" s="27"/>
      <c r="M75" s="27"/>
    </row>
    <row r="76" spans="1:13" ht="15.75" customHeight="1">
      <c r="A76" s="22">
        <v>10341172</v>
      </c>
      <c r="B76" s="23" t="s">
        <v>5114</v>
      </c>
      <c r="C76" s="23" t="s">
        <v>5115</v>
      </c>
      <c r="D76" s="23" t="s">
        <v>5116</v>
      </c>
      <c r="E76" s="23" t="s">
        <v>1484</v>
      </c>
      <c r="F76" s="23" t="s">
        <v>5117</v>
      </c>
      <c r="G76" s="22">
        <v>1999</v>
      </c>
      <c r="H76" s="24">
        <v>36306</v>
      </c>
      <c r="I76" s="26" t="s">
        <v>5118</v>
      </c>
      <c r="J76" s="27"/>
      <c r="K76" s="26" t="s">
        <v>1485</v>
      </c>
      <c r="L76" s="27"/>
      <c r="M76" s="23"/>
    </row>
    <row r="77" spans="1:13" ht="15.75" customHeight="1">
      <c r="A77" s="22">
        <v>31521763</v>
      </c>
      <c r="B77" s="23" t="s">
        <v>5119</v>
      </c>
      <c r="C77" s="23" t="s">
        <v>5120</v>
      </c>
      <c r="D77" s="23" t="s">
        <v>5121</v>
      </c>
      <c r="E77" s="23" t="s">
        <v>3795</v>
      </c>
      <c r="F77" s="23" t="s">
        <v>5122</v>
      </c>
      <c r="G77" s="22">
        <v>2019</v>
      </c>
      <c r="H77" s="24">
        <v>43724</v>
      </c>
      <c r="I77" s="23"/>
      <c r="J77" s="23"/>
      <c r="K77" s="26" t="s">
        <v>3798</v>
      </c>
      <c r="L77" s="27"/>
      <c r="M77" s="27"/>
    </row>
    <row r="78" spans="1:13" ht="15.75" customHeight="1">
      <c r="A78" s="22">
        <v>31650671</v>
      </c>
      <c r="B78" s="23" t="s">
        <v>5123</v>
      </c>
      <c r="C78" s="23" t="s">
        <v>5124</v>
      </c>
      <c r="D78" s="23" t="s">
        <v>5125</v>
      </c>
      <c r="E78" s="23" t="s">
        <v>256</v>
      </c>
      <c r="F78" s="23" t="s">
        <v>4974</v>
      </c>
      <c r="G78" s="22">
        <v>2020</v>
      </c>
      <c r="H78" s="24">
        <v>43764</v>
      </c>
      <c r="I78" s="23"/>
      <c r="J78" s="23"/>
      <c r="K78" s="26" t="s">
        <v>740</v>
      </c>
      <c r="L78" s="27"/>
      <c r="M78" s="23"/>
    </row>
    <row r="79" spans="1:13" ht="15.75" customHeight="1">
      <c r="A79" s="22">
        <v>36927092</v>
      </c>
      <c r="B79" s="23" t="s">
        <v>5126</v>
      </c>
      <c r="C79" s="23" t="s">
        <v>5127</v>
      </c>
      <c r="D79" s="23" t="s">
        <v>5128</v>
      </c>
      <c r="E79" s="23" t="s">
        <v>4716</v>
      </c>
      <c r="F79" s="23" t="s">
        <v>5129</v>
      </c>
      <c r="G79" s="22">
        <v>2022</v>
      </c>
      <c r="H79" s="24">
        <v>45002</v>
      </c>
      <c r="I79" s="26" t="s">
        <v>5130</v>
      </c>
      <c r="J79" s="27"/>
      <c r="K79" s="26" t="s">
        <v>4717</v>
      </c>
      <c r="L79" s="27"/>
      <c r="M79" s="27"/>
    </row>
    <row r="80" spans="1:13" ht="15.75" customHeight="1">
      <c r="A80" s="22">
        <v>19891754</v>
      </c>
      <c r="B80" s="23" t="s">
        <v>5131</v>
      </c>
      <c r="C80" s="23" t="s">
        <v>5132</v>
      </c>
      <c r="D80" s="23" t="s">
        <v>5133</v>
      </c>
      <c r="E80" s="23" t="s">
        <v>4363</v>
      </c>
      <c r="F80" s="23" t="s">
        <v>4974</v>
      </c>
      <c r="G80" s="22">
        <v>2009</v>
      </c>
      <c r="H80" s="24">
        <v>40124</v>
      </c>
      <c r="I80" s="23"/>
      <c r="J80" s="23"/>
      <c r="K80" s="26" t="s">
        <v>4364</v>
      </c>
      <c r="L80" s="27"/>
      <c r="M80" s="27"/>
    </row>
    <row r="81" spans="1:13" ht="15.75" customHeight="1">
      <c r="A81" s="22">
        <v>15864103</v>
      </c>
      <c r="B81" s="23" t="s">
        <v>5134</v>
      </c>
      <c r="C81" s="23" t="s">
        <v>4929</v>
      </c>
      <c r="D81" s="23" t="s">
        <v>5135</v>
      </c>
      <c r="E81" s="23" t="s">
        <v>4435</v>
      </c>
      <c r="F81" s="23" t="s">
        <v>5035</v>
      </c>
      <c r="G81" s="22">
        <v>2005</v>
      </c>
      <c r="H81" s="24">
        <v>38475</v>
      </c>
      <c r="I81" s="23"/>
      <c r="J81" s="23"/>
      <c r="K81" s="26" t="s">
        <v>4438</v>
      </c>
      <c r="L81" s="27"/>
      <c r="M81" s="27"/>
    </row>
    <row r="82" spans="1:13" ht="15.75" customHeight="1">
      <c r="A82" s="22">
        <v>38675841</v>
      </c>
      <c r="B82" s="23" t="s">
        <v>5136</v>
      </c>
      <c r="C82" s="23" t="s">
        <v>5137</v>
      </c>
      <c r="D82" s="23" t="s">
        <v>5138</v>
      </c>
      <c r="E82" s="23" t="s">
        <v>679</v>
      </c>
      <c r="F82" s="23" t="s">
        <v>4842</v>
      </c>
      <c r="G82" s="22">
        <v>2024</v>
      </c>
      <c r="H82" s="24">
        <v>45409</v>
      </c>
      <c r="I82" s="26" t="s">
        <v>5139</v>
      </c>
      <c r="J82" s="27"/>
      <c r="K82" s="26" t="s">
        <v>4753</v>
      </c>
      <c r="L82" s="27"/>
      <c r="M82" s="23"/>
    </row>
    <row r="83" spans="1:13" ht="15.75" customHeight="1">
      <c r="A83" s="22">
        <v>14525708</v>
      </c>
      <c r="B83" s="23" t="s">
        <v>5140</v>
      </c>
      <c r="C83" s="23" t="s">
        <v>5141</v>
      </c>
      <c r="D83" s="23" t="s">
        <v>5142</v>
      </c>
      <c r="E83" s="23" t="s">
        <v>1303</v>
      </c>
      <c r="F83" s="23" t="s">
        <v>5143</v>
      </c>
      <c r="G83" s="22">
        <v>2003</v>
      </c>
      <c r="H83" s="24">
        <v>37898</v>
      </c>
      <c r="I83" s="23"/>
      <c r="J83" s="23"/>
      <c r="K83" s="26" t="s">
        <v>1304</v>
      </c>
      <c r="L83" s="27"/>
      <c r="M83" s="27"/>
    </row>
    <row r="84" spans="1:13" ht="15.75" customHeight="1">
      <c r="A84" s="22">
        <v>33830031</v>
      </c>
      <c r="B84" s="23" t="s">
        <v>5144</v>
      </c>
      <c r="C84" s="23" t="s">
        <v>5145</v>
      </c>
      <c r="D84" s="23" t="s">
        <v>5146</v>
      </c>
      <c r="E84" s="23" t="s">
        <v>775</v>
      </c>
      <c r="F84" s="23" t="s">
        <v>4876</v>
      </c>
      <c r="G84" s="22">
        <v>2021</v>
      </c>
      <c r="H84" s="24">
        <v>44294</v>
      </c>
      <c r="I84" s="23"/>
      <c r="J84" s="23"/>
      <c r="K84" s="26" t="s">
        <v>776</v>
      </c>
      <c r="L84" s="27"/>
      <c r="M84" s="27"/>
    </row>
    <row r="85" spans="1:13" ht="15.75" customHeight="1">
      <c r="A85" s="22">
        <v>21811747</v>
      </c>
      <c r="B85" s="23" t="s">
        <v>5147</v>
      </c>
      <c r="C85" s="23" t="s">
        <v>5148</v>
      </c>
      <c r="D85" s="23" t="s">
        <v>5149</v>
      </c>
      <c r="E85" s="23" t="s">
        <v>545</v>
      </c>
      <c r="F85" s="23" t="s">
        <v>5103</v>
      </c>
      <c r="G85" s="22">
        <v>2011</v>
      </c>
      <c r="H85" s="24">
        <v>40759</v>
      </c>
      <c r="I85" s="23"/>
      <c r="J85" s="23"/>
      <c r="K85" s="23"/>
      <c r="L85" s="23"/>
      <c r="M85" s="23"/>
    </row>
    <row r="86" spans="1:13" ht="15.75" customHeight="1">
      <c r="A86" s="22">
        <v>23055929</v>
      </c>
      <c r="B86" s="23" t="s">
        <v>5150</v>
      </c>
      <c r="C86" s="23" t="s">
        <v>5151</v>
      </c>
      <c r="D86" s="23" t="s">
        <v>5152</v>
      </c>
      <c r="E86" s="23" t="s">
        <v>1533</v>
      </c>
      <c r="F86" s="23" t="s">
        <v>5059</v>
      </c>
      <c r="G86" s="22">
        <v>2012</v>
      </c>
      <c r="H86" s="24">
        <v>41194</v>
      </c>
      <c r="I86" s="26" t="s">
        <v>5153</v>
      </c>
      <c r="J86" s="27"/>
      <c r="K86" s="26" t="s">
        <v>1537</v>
      </c>
      <c r="L86" s="27"/>
      <c r="M86" s="27"/>
    </row>
    <row r="87" spans="1:13" ht="15.75" customHeight="1">
      <c r="A87" s="22">
        <v>21801705</v>
      </c>
      <c r="B87" s="23" t="s">
        <v>5154</v>
      </c>
      <c r="C87" s="23" t="s">
        <v>5155</v>
      </c>
      <c r="D87" s="23" t="s">
        <v>5156</v>
      </c>
      <c r="E87" s="23" t="s">
        <v>817</v>
      </c>
      <c r="F87" s="23" t="s">
        <v>5076</v>
      </c>
      <c r="G87" s="22">
        <v>2012</v>
      </c>
      <c r="H87" s="24">
        <v>40757</v>
      </c>
      <c r="I87" s="23"/>
      <c r="J87" s="23"/>
      <c r="K87" s="26" t="s">
        <v>818</v>
      </c>
      <c r="L87" s="27"/>
      <c r="M87" s="27"/>
    </row>
    <row r="88" spans="1:13" ht="15.75" customHeight="1">
      <c r="A88" s="22">
        <v>27669362</v>
      </c>
      <c r="B88" s="23" t="s">
        <v>5157</v>
      </c>
      <c r="C88" s="23" t="s">
        <v>5158</v>
      </c>
      <c r="D88" s="23" t="s">
        <v>5159</v>
      </c>
      <c r="E88" s="23" t="s">
        <v>551</v>
      </c>
      <c r="F88" s="23" t="s">
        <v>4896</v>
      </c>
      <c r="G88" s="22">
        <v>2016</v>
      </c>
      <c r="H88" s="24">
        <v>42640</v>
      </c>
      <c r="I88" s="23"/>
      <c r="J88" s="23"/>
      <c r="K88" s="26" t="s">
        <v>552</v>
      </c>
      <c r="L88" s="27"/>
      <c r="M88" s="27"/>
    </row>
    <row r="89" spans="1:13" ht="15.75" customHeight="1">
      <c r="A89" s="22">
        <v>36073532</v>
      </c>
      <c r="B89" s="23" t="s">
        <v>5160</v>
      </c>
      <c r="C89" s="23" t="s">
        <v>5161</v>
      </c>
      <c r="D89" s="23" t="s">
        <v>5162</v>
      </c>
      <c r="E89" s="23" t="s">
        <v>3350</v>
      </c>
      <c r="F89" s="23" t="s">
        <v>5163</v>
      </c>
      <c r="G89" s="22">
        <v>2022</v>
      </c>
      <c r="H89" s="24">
        <v>44812</v>
      </c>
      <c r="I89" s="23"/>
      <c r="J89" s="23"/>
      <c r="K89" s="26" t="s">
        <v>3351</v>
      </c>
      <c r="L89" s="27"/>
      <c r="M89" s="27"/>
    </row>
    <row r="90" spans="1:13" ht="15.75" customHeight="1">
      <c r="A90" s="22">
        <v>35389547</v>
      </c>
      <c r="B90" s="23" t="s">
        <v>5164</v>
      </c>
      <c r="C90" s="23" t="s">
        <v>5165</v>
      </c>
      <c r="D90" s="23" t="s">
        <v>5166</v>
      </c>
      <c r="E90" s="23" t="s">
        <v>488</v>
      </c>
      <c r="F90" s="23" t="s">
        <v>4974</v>
      </c>
      <c r="G90" s="22">
        <v>2022</v>
      </c>
      <c r="H90" s="24">
        <v>44658</v>
      </c>
      <c r="I90" s="23"/>
      <c r="J90" s="23"/>
      <c r="K90" s="26" t="s">
        <v>489</v>
      </c>
      <c r="L90" s="27"/>
      <c r="M90" s="23"/>
    </row>
    <row r="91" spans="1:13" ht="15.75" customHeight="1">
      <c r="A91" s="22">
        <v>10377191</v>
      </c>
      <c r="B91" s="23" t="s">
        <v>5167</v>
      </c>
      <c r="C91" s="23" t="s">
        <v>5168</v>
      </c>
      <c r="D91" s="23" t="s">
        <v>5169</v>
      </c>
      <c r="E91" s="23" t="s">
        <v>2169</v>
      </c>
      <c r="F91" s="23" t="s">
        <v>5170</v>
      </c>
      <c r="G91" s="22">
        <v>1999</v>
      </c>
      <c r="H91" s="24">
        <v>36333</v>
      </c>
      <c r="I91" s="26" t="s">
        <v>5171</v>
      </c>
      <c r="J91" s="27"/>
      <c r="K91" s="26" t="s">
        <v>2170</v>
      </c>
      <c r="L91" s="27"/>
      <c r="M91" s="23"/>
    </row>
    <row r="92" spans="1:13" ht="15.75" customHeight="1">
      <c r="A92" s="22">
        <v>27244446</v>
      </c>
      <c r="B92" s="23" t="s">
        <v>5172</v>
      </c>
      <c r="C92" s="23" t="s">
        <v>5173</v>
      </c>
      <c r="D92" s="23" t="s">
        <v>5174</v>
      </c>
      <c r="E92" s="23" t="s">
        <v>4401</v>
      </c>
      <c r="F92" s="23" t="s">
        <v>5059</v>
      </c>
      <c r="G92" s="22">
        <v>2016</v>
      </c>
      <c r="H92" s="24">
        <v>42522</v>
      </c>
      <c r="I92" s="26" t="s">
        <v>5175</v>
      </c>
      <c r="J92" s="27"/>
      <c r="K92" s="26" t="s">
        <v>4402</v>
      </c>
      <c r="L92" s="27"/>
      <c r="M92" s="27"/>
    </row>
    <row r="93" spans="1:13" ht="15.75" customHeight="1">
      <c r="A93" s="22">
        <v>9465692</v>
      </c>
      <c r="B93" s="23" t="s">
        <v>5176</v>
      </c>
      <c r="C93" s="23" t="s">
        <v>5177</v>
      </c>
      <c r="D93" s="23" t="s">
        <v>5178</v>
      </c>
      <c r="E93" s="23" t="s">
        <v>4189</v>
      </c>
      <c r="F93" s="23" t="s">
        <v>5031</v>
      </c>
      <c r="G93" s="22">
        <v>1998</v>
      </c>
      <c r="H93" s="24">
        <v>35844</v>
      </c>
      <c r="I93" s="23"/>
      <c r="J93" s="23"/>
      <c r="K93" s="23"/>
      <c r="L93" s="23"/>
      <c r="M93" s="23"/>
    </row>
    <row r="94" spans="1:13" ht="15.75" customHeight="1">
      <c r="A94" s="22">
        <v>28081700</v>
      </c>
      <c r="B94" s="23" t="s">
        <v>5179</v>
      </c>
      <c r="C94" s="23" t="s">
        <v>5180</v>
      </c>
      <c r="D94" s="23" t="s">
        <v>5181</v>
      </c>
      <c r="E94" s="23" t="s">
        <v>1533</v>
      </c>
      <c r="F94" s="23" t="s">
        <v>4867</v>
      </c>
      <c r="G94" s="22">
        <v>2017</v>
      </c>
      <c r="H94" s="24">
        <v>42749</v>
      </c>
      <c r="I94" s="26" t="s">
        <v>5182</v>
      </c>
      <c r="J94" s="27"/>
      <c r="K94" s="26" t="s">
        <v>1535</v>
      </c>
      <c r="L94" s="27"/>
      <c r="M94" s="27"/>
    </row>
    <row r="95" spans="1:13" ht="15.75" customHeight="1">
      <c r="A95" s="22">
        <v>24013234</v>
      </c>
      <c r="B95" s="23" t="s">
        <v>5183</v>
      </c>
      <c r="C95" s="23" t="s">
        <v>5184</v>
      </c>
      <c r="D95" s="23" t="s">
        <v>5185</v>
      </c>
      <c r="E95" s="23" t="s">
        <v>2944</v>
      </c>
      <c r="F95" s="23" t="s">
        <v>5186</v>
      </c>
      <c r="G95" s="22">
        <v>2014</v>
      </c>
      <c r="H95" s="24">
        <v>41527</v>
      </c>
      <c r="I95" s="26" t="s">
        <v>5187</v>
      </c>
      <c r="J95" s="27"/>
      <c r="K95" s="26" t="s">
        <v>2945</v>
      </c>
      <c r="L95" s="27"/>
      <c r="M95" s="27"/>
    </row>
    <row r="96" spans="1:13" ht="15.75" customHeight="1">
      <c r="A96" s="22">
        <v>9987758</v>
      </c>
      <c r="B96" s="23" t="s">
        <v>5188</v>
      </c>
      <c r="C96" s="23" t="s">
        <v>5189</v>
      </c>
      <c r="D96" s="23" t="s">
        <v>5190</v>
      </c>
      <c r="E96" s="23" t="s">
        <v>1063</v>
      </c>
      <c r="F96" s="23" t="s">
        <v>5191</v>
      </c>
      <c r="G96" s="22">
        <v>1998</v>
      </c>
      <c r="H96" s="24">
        <v>36204</v>
      </c>
      <c r="I96" s="23"/>
      <c r="J96" s="23"/>
      <c r="K96" s="26" t="s">
        <v>1064</v>
      </c>
      <c r="L96" s="27"/>
      <c r="M96" s="27"/>
    </row>
    <row r="97" spans="1:13" ht="15.75" customHeight="1">
      <c r="A97" s="22">
        <v>15186736</v>
      </c>
      <c r="B97" s="23" t="s">
        <v>5192</v>
      </c>
      <c r="C97" s="23" t="s">
        <v>5193</v>
      </c>
      <c r="D97" s="23" t="s">
        <v>5194</v>
      </c>
      <c r="E97" s="23" t="s">
        <v>786</v>
      </c>
      <c r="F97" s="23" t="s">
        <v>5195</v>
      </c>
      <c r="G97" s="22">
        <v>2004</v>
      </c>
      <c r="H97" s="24">
        <v>38148</v>
      </c>
      <c r="I97" s="23"/>
      <c r="J97" s="23"/>
      <c r="K97" s="26" t="s">
        <v>3398</v>
      </c>
      <c r="L97" s="27"/>
      <c r="M97" s="27"/>
    </row>
    <row r="98" spans="1:13" ht="15.75" customHeight="1">
      <c r="A98" s="22">
        <v>9869189</v>
      </c>
      <c r="B98" s="23" t="s">
        <v>5196</v>
      </c>
      <c r="C98" s="23" t="s">
        <v>5197</v>
      </c>
      <c r="D98" s="23" t="s">
        <v>5198</v>
      </c>
      <c r="E98" s="23" t="s">
        <v>235</v>
      </c>
      <c r="F98" s="23" t="s">
        <v>5099</v>
      </c>
      <c r="G98" s="22">
        <v>1998</v>
      </c>
      <c r="H98" s="24">
        <v>36159</v>
      </c>
      <c r="I98" s="23"/>
      <c r="J98" s="23"/>
      <c r="K98" s="26" t="s">
        <v>2586</v>
      </c>
      <c r="L98" s="27"/>
      <c r="M98" s="27"/>
    </row>
    <row r="99" spans="1:13" ht="15.75" customHeight="1">
      <c r="A99" s="22">
        <v>20407819</v>
      </c>
      <c r="B99" s="23" t="s">
        <v>5199</v>
      </c>
      <c r="C99" s="23" t="s">
        <v>5200</v>
      </c>
      <c r="D99" s="23" t="s">
        <v>5201</v>
      </c>
      <c r="E99" s="23" t="s">
        <v>3001</v>
      </c>
      <c r="F99" s="23" t="s">
        <v>5202</v>
      </c>
      <c r="G99" s="22">
        <v>2010</v>
      </c>
      <c r="H99" s="24">
        <v>40290</v>
      </c>
      <c r="I99" s="23"/>
      <c r="J99" s="23"/>
      <c r="K99" s="26" t="s">
        <v>3002</v>
      </c>
      <c r="L99" s="27"/>
      <c r="M99" s="27"/>
    </row>
    <row r="100" spans="1:13" ht="15.75" customHeight="1">
      <c r="A100" s="22">
        <v>33053448</v>
      </c>
      <c r="B100" s="23" t="s">
        <v>5203</v>
      </c>
      <c r="C100" s="23" t="s">
        <v>5204</v>
      </c>
      <c r="D100" s="23" t="s">
        <v>5205</v>
      </c>
      <c r="E100" s="23" t="s">
        <v>123</v>
      </c>
      <c r="F100" s="23" t="s">
        <v>4876</v>
      </c>
      <c r="G100" s="22">
        <v>2021</v>
      </c>
      <c r="H100" s="24">
        <v>44118</v>
      </c>
      <c r="I100" s="23" t="s">
        <v>5206</v>
      </c>
      <c r="J100" s="23" t="s">
        <v>5207</v>
      </c>
      <c r="K100" s="26" t="s">
        <v>332</v>
      </c>
      <c r="L100" s="27"/>
      <c r="M100" s="27"/>
    </row>
    <row r="101" spans="1:13" ht="15.75" customHeight="1">
      <c r="A101" s="22">
        <v>15606551</v>
      </c>
      <c r="B101" s="23" t="s">
        <v>5208</v>
      </c>
      <c r="C101" s="23" t="s">
        <v>5209</v>
      </c>
      <c r="D101" s="23" t="s">
        <v>5210</v>
      </c>
      <c r="E101" s="23" t="s">
        <v>135</v>
      </c>
      <c r="F101" s="23" t="s">
        <v>5211</v>
      </c>
      <c r="G101" s="22">
        <v>2005</v>
      </c>
      <c r="H101" s="24">
        <v>38342</v>
      </c>
      <c r="I101" s="23"/>
      <c r="J101" s="23"/>
      <c r="K101" s="26" t="s">
        <v>348</v>
      </c>
      <c r="L101" s="27"/>
      <c r="M101" s="27"/>
    </row>
    <row r="102" spans="1:13" ht="15.75" customHeight="1">
      <c r="A102" s="22">
        <v>36055520</v>
      </c>
      <c r="B102" s="23" t="s">
        <v>5212</v>
      </c>
      <c r="C102" s="23" t="s">
        <v>5213</v>
      </c>
      <c r="D102" s="23" t="s">
        <v>5214</v>
      </c>
      <c r="E102" s="23" t="s">
        <v>2394</v>
      </c>
      <c r="F102" s="23" t="s">
        <v>5215</v>
      </c>
      <c r="G102" s="22">
        <v>2022</v>
      </c>
      <c r="H102" s="24">
        <v>44806</v>
      </c>
      <c r="I102" s="23" t="s">
        <v>5216</v>
      </c>
      <c r="J102" s="23" t="s">
        <v>5217</v>
      </c>
      <c r="K102" s="26" t="s">
        <v>2395</v>
      </c>
      <c r="L102" s="27"/>
      <c r="M102" s="27"/>
    </row>
    <row r="103" spans="1:13" ht="15.75" customHeight="1">
      <c r="A103" s="22">
        <v>11336581</v>
      </c>
      <c r="B103" s="23" t="s">
        <v>5218</v>
      </c>
      <c r="C103" s="23" t="s">
        <v>5219</v>
      </c>
      <c r="D103" s="23" t="s">
        <v>5220</v>
      </c>
      <c r="E103" s="23" t="s">
        <v>2685</v>
      </c>
      <c r="F103" s="23" t="s">
        <v>5221</v>
      </c>
      <c r="G103" s="22">
        <v>2001</v>
      </c>
      <c r="H103" s="24">
        <v>37016</v>
      </c>
      <c r="I103" s="23"/>
      <c r="J103" s="23"/>
      <c r="K103" s="26" t="s">
        <v>2686</v>
      </c>
      <c r="L103" s="27"/>
      <c r="M103" s="27"/>
    </row>
    <row r="104" spans="1:13" ht="15.75" customHeight="1">
      <c r="A104" s="22">
        <v>22212513</v>
      </c>
      <c r="B104" s="23" t="s">
        <v>5222</v>
      </c>
      <c r="C104" s="23" t="s">
        <v>5223</v>
      </c>
      <c r="D104" s="23" t="s">
        <v>5224</v>
      </c>
      <c r="E104" s="23" t="s">
        <v>208</v>
      </c>
      <c r="F104" s="23" t="s">
        <v>5076</v>
      </c>
      <c r="G104" s="22">
        <v>2012</v>
      </c>
      <c r="H104" s="24">
        <v>40912</v>
      </c>
      <c r="I104" s="23"/>
      <c r="J104" s="23"/>
      <c r="K104" s="26" t="s">
        <v>325</v>
      </c>
      <c r="L104" s="27"/>
      <c r="M104" s="27"/>
    </row>
    <row r="105" spans="1:13" ht="15.75" customHeight="1">
      <c r="A105" s="22">
        <v>32827324</v>
      </c>
      <c r="B105" s="23" t="s">
        <v>5225</v>
      </c>
      <c r="C105" s="23" t="s">
        <v>5226</v>
      </c>
      <c r="D105" s="23" t="s">
        <v>5227</v>
      </c>
      <c r="E105" s="23" t="s">
        <v>3621</v>
      </c>
      <c r="F105" s="23" t="s">
        <v>5163</v>
      </c>
      <c r="G105" s="22">
        <v>2020</v>
      </c>
      <c r="H105" s="24">
        <v>44066</v>
      </c>
      <c r="I105" s="23"/>
      <c r="J105" s="23"/>
      <c r="K105" s="26" t="s">
        <v>3622</v>
      </c>
      <c r="L105" s="27"/>
      <c r="M105" s="27"/>
    </row>
    <row r="106" spans="1:13" ht="15.75" customHeight="1">
      <c r="A106" s="22">
        <v>17276376</v>
      </c>
      <c r="B106" s="23" t="s">
        <v>5228</v>
      </c>
      <c r="C106" s="23" t="s">
        <v>5229</v>
      </c>
      <c r="D106" s="23" t="s">
        <v>5230</v>
      </c>
      <c r="E106" s="23" t="s">
        <v>249</v>
      </c>
      <c r="F106" s="23" t="s">
        <v>4896</v>
      </c>
      <c r="G106" s="22">
        <v>2006</v>
      </c>
      <c r="H106" s="24">
        <v>39119</v>
      </c>
      <c r="I106" s="23"/>
      <c r="J106" s="23"/>
      <c r="K106" s="26" t="s">
        <v>2985</v>
      </c>
      <c r="L106" s="27"/>
      <c r="M106" s="27"/>
    </row>
    <row r="107" spans="1:13" ht="15.75" customHeight="1">
      <c r="A107" s="22">
        <v>14744020</v>
      </c>
      <c r="B107" s="23" t="s">
        <v>5231</v>
      </c>
      <c r="C107" s="23" t="s">
        <v>5232</v>
      </c>
      <c r="D107" s="23" t="s">
        <v>5233</v>
      </c>
      <c r="E107" s="23" t="s">
        <v>243</v>
      </c>
      <c r="F107" s="23" t="s">
        <v>5234</v>
      </c>
      <c r="G107" s="22">
        <v>2003</v>
      </c>
      <c r="H107" s="24">
        <v>38014</v>
      </c>
      <c r="I107" s="23"/>
      <c r="J107" s="23"/>
      <c r="K107" s="23"/>
      <c r="L107" s="23"/>
      <c r="M107" s="23"/>
    </row>
    <row r="108" spans="1:13" ht="15.75" customHeight="1">
      <c r="A108" s="22">
        <v>27076241</v>
      </c>
      <c r="B108" s="23" t="s">
        <v>5235</v>
      </c>
      <c r="C108" s="23" t="s">
        <v>4968</v>
      </c>
      <c r="D108" s="23" t="s">
        <v>5236</v>
      </c>
      <c r="E108" s="23" t="s">
        <v>151</v>
      </c>
      <c r="F108" s="23" t="s">
        <v>5047</v>
      </c>
      <c r="G108" s="22">
        <v>2016</v>
      </c>
      <c r="H108" s="24">
        <v>42475</v>
      </c>
      <c r="I108" s="23"/>
      <c r="J108" s="23"/>
      <c r="K108" s="26" t="s">
        <v>3420</v>
      </c>
      <c r="L108" s="27"/>
      <c r="M108" s="23"/>
    </row>
    <row r="109" spans="1:13" ht="15.75" customHeight="1">
      <c r="A109" s="22">
        <v>21376661</v>
      </c>
      <c r="B109" s="23" t="s">
        <v>5237</v>
      </c>
      <c r="C109" s="23" t="s">
        <v>5238</v>
      </c>
      <c r="D109" s="23" t="s">
        <v>5239</v>
      </c>
      <c r="E109" s="23" t="s">
        <v>686</v>
      </c>
      <c r="F109" s="23" t="s">
        <v>4896</v>
      </c>
      <c r="G109" s="22">
        <v>2011</v>
      </c>
      <c r="H109" s="24">
        <v>40610</v>
      </c>
      <c r="I109" s="23"/>
      <c r="J109" s="23"/>
      <c r="K109" s="26" t="s">
        <v>687</v>
      </c>
      <c r="L109" s="27"/>
      <c r="M109" s="27"/>
    </row>
    <row r="110" spans="1:13" ht="15.75" customHeight="1">
      <c r="A110" s="22">
        <v>30844089</v>
      </c>
      <c r="B110" s="23" t="s">
        <v>5240</v>
      </c>
      <c r="C110" s="23" t="s">
        <v>5241</v>
      </c>
      <c r="D110" s="23" t="s">
        <v>5242</v>
      </c>
      <c r="E110" s="23" t="s">
        <v>3552</v>
      </c>
      <c r="F110" s="23" t="s">
        <v>5243</v>
      </c>
      <c r="G110" s="22">
        <v>2019</v>
      </c>
      <c r="H110" s="24">
        <v>43532</v>
      </c>
      <c r="I110" s="23"/>
      <c r="J110" s="23"/>
      <c r="K110" s="26" t="s">
        <v>3553</v>
      </c>
      <c r="L110" s="27"/>
      <c r="M110" s="23"/>
    </row>
    <row r="111" spans="1:13" ht="15.75" customHeight="1">
      <c r="A111" s="22">
        <v>8668853</v>
      </c>
      <c r="B111" s="23" t="s">
        <v>5244</v>
      </c>
      <c r="C111" s="23" t="s">
        <v>5245</v>
      </c>
      <c r="D111" s="23" t="s">
        <v>5246</v>
      </c>
      <c r="E111" s="23" t="s">
        <v>539</v>
      </c>
      <c r="F111" s="23" t="s">
        <v>5247</v>
      </c>
      <c r="G111" s="22">
        <v>1995</v>
      </c>
      <c r="H111" s="24">
        <v>35034</v>
      </c>
      <c r="I111" s="23"/>
      <c r="J111" s="23"/>
      <c r="K111" s="23"/>
      <c r="L111" s="23"/>
      <c r="M111" s="23"/>
    </row>
    <row r="112" spans="1:13" ht="15.75" customHeight="1">
      <c r="A112" s="22">
        <v>2559396</v>
      </c>
      <c r="B112" s="23" t="s">
        <v>5248</v>
      </c>
      <c r="C112" s="23" t="s">
        <v>5249</v>
      </c>
      <c r="D112" s="23" t="s">
        <v>5250</v>
      </c>
      <c r="E112" s="23" t="s">
        <v>2800</v>
      </c>
      <c r="F112" s="23" t="s">
        <v>5251</v>
      </c>
      <c r="G112" s="22">
        <v>1989</v>
      </c>
      <c r="H112" s="24">
        <v>32843</v>
      </c>
      <c r="I112" s="23"/>
      <c r="J112" s="23"/>
      <c r="K112" s="26" t="s">
        <v>2801</v>
      </c>
      <c r="L112" s="27"/>
      <c r="M112" s="27"/>
    </row>
    <row r="113" spans="1:13" ht="15.75" customHeight="1">
      <c r="A113" s="22">
        <v>32638491</v>
      </c>
      <c r="B113" s="23" t="s">
        <v>5252</v>
      </c>
      <c r="C113" s="23" t="s">
        <v>5253</v>
      </c>
      <c r="D113" s="23" t="s">
        <v>5254</v>
      </c>
      <c r="E113" s="23" t="s">
        <v>4429</v>
      </c>
      <c r="F113" s="23" t="s">
        <v>4974</v>
      </c>
      <c r="G113" s="22">
        <v>2021</v>
      </c>
      <c r="H113" s="24">
        <v>44021</v>
      </c>
      <c r="I113" s="26" t="s">
        <v>5255</v>
      </c>
      <c r="J113" s="27"/>
      <c r="K113" s="26" t="s">
        <v>4430</v>
      </c>
      <c r="L113" s="27"/>
      <c r="M113" s="23"/>
    </row>
    <row r="114" spans="1:13" ht="15.75" customHeight="1">
      <c r="A114" s="22">
        <v>23331378</v>
      </c>
      <c r="B114" s="23" t="s">
        <v>5256</v>
      </c>
      <c r="C114" s="23" t="s">
        <v>5257</v>
      </c>
      <c r="D114" s="23" t="s">
        <v>5258</v>
      </c>
      <c r="E114" s="23" t="s">
        <v>890</v>
      </c>
      <c r="F114" s="23" t="s">
        <v>4974</v>
      </c>
      <c r="G114" s="22">
        <v>2013</v>
      </c>
      <c r="H114" s="24">
        <v>41296</v>
      </c>
      <c r="I114" s="23"/>
      <c r="J114" s="23"/>
      <c r="K114" s="26" t="s">
        <v>891</v>
      </c>
      <c r="L114" s="27"/>
      <c r="M114" s="23"/>
    </row>
    <row r="115" spans="1:13" ht="15.75" customHeight="1">
      <c r="A115" s="22">
        <v>37559456</v>
      </c>
      <c r="B115" s="23" t="s">
        <v>5259</v>
      </c>
      <c r="C115" s="23" t="s">
        <v>5260</v>
      </c>
      <c r="D115" s="23" t="s">
        <v>5261</v>
      </c>
      <c r="E115" s="23" t="s">
        <v>4505</v>
      </c>
      <c r="F115" s="23" t="s">
        <v>5262</v>
      </c>
      <c r="G115" s="22">
        <v>2023</v>
      </c>
      <c r="H115" s="24">
        <v>45148</v>
      </c>
      <c r="I115" s="26" t="s">
        <v>5263</v>
      </c>
      <c r="J115" s="27"/>
      <c r="K115" s="26" t="s">
        <v>4506</v>
      </c>
      <c r="L115" s="27"/>
      <c r="M115" s="23"/>
    </row>
    <row r="116" spans="1:13" ht="15.75" customHeight="1">
      <c r="A116" s="22">
        <v>12951217</v>
      </c>
      <c r="B116" s="23" t="s">
        <v>5264</v>
      </c>
      <c r="C116" s="23" t="s">
        <v>5265</v>
      </c>
      <c r="D116" s="23" t="s">
        <v>5266</v>
      </c>
      <c r="E116" s="23" t="s">
        <v>3837</v>
      </c>
      <c r="F116" s="23" t="s">
        <v>5267</v>
      </c>
      <c r="G116" s="22">
        <v>2003</v>
      </c>
      <c r="H116" s="24">
        <v>37867</v>
      </c>
      <c r="I116" s="23"/>
      <c r="J116" s="23"/>
      <c r="K116" s="26" t="s">
        <v>3840</v>
      </c>
      <c r="L116" s="27"/>
      <c r="M116" s="27"/>
    </row>
    <row r="117" spans="1:13" ht="15.75" customHeight="1">
      <c r="A117" s="22">
        <v>21538037</v>
      </c>
      <c r="B117" s="23" t="s">
        <v>5268</v>
      </c>
      <c r="C117" s="23" t="s">
        <v>5269</v>
      </c>
      <c r="D117" s="23" t="s">
        <v>5270</v>
      </c>
      <c r="E117" s="23" t="s">
        <v>714</v>
      </c>
      <c r="F117" s="23" t="s">
        <v>5271</v>
      </c>
      <c r="G117" s="22">
        <v>2011</v>
      </c>
      <c r="H117" s="24">
        <v>40667</v>
      </c>
      <c r="I117" s="23"/>
      <c r="J117" s="23"/>
      <c r="K117" s="26" t="s">
        <v>715</v>
      </c>
      <c r="L117" s="27"/>
      <c r="M117" s="27"/>
    </row>
    <row r="118" spans="1:13" ht="15.75" customHeight="1">
      <c r="A118" s="22">
        <v>29491155</v>
      </c>
      <c r="B118" s="23" t="s">
        <v>5272</v>
      </c>
      <c r="C118" s="23" t="s">
        <v>5273</v>
      </c>
      <c r="D118" s="23" t="s">
        <v>5274</v>
      </c>
      <c r="E118" s="23" t="s">
        <v>2211</v>
      </c>
      <c r="F118" s="23" t="s">
        <v>4891</v>
      </c>
      <c r="G118" s="22">
        <v>2018</v>
      </c>
      <c r="H118" s="24">
        <v>43161</v>
      </c>
      <c r="I118" s="26" t="s">
        <v>5275</v>
      </c>
      <c r="J118" s="27"/>
      <c r="K118" s="26" t="s">
        <v>2212</v>
      </c>
      <c r="L118" s="27"/>
      <c r="M118" s="23"/>
    </row>
    <row r="119" spans="1:13" ht="15.75" customHeight="1">
      <c r="A119" s="22">
        <v>22321264</v>
      </c>
      <c r="B119" s="23" t="s">
        <v>5276</v>
      </c>
      <c r="C119" s="23" t="s">
        <v>5277</v>
      </c>
      <c r="D119" s="23" t="s">
        <v>5278</v>
      </c>
      <c r="E119" s="23" t="s">
        <v>2902</v>
      </c>
      <c r="F119" s="23" t="s">
        <v>4974</v>
      </c>
      <c r="G119" s="22">
        <v>2012</v>
      </c>
      <c r="H119" s="24">
        <v>40950</v>
      </c>
      <c r="I119" s="23"/>
      <c r="J119" s="23"/>
      <c r="K119" s="26" t="s">
        <v>2903</v>
      </c>
      <c r="L119" s="27"/>
      <c r="M119" s="27"/>
    </row>
    <row r="120" spans="1:13" ht="15.75" customHeight="1">
      <c r="A120" s="22">
        <v>34111575</v>
      </c>
      <c r="B120" s="23" t="s">
        <v>5279</v>
      </c>
      <c r="C120" s="23" t="s">
        <v>5280</v>
      </c>
      <c r="D120" s="23" t="s">
        <v>5281</v>
      </c>
      <c r="E120" s="23" t="s">
        <v>619</v>
      </c>
      <c r="F120" s="23" t="s">
        <v>4876</v>
      </c>
      <c r="G120" s="22">
        <v>2021</v>
      </c>
      <c r="H120" s="24">
        <v>44357</v>
      </c>
      <c r="I120" s="23" t="s">
        <v>5282</v>
      </c>
      <c r="J120" s="23" t="s">
        <v>5283</v>
      </c>
      <c r="K120" s="26" t="s">
        <v>620</v>
      </c>
      <c r="L120" s="27"/>
      <c r="M120" s="27"/>
    </row>
    <row r="121" spans="1:13" ht="15.75" customHeight="1">
      <c r="A121" s="22">
        <v>36366483</v>
      </c>
      <c r="B121" s="23" t="s">
        <v>5284</v>
      </c>
      <c r="C121" s="23" t="s">
        <v>5285</v>
      </c>
      <c r="D121" s="23" t="s">
        <v>5286</v>
      </c>
      <c r="E121" s="23" t="s">
        <v>3597</v>
      </c>
      <c r="F121" s="23" t="s">
        <v>4842</v>
      </c>
      <c r="G121" s="22">
        <v>2022</v>
      </c>
      <c r="H121" s="24">
        <v>44876</v>
      </c>
      <c r="I121" s="26" t="s">
        <v>5287</v>
      </c>
      <c r="J121" s="27"/>
      <c r="K121" s="26" t="s">
        <v>3598</v>
      </c>
      <c r="L121" s="27"/>
      <c r="M121" s="23"/>
    </row>
    <row r="122" spans="1:13" ht="15.75" customHeight="1">
      <c r="A122" s="22">
        <v>29985546</v>
      </c>
      <c r="B122" s="23" t="s">
        <v>5288</v>
      </c>
      <c r="C122" s="23" t="s">
        <v>5289</v>
      </c>
      <c r="D122" s="23" t="s">
        <v>5290</v>
      </c>
      <c r="E122" s="23" t="s">
        <v>3587</v>
      </c>
      <c r="F122" s="23" t="s">
        <v>5291</v>
      </c>
      <c r="G122" s="22">
        <v>2018</v>
      </c>
      <c r="H122" s="24">
        <v>43291</v>
      </c>
      <c r="I122" s="23"/>
      <c r="J122" s="23"/>
      <c r="K122" s="26" t="s">
        <v>3588</v>
      </c>
      <c r="L122" s="27"/>
      <c r="M122" s="23"/>
    </row>
    <row r="123" spans="1:13" ht="15.75" customHeight="1">
      <c r="A123" s="22">
        <v>18161770</v>
      </c>
      <c r="B123" s="23" t="s">
        <v>5292</v>
      </c>
      <c r="C123" s="23" t="s">
        <v>5293</v>
      </c>
      <c r="D123" s="23" t="s">
        <v>5294</v>
      </c>
      <c r="E123" s="23" t="s">
        <v>3441</v>
      </c>
      <c r="F123" s="23" t="s">
        <v>5295</v>
      </c>
      <c r="G123" s="22">
        <v>2008</v>
      </c>
      <c r="H123" s="24">
        <v>39445</v>
      </c>
      <c r="I123" s="23"/>
      <c r="J123" s="23"/>
      <c r="K123" s="26" t="s">
        <v>3442</v>
      </c>
      <c r="L123" s="27"/>
      <c r="M123" s="23"/>
    </row>
    <row r="124" spans="1:13" ht="15.75" customHeight="1">
      <c r="A124" s="22">
        <v>15824982</v>
      </c>
      <c r="B124" s="23" t="s">
        <v>5296</v>
      </c>
      <c r="C124" s="23" t="s">
        <v>5297</v>
      </c>
      <c r="D124" s="23" t="s">
        <v>5298</v>
      </c>
      <c r="E124" s="23" t="s">
        <v>197</v>
      </c>
      <c r="F124" s="23" t="s">
        <v>5080</v>
      </c>
      <c r="G124" s="22">
        <v>2005</v>
      </c>
      <c r="H124" s="24">
        <v>38455</v>
      </c>
      <c r="I124" s="23"/>
      <c r="J124" s="23"/>
      <c r="K124" s="26" t="s">
        <v>436</v>
      </c>
      <c r="L124" s="27"/>
      <c r="M124" s="23"/>
    </row>
    <row r="125" spans="1:13" ht="15.75" customHeight="1">
      <c r="A125" s="22">
        <v>30418598</v>
      </c>
      <c r="B125" s="23" t="s">
        <v>5299</v>
      </c>
      <c r="C125" s="23" t="s">
        <v>5300</v>
      </c>
      <c r="D125" s="23" t="s">
        <v>5301</v>
      </c>
      <c r="E125" s="23" t="s">
        <v>4556</v>
      </c>
      <c r="F125" s="23" t="s">
        <v>4992</v>
      </c>
      <c r="G125" s="22">
        <v>2019</v>
      </c>
      <c r="H125" s="24">
        <v>43417</v>
      </c>
      <c r="I125" s="23"/>
      <c r="J125" s="23"/>
      <c r="K125" s="26" t="s">
        <v>4557</v>
      </c>
      <c r="L125" s="27"/>
      <c r="M125" s="23"/>
    </row>
    <row r="126" spans="1:13" ht="15.75" customHeight="1">
      <c r="A126" s="22">
        <v>34083146</v>
      </c>
      <c r="B126" s="23" t="s">
        <v>5302</v>
      </c>
      <c r="C126" s="23" t="s">
        <v>5303</v>
      </c>
      <c r="D126" s="23" t="s">
        <v>5304</v>
      </c>
      <c r="E126" s="23" t="s">
        <v>2629</v>
      </c>
      <c r="F126" s="23" t="s">
        <v>5305</v>
      </c>
      <c r="G126" s="22">
        <v>2021</v>
      </c>
      <c r="H126" s="24">
        <v>44351</v>
      </c>
      <c r="I126" s="23"/>
      <c r="J126" s="23"/>
      <c r="K126" s="26" t="s">
        <v>2630</v>
      </c>
      <c r="L126" s="27"/>
      <c r="M126" s="27"/>
    </row>
    <row r="127" spans="1:13" ht="15.75" customHeight="1">
      <c r="A127" s="22">
        <v>20211581</v>
      </c>
      <c r="B127" s="23" t="s">
        <v>5306</v>
      </c>
      <c r="C127" s="23" t="s">
        <v>5307</v>
      </c>
      <c r="D127" s="23" t="s">
        <v>5308</v>
      </c>
      <c r="E127" s="23" t="s">
        <v>1543</v>
      </c>
      <c r="F127" s="23" t="s">
        <v>4896</v>
      </c>
      <c r="G127" s="22">
        <v>2010</v>
      </c>
      <c r="H127" s="24">
        <v>40247</v>
      </c>
      <c r="I127" s="23" t="s">
        <v>5309</v>
      </c>
      <c r="J127" s="23" t="s">
        <v>5310</v>
      </c>
      <c r="K127" s="26" t="s">
        <v>1546</v>
      </c>
      <c r="L127" s="27"/>
      <c r="M127" s="27"/>
    </row>
    <row r="128" spans="1:13" ht="15.75" customHeight="1">
      <c r="A128" s="22">
        <v>18637904</v>
      </c>
      <c r="B128" s="23" t="s">
        <v>5311</v>
      </c>
      <c r="C128" s="23" t="s">
        <v>5312</v>
      </c>
      <c r="D128" s="23" t="s">
        <v>5313</v>
      </c>
      <c r="E128" s="23" t="s">
        <v>757</v>
      </c>
      <c r="F128" s="23" t="s">
        <v>5314</v>
      </c>
      <c r="G128" s="22">
        <v>2008</v>
      </c>
      <c r="H128" s="24">
        <v>39651</v>
      </c>
      <c r="I128" s="26" t="s">
        <v>5315</v>
      </c>
      <c r="J128" s="27"/>
      <c r="K128" s="26" t="s">
        <v>3276</v>
      </c>
      <c r="L128" s="27"/>
      <c r="M128" s="27"/>
    </row>
    <row r="129" spans="1:13" ht="15.75" customHeight="1">
      <c r="A129" s="22">
        <v>22048789</v>
      </c>
      <c r="B129" s="23" t="s">
        <v>5316</v>
      </c>
      <c r="C129" s="23" t="s">
        <v>5317</v>
      </c>
      <c r="D129" s="23" t="s">
        <v>5318</v>
      </c>
      <c r="E129" s="23" t="s">
        <v>3301</v>
      </c>
      <c r="F129" s="23" t="s">
        <v>5319</v>
      </c>
      <c r="G129" s="22">
        <v>2012</v>
      </c>
      <c r="H129" s="24">
        <v>40851</v>
      </c>
      <c r="I129" s="23"/>
      <c r="J129" s="23"/>
      <c r="K129" s="26" t="s">
        <v>3302</v>
      </c>
      <c r="L129" s="27"/>
      <c r="M129" s="27"/>
    </row>
    <row r="130" spans="1:13" ht="15.75" customHeight="1">
      <c r="A130" s="22">
        <v>26121112</v>
      </c>
      <c r="B130" s="23" t="s">
        <v>5320</v>
      </c>
      <c r="C130" s="23" t="s">
        <v>5321</v>
      </c>
      <c r="D130" s="23" t="s">
        <v>5322</v>
      </c>
      <c r="E130" s="23" t="s">
        <v>221</v>
      </c>
      <c r="F130" s="23" t="s">
        <v>4863</v>
      </c>
      <c r="G130" s="22">
        <v>2015</v>
      </c>
      <c r="H130" s="24">
        <v>42185</v>
      </c>
      <c r="I130" s="23" t="s">
        <v>5323</v>
      </c>
      <c r="J130" s="23" t="s">
        <v>5324</v>
      </c>
      <c r="K130" s="26" t="s">
        <v>624</v>
      </c>
      <c r="L130" s="27"/>
      <c r="M130" s="23"/>
    </row>
    <row r="131" spans="1:13" ht="15.75" customHeight="1">
      <c r="A131" s="22">
        <v>12116029</v>
      </c>
      <c r="B131" s="23" t="s">
        <v>5325</v>
      </c>
      <c r="C131" s="23" t="s">
        <v>5326</v>
      </c>
      <c r="D131" s="23" t="s">
        <v>5327</v>
      </c>
      <c r="E131" s="23" t="s">
        <v>2758</v>
      </c>
      <c r="F131" s="23" t="s">
        <v>4923</v>
      </c>
      <c r="G131" s="22">
        <v>2002</v>
      </c>
      <c r="H131" s="24">
        <v>37450</v>
      </c>
      <c r="I131" s="23"/>
      <c r="J131" s="23"/>
      <c r="K131" s="26" t="s">
        <v>2759</v>
      </c>
      <c r="L131" s="27"/>
      <c r="M131" s="23"/>
    </row>
    <row r="132" spans="1:13" ht="15.75" customHeight="1">
      <c r="A132" s="22">
        <v>8815100</v>
      </c>
      <c r="B132" s="23" t="s">
        <v>5328</v>
      </c>
      <c r="C132" s="23" t="s">
        <v>5329</v>
      </c>
      <c r="D132" s="23" t="s">
        <v>5330</v>
      </c>
      <c r="E132" s="23" t="s">
        <v>539</v>
      </c>
      <c r="F132" s="23" t="s">
        <v>5331</v>
      </c>
      <c r="G132" s="22">
        <v>1996</v>
      </c>
      <c r="H132" s="24">
        <v>35156</v>
      </c>
      <c r="I132" s="23" t="s">
        <v>5332</v>
      </c>
      <c r="J132" s="23"/>
      <c r="K132" s="26" t="s">
        <v>540</v>
      </c>
      <c r="L132" s="27"/>
      <c r="M132" s="27"/>
    </row>
    <row r="133" spans="1:13" ht="15.75" customHeight="1">
      <c r="A133" s="22">
        <v>33713461</v>
      </c>
      <c r="B133" s="23" t="s">
        <v>5333</v>
      </c>
      <c r="C133" s="23" t="s">
        <v>5334</v>
      </c>
      <c r="D133" s="23" t="s">
        <v>5335</v>
      </c>
      <c r="E133" s="23" t="s">
        <v>214</v>
      </c>
      <c r="F133" s="23" t="s">
        <v>5336</v>
      </c>
      <c r="G133" s="22">
        <v>2021</v>
      </c>
      <c r="H133" s="24">
        <v>44268</v>
      </c>
      <c r="I133" s="23"/>
      <c r="J133" s="23"/>
      <c r="K133" s="26" t="s">
        <v>336</v>
      </c>
      <c r="L133" s="27"/>
      <c r="M133" s="23"/>
    </row>
    <row r="134" spans="1:13" ht="15.75" customHeight="1">
      <c r="A134" s="22">
        <v>29905966</v>
      </c>
      <c r="B134" s="23" t="s">
        <v>5337</v>
      </c>
      <c r="C134" s="23" t="s">
        <v>5338</v>
      </c>
      <c r="D134" s="23" t="s">
        <v>5339</v>
      </c>
      <c r="E134" s="23" t="s">
        <v>256</v>
      </c>
      <c r="F134" s="23" t="s">
        <v>4923</v>
      </c>
      <c r="G134" s="22">
        <v>2018</v>
      </c>
      <c r="H134" s="24">
        <v>43267</v>
      </c>
      <c r="I134" s="23"/>
      <c r="J134" s="23"/>
      <c r="K134" s="26" t="s">
        <v>3218</v>
      </c>
      <c r="L134" s="27"/>
      <c r="M134" s="23"/>
    </row>
    <row r="135" spans="1:13" ht="15.75" customHeight="1">
      <c r="A135" s="22">
        <v>23152545</v>
      </c>
      <c r="B135" s="23" t="s">
        <v>5340</v>
      </c>
      <c r="C135" s="23" t="s">
        <v>5341</v>
      </c>
      <c r="D135" s="23" t="s">
        <v>5342</v>
      </c>
      <c r="E135" s="23" t="s">
        <v>601</v>
      </c>
      <c r="F135" s="23" t="s">
        <v>5343</v>
      </c>
      <c r="G135" s="22">
        <v>2013</v>
      </c>
      <c r="H135" s="24">
        <v>41229</v>
      </c>
      <c r="I135" s="26" t="s">
        <v>5344</v>
      </c>
      <c r="J135" s="27"/>
      <c r="K135" s="26" t="s">
        <v>602</v>
      </c>
      <c r="L135" s="27"/>
      <c r="M135" s="27"/>
    </row>
    <row r="136" spans="1:13" ht="15.75" customHeight="1">
      <c r="A136" s="22">
        <v>30060604</v>
      </c>
      <c r="B136" s="23" t="s">
        <v>5345</v>
      </c>
      <c r="C136" s="23" t="s">
        <v>5346</v>
      </c>
      <c r="D136" s="23" t="s">
        <v>5347</v>
      </c>
      <c r="E136" s="23" t="s">
        <v>3882</v>
      </c>
      <c r="F136" s="23" t="s">
        <v>4842</v>
      </c>
      <c r="G136" s="22">
        <v>2018</v>
      </c>
      <c r="H136" s="24">
        <v>43313</v>
      </c>
      <c r="I136" s="26" t="s">
        <v>5348</v>
      </c>
      <c r="J136" s="27"/>
      <c r="K136" s="26" t="s">
        <v>3883</v>
      </c>
      <c r="L136" s="27"/>
      <c r="M136" s="23"/>
    </row>
    <row r="137" spans="1:13" ht="15.75" customHeight="1">
      <c r="A137" s="22">
        <v>15543572</v>
      </c>
      <c r="B137" s="23" t="s">
        <v>5349</v>
      </c>
      <c r="C137" s="23" t="s">
        <v>5350</v>
      </c>
      <c r="D137" s="23" t="s">
        <v>5351</v>
      </c>
      <c r="E137" s="23" t="s">
        <v>3389</v>
      </c>
      <c r="F137" s="23" t="s">
        <v>4923</v>
      </c>
      <c r="G137" s="22">
        <v>2005</v>
      </c>
      <c r="H137" s="24">
        <v>38307</v>
      </c>
      <c r="I137" s="23"/>
      <c r="J137" s="23"/>
      <c r="K137" s="26" t="s">
        <v>3390</v>
      </c>
      <c r="L137" s="27"/>
      <c r="M137" s="23"/>
    </row>
    <row r="138" spans="1:13" ht="15.75" customHeight="1">
      <c r="A138" s="22">
        <v>13129768</v>
      </c>
      <c r="B138" s="23" t="s">
        <v>5352</v>
      </c>
      <c r="C138" s="23" t="s">
        <v>5353</v>
      </c>
      <c r="D138" s="23" t="s">
        <v>5354</v>
      </c>
      <c r="E138" s="23" t="s">
        <v>2768</v>
      </c>
      <c r="F138" s="23" t="s">
        <v>4961</v>
      </c>
      <c r="G138" s="22">
        <v>2003</v>
      </c>
      <c r="H138" s="24">
        <v>37882</v>
      </c>
      <c r="I138" s="23"/>
      <c r="J138" s="23"/>
      <c r="K138" s="26" t="s">
        <v>2769</v>
      </c>
      <c r="L138" s="27"/>
      <c r="M138" s="27"/>
    </row>
    <row r="139" spans="1:13" ht="15.75" customHeight="1">
      <c r="A139" s="22">
        <v>16541415</v>
      </c>
      <c r="B139" s="23" t="s">
        <v>5355</v>
      </c>
      <c r="C139" s="23" t="s">
        <v>5356</v>
      </c>
      <c r="D139" s="23" t="s">
        <v>5357</v>
      </c>
      <c r="E139" s="23" t="s">
        <v>4566</v>
      </c>
      <c r="F139" s="23" t="s">
        <v>5358</v>
      </c>
      <c r="G139" s="22">
        <v>2006</v>
      </c>
      <c r="H139" s="24">
        <v>38793</v>
      </c>
      <c r="I139" s="23"/>
      <c r="J139" s="23"/>
      <c r="K139" s="26" t="s">
        <v>4567</v>
      </c>
      <c r="L139" s="27"/>
      <c r="M139" s="23"/>
    </row>
    <row r="140" spans="1:13" ht="15.75" customHeight="1">
      <c r="A140" s="22">
        <v>16323134</v>
      </c>
      <c r="B140" s="23" t="s">
        <v>5359</v>
      </c>
      <c r="C140" s="23" t="s">
        <v>5360</v>
      </c>
      <c r="D140" s="23" t="s">
        <v>5361</v>
      </c>
      <c r="E140" s="23" t="s">
        <v>151</v>
      </c>
      <c r="F140" s="23" t="s">
        <v>4992</v>
      </c>
      <c r="G140" s="22">
        <v>2006</v>
      </c>
      <c r="H140" s="24">
        <v>38689</v>
      </c>
      <c r="I140" s="23"/>
      <c r="J140" s="23"/>
      <c r="K140" s="26" t="s">
        <v>394</v>
      </c>
      <c r="L140" s="27"/>
      <c r="M140" s="23"/>
    </row>
    <row r="141" spans="1:13" ht="15.75" customHeight="1">
      <c r="A141" s="22">
        <v>28835501</v>
      </c>
      <c r="B141" s="23" t="s">
        <v>5362</v>
      </c>
      <c r="C141" s="23" t="s">
        <v>5363</v>
      </c>
      <c r="D141" s="23" t="s">
        <v>5364</v>
      </c>
      <c r="E141" s="23" t="s">
        <v>4700</v>
      </c>
      <c r="F141" s="23" t="s">
        <v>4891</v>
      </c>
      <c r="G141" s="22">
        <v>2017</v>
      </c>
      <c r="H141" s="24">
        <v>42972</v>
      </c>
      <c r="I141" s="26" t="s">
        <v>5365</v>
      </c>
      <c r="J141" s="27"/>
      <c r="K141" s="26" t="s">
        <v>4701</v>
      </c>
      <c r="L141" s="27"/>
      <c r="M141" s="23"/>
    </row>
    <row r="142" spans="1:13" ht="15.75" customHeight="1">
      <c r="A142" s="22">
        <v>1656093</v>
      </c>
      <c r="B142" s="23" t="s">
        <v>5366</v>
      </c>
      <c r="C142" s="23" t="s">
        <v>5367</v>
      </c>
      <c r="D142" s="23" t="s">
        <v>5368</v>
      </c>
      <c r="E142" s="23" t="s">
        <v>4500</v>
      </c>
      <c r="F142" s="23" t="s">
        <v>4891</v>
      </c>
      <c r="G142" s="22">
        <v>1991</v>
      </c>
      <c r="H142" s="24">
        <v>33543</v>
      </c>
      <c r="I142" s="23" t="s">
        <v>5369</v>
      </c>
      <c r="J142" s="23"/>
      <c r="K142" s="26" t="s">
        <v>4501</v>
      </c>
      <c r="L142" s="27"/>
      <c r="M142" s="27"/>
    </row>
    <row r="143" spans="1:13" ht="15.75" customHeight="1">
      <c r="A143" s="22">
        <v>10482553</v>
      </c>
      <c r="B143" s="23" t="s">
        <v>5370</v>
      </c>
      <c r="C143" s="23" t="s">
        <v>5371</v>
      </c>
      <c r="D143" s="23" t="s">
        <v>5372</v>
      </c>
      <c r="E143" s="23" t="s">
        <v>1893</v>
      </c>
      <c r="F143" s="23" t="s">
        <v>4891</v>
      </c>
      <c r="G143" s="22">
        <v>1999</v>
      </c>
      <c r="H143" s="24">
        <v>36414</v>
      </c>
      <c r="I143" s="23" t="s">
        <v>5373</v>
      </c>
      <c r="J143" s="23"/>
      <c r="K143" s="26" t="s">
        <v>1894</v>
      </c>
      <c r="L143" s="27"/>
      <c r="M143" s="27"/>
    </row>
    <row r="144" spans="1:13" ht="15.75" customHeight="1">
      <c r="A144" s="22">
        <v>8390614</v>
      </c>
      <c r="B144" s="23" t="s">
        <v>5374</v>
      </c>
      <c r="C144" s="23" t="s">
        <v>5375</v>
      </c>
      <c r="D144" s="23" t="s">
        <v>5376</v>
      </c>
      <c r="E144" s="23" t="s">
        <v>539</v>
      </c>
      <c r="F144" s="23" t="s">
        <v>5377</v>
      </c>
      <c r="G144" s="22">
        <v>1993</v>
      </c>
      <c r="H144" s="24">
        <v>34165</v>
      </c>
      <c r="I144" s="23"/>
      <c r="J144" s="23"/>
      <c r="K144" s="26" t="s">
        <v>1701</v>
      </c>
      <c r="L144" s="27"/>
      <c r="M144" s="27"/>
    </row>
    <row r="145" spans="1:13" ht="15.75" customHeight="1">
      <c r="A145" s="22">
        <v>20304745</v>
      </c>
      <c r="B145" s="23" t="s">
        <v>5378</v>
      </c>
      <c r="C145" s="23" t="s">
        <v>5379</v>
      </c>
      <c r="D145" s="23" t="s">
        <v>5380</v>
      </c>
      <c r="E145" s="23" t="s">
        <v>3476</v>
      </c>
      <c r="F145" s="23" t="s">
        <v>5381</v>
      </c>
      <c r="G145" s="22">
        <v>2010</v>
      </c>
      <c r="H145" s="24">
        <v>40260</v>
      </c>
      <c r="I145" s="23"/>
      <c r="J145" s="23"/>
      <c r="K145" s="26" t="s">
        <v>3477</v>
      </c>
      <c r="L145" s="27"/>
      <c r="M145" s="23"/>
    </row>
    <row r="146" spans="1:13" ht="15.75" customHeight="1">
      <c r="A146" s="22">
        <v>2161152</v>
      </c>
      <c r="B146" s="23" t="s">
        <v>5382</v>
      </c>
      <c r="C146" s="23" t="s">
        <v>5383</v>
      </c>
      <c r="D146" s="23" t="s">
        <v>5384</v>
      </c>
      <c r="E146" s="23" t="s">
        <v>3466</v>
      </c>
      <c r="F146" s="23" t="s">
        <v>4950</v>
      </c>
      <c r="G146" s="22">
        <v>1990</v>
      </c>
      <c r="H146" s="24">
        <v>33025</v>
      </c>
      <c r="I146" s="23"/>
      <c r="J146" s="23"/>
      <c r="K146" s="26" t="s">
        <v>3467</v>
      </c>
      <c r="L146" s="27"/>
      <c r="M146" s="27"/>
    </row>
    <row r="147" spans="1:13" ht="15.75" customHeight="1">
      <c r="A147" s="22">
        <v>1657544</v>
      </c>
      <c r="B147" s="23" t="s">
        <v>5385</v>
      </c>
      <c r="C147" s="23" t="s">
        <v>5386</v>
      </c>
      <c r="D147" s="23" t="s">
        <v>5387</v>
      </c>
      <c r="E147" s="23" t="s">
        <v>1609</v>
      </c>
      <c r="F147" s="23" t="s">
        <v>5388</v>
      </c>
      <c r="G147" s="22">
        <v>1991</v>
      </c>
      <c r="H147" s="24">
        <v>33270</v>
      </c>
      <c r="I147" s="23"/>
      <c r="J147" s="23"/>
      <c r="K147" s="23"/>
      <c r="L147" s="23"/>
      <c r="M147" s="23"/>
    </row>
    <row r="148" spans="1:13" ht="15.75" customHeight="1">
      <c r="A148" s="22">
        <v>38407786</v>
      </c>
      <c r="B148" s="23" t="s">
        <v>5389</v>
      </c>
      <c r="C148" s="23" t="s">
        <v>5390</v>
      </c>
      <c r="D148" s="23" t="s">
        <v>5391</v>
      </c>
      <c r="E148" s="23" t="s">
        <v>151</v>
      </c>
      <c r="F148" s="23" t="s">
        <v>4927</v>
      </c>
      <c r="G148" s="22">
        <v>2024</v>
      </c>
      <c r="H148" s="24">
        <v>45348</v>
      </c>
      <c r="I148" s="26" t="s">
        <v>5392</v>
      </c>
      <c r="J148" s="27"/>
      <c r="K148" s="26" t="s">
        <v>1026</v>
      </c>
      <c r="L148" s="27"/>
      <c r="M148" s="27"/>
    </row>
    <row r="149" spans="1:13" ht="15.75" customHeight="1">
      <c r="A149" s="22">
        <v>24006442</v>
      </c>
      <c r="B149" s="23" t="s">
        <v>5393</v>
      </c>
      <c r="C149" s="23" t="s">
        <v>5394</v>
      </c>
      <c r="D149" s="23" t="s">
        <v>5395</v>
      </c>
      <c r="E149" s="23" t="s">
        <v>4207</v>
      </c>
      <c r="F149" s="23" t="s">
        <v>4891</v>
      </c>
      <c r="G149" s="22">
        <v>2013</v>
      </c>
      <c r="H149" s="24">
        <v>41523</v>
      </c>
      <c r="I149" s="26" t="s">
        <v>5396</v>
      </c>
      <c r="J149" s="27"/>
      <c r="K149" s="26" t="s">
        <v>4208</v>
      </c>
      <c r="L149" s="27"/>
      <c r="M149" s="23"/>
    </row>
    <row r="150" spans="1:13" ht="15.75" customHeight="1">
      <c r="A150" s="22">
        <v>22537811</v>
      </c>
      <c r="B150" s="23" t="s">
        <v>5397</v>
      </c>
      <c r="C150" s="23" t="s">
        <v>5398</v>
      </c>
      <c r="D150" s="23" t="s">
        <v>5399</v>
      </c>
      <c r="E150" s="23" t="s">
        <v>2642</v>
      </c>
      <c r="F150" s="23" t="s">
        <v>4950</v>
      </c>
      <c r="G150" s="22">
        <v>2012</v>
      </c>
      <c r="H150" s="24">
        <v>41027</v>
      </c>
      <c r="I150" s="23"/>
      <c r="J150" s="23"/>
      <c r="K150" s="26" t="s">
        <v>2643</v>
      </c>
      <c r="L150" s="27"/>
      <c r="M150" s="27"/>
    </row>
    <row r="151" spans="1:13" ht="15.75" customHeight="1">
      <c r="A151" s="22">
        <v>15543581</v>
      </c>
      <c r="B151" s="23" t="s">
        <v>5400</v>
      </c>
      <c r="C151" s="23" t="s">
        <v>5401</v>
      </c>
      <c r="D151" s="23" t="s">
        <v>5402</v>
      </c>
      <c r="E151" s="23" t="s">
        <v>1788</v>
      </c>
      <c r="F151" s="23" t="s">
        <v>4923</v>
      </c>
      <c r="G151" s="22">
        <v>2005</v>
      </c>
      <c r="H151" s="24">
        <v>38307</v>
      </c>
      <c r="I151" s="23"/>
      <c r="J151" s="23"/>
      <c r="K151" s="26" t="s">
        <v>1791</v>
      </c>
      <c r="L151" s="27"/>
      <c r="M151" s="23"/>
    </row>
    <row r="152" spans="1:13" ht="15.75" customHeight="1">
      <c r="A152" s="22">
        <v>22701693</v>
      </c>
      <c r="B152" s="23" t="s">
        <v>5403</v>
      </c>
      <c r="C152" s="23" t="s">
        <v>5404</v>
      </c>
      <c r="D152" s="23" t="s">
        <v>5405</v>
      </c>
      <c r="E152" s="23" t="s">
        <v>3402</v>
      </c>
      <c r="F152" s="23" t="s">
        <v>4978</v>
      </c>
      <c r="G152" s="22">
        <v>2012</v>
      </c>
      <c r="H152" s="24">
        <v>41076</v>
      </c>
      <c r="I152" s="26" t="s">
        <v>5406</v>
      </c>
      <c r="J152" s="27"/>
      <c r="K152" s="26" t="s">
        <v>3403</v>
      </c>
      <c r="L152" s="27"/>
      <c r="M152" s="27"/>
    </row>
    <row r="153" spans="1:13" ht="15.75" customHeight="1">
      <c r="A153" s="22">
        <v>24703390</v>
      </c>
      <c r="B153" s="23" t="s">
        <v>5407</v>
      </c>
      <c r="C153" s="23" t="s">
        <v>5408</v>
      </c>
      <c r="D153" s="23" t="s">
        <v>5409</v>
      </c>
      <c r="E153" s="23" t="s">
        <v>221</v>
      </c>
      <c r="F153" s="23" t="s">
        <v>4974</v>
      </c>
      <c r="G153" s="22">
        <v>2014</v>
      </c>
      <c r="H153" s="24">
        <v>41737</v>
      </c>
      <c r="I153" s="23" t="s">
        <v>5410</v>
      </c>
      <c r="J153" s="23" t="s">
        <v>5411</v>
      </c>
      <c r="K153" s="26" t="s">
        <v>2367</v>
      </c>
      <c r="L153" s="27"/>
      <c r="M153" s="23"/>
    </row>
    <row r="154" spans="1:13" ht="15.75" customHeight="1">
      <c r="A154" s="22">
        <v>1335933</v>
      </c>
      <c r="B154" s="23" t="s">
        <v>5412</v>
      </c>
      <c r="C154" s="23" t="s">
        <v>5413</v>
      </c>
      <c r="D154" s="23" t="s">
        <v>5414</v>
      </c>
      <c r="E154" s="23" t="s">
        <v>2094</v>
      </c>
      <c r="F154" s="23" t="s">
        <v>5415</v>
      </c>
      <c r="G154" s="22">
        <v>1992</v>
      </c>
      <c r="H154" s="24">
        <v>33604</v>
      </c>
      <c r="I154" s="23"/>
      <c r="J154" s="23"/>
      <c r="K154" s="23"/>
      <c r="L154" s="23"/>
      <c r="M154" s="23"/>
    </row>
    <row r="155" spans="1:13" ht="15.75" customHeight="1">
      <c r="A155" s="22">
        <v>34973500</v>
      </c>
      <c r="B155" s="23" t="s">
        <v>5416</v>
      </c>
      <c r="C155" s="23" t="s">
        <v>5417</v>
      </c>
      <c r="D155" s="23" t="s">
        <v>5418</v>
      </c>
      <c r="E155" s="23" t="s">
        <v>4522</v>
      </c>
      <c r="F155" s="23" t="s">
        <v>5419</v>
      </c>
      <c r="G155" s="22">
        <v>2022</v>
      </c>
      <c r="H155" s="24">
        <v>44562</v>
      </c>
      <c r="I155" s="23"/>
      <c r="J155" s="23"/>
      <c r="K155" s="26" t="s">
        <v>4523</v>
      </c>
      <c r="L155" s="27"/>
      <c r="M155" s="27"/>
    </row>
    <row r="156" spans="1:13" ht="15.75" customHeight="1">
      <c r="A156" s="22">
        <v>18687640</v>
      </c>
      <c r="B156" s="23" t="s">
        <v>5420</v>
      </c>
      <c r="C156" s="23" t="s">
        <v>5421</v>
      </c>
      <c r="D156" s="23" t="s">
        <v>5422</v>
      </c>
      <c r="E156" s="23" t="s">
        <v>273</v>
      </c>
      <c r="F156" s="23" t="s">
        <v>5377</v>
      </c>
      <c r="G156" s="22">
        <v>2008</v>
      </c>
      <c r="H156" s="24">
        <v>39669</v>
      </c>
      <c r="I156" s="23"/>
      <c r="J156" s="23"/>
      <c r="K156" s="26" t="s">
        <v>3636</v>
      </c>
      <c r="L156" s="27"/>
      <c r="M156" s="23"/>
    </row>
    <row r="157" spans="1:13" ht="15.75" customHeight="1">
      <c r="A157" s="22">
        <v>17913805</v>
      </c>
      <c r="B157" s="23" t="s">
        <v>5423</v>
      </c>
      <c r="C157" s="23" t="s">
        <v>5424</v>
      </c>
      <c r="D157" s="23" t="s">
        <v>5425</v>
      </c>
      <c r="E157" s="23" t="s">
        <v>3242</v>
      </c>
      <c r="F157" s="23" t="s">
        <v>4891</v>
      </c>
      <c r="G157" s="22">
        <v>2007</v>
      </c>
      <c r="H157" s="24">
        <v>39360</v>
      </c>
      <c r="I157" s="26" t="s">
        <v>5426</v>
      </c>
      <c r="J157" s="27"/>
      <c r="K157" s="26" t="s">
        <v>3243</v>
      </c>
      <c r="L157" s="27"/>
      <c r="M157" s="23"/>
    </row>
    <row r="158" spans="1:13" ht="15.75" customHeight="1">
      <c r="A158" s="22">
        <v>26945690</v>
      </c>
      <c r="B158" s="23" t="s">
        <v>5427</v>
      </c>
      <c r="C158" s="23" t="s">
        <v>5428</v>
      </c>
      <c r="D158" s="23" t="s">
        <v>5429</v>
      </c>
      <c r="E158" s="23" t="s">
        <v>654</v>
      </c>
      <c r="F158" s="23" t="s">
        <v>4923</v>
      </c>
      <c r="G158" s="22">
        <v>2016</v>
      </c>
      <c r="H158" s="24">
        <v>42436</v>
      </c>
      <c r="I158" s="23"/>
      <c r="J158" s="23"/>
      <c r="K158" s="26" t="s">
        <v>2481</v>
      </c>
      <c r="L158" s="27"/>
      <c r="M158" s="23"/>
    </row>
    <row r="159" spans="1:13" ht="15.75" customHeight="1">
      <c r="A159" s="22">
        <v>1337259</v>
      </c>
      <c r="B159" s="23" t="s">
        <v>5430</v>
      </c>
      <c r="C159" s="23" t="s">
        <v>5431</v>
      </c>
      <c r="D159" s="23" t="s">
        <v>5432</v>
      </c>
      <c r="E159" s="23" t="s">
        <v>1654</v>
      </c>
      <c r="F159" s="23" t="s">
        <v>5433</v>
      </c>
      <c r="G159" s="22">
        <v>1992</v>
      </c>
      <c r="H159" s="24">
        <v>33939</v>
      </c>
      <c r="I159" s="23"/>
      <c r="J159" s="23"/>
      <c r="K159" s="26" t="s">
        <v>1657</v>
      </c>
      <c r="L159" s="27"/>
      <c r="M159" s="23"/>
    </row>
    <row r="160" spans="1:13" ht="15.75" customHeight="1">
      <c r="A160" s="22">
        <v>28244148</v>
      </c>
      <c r="B160" s="23" t="s">
        <v>5434</v>
      </c>
      <c r="C160" s="23" t="s">
        <v>5435</v>
      </c>
      <c r="D160" s="23" t="s">
        <v>5436</v>
      </c>
      <c r="E160" s="23" t="s">
        <v>1493</v>
      </c>
      <c r="F160" s="23" t="s">
        <v>5437</v>
      </c>
      <c r="G160" s="22">
        <v>2017</v>
      </c>
      <c r="H160" s="24">
        <v>42795</v>
      </c>
      <c r="I160" s="23"/>
      <c r="J160" s="23"/>
      <c r="K160" s="26" t="s">
        <v>1494</v>
      </c>
      <c r="L160" s="27"/>
      <c r="M160" s="23"/>
    </row>
    <row r="161" spans="1:13" ht="15.75" customHeight="1">
      <c r="A161" s="22">
        <v>15650224</v>
      </c>
      <c r="B161" s="23" t="s">
        <v>5438</v>
      </c>
      <c r="C161" s="23" t="s">
        <v>5439</v>
      </c>
      <c r="D161" s="23" t="s">
        <v>5440</v>
      </c>
      <c r="E161" s="23" t="s">
        <v>3492</v>
      </c>
      <c r="F161" s="23" t="s">
        <v>4891</v>
      </c>
      <c r="G161" s="22">
        <v>2005</v>
      </c>
      <c r="H161" s="24">
        <v>38367</v>
      </c>
      <c r="I161" s="23" t="s">
        <v>5441</v>
      </c>
      <c r="J161" s="23"/>
      <c r="K161" s="26" t="s">
        <v>3493</v>
      </c>
      <c r="L161" s="27"/>
      <c r="M161" s="27"/>
    </row>
    <row r="162" spans="1:13" ht="15.75" customHeight="1">
      <c r="A162" s="22">
        <v>12923440</v>
      </c>
      <c r="B162" s="23" t="s">
        <v>5442</v>
      </c>
      <c r="C162" s="23" t="s">
        <v>5443</v>
      </c>
      <c r="D162" s="23" t="s">
        <v>5444</v>
      </c>
      <c r="E162" s="23" t="s">
        <v>2294</v>
      </c>
      <c r="F162" s="23" t="s">
        <v>5445</v>
      </c>
      <c r="G162" s="22">
        <v>2003</v>
      </c>
      <c r="H162" s="24">
        <v>37852</v>
      </c>
      <c r="I162" s="23"/>
      <c r="J162" s="23"/>
      <c r="K162" s="26" t="s">
        <v>2295</v>
      </c>
      <c r="L162" s="27"/>
      <c r="M162" s="27"/>
    </row>
    <row r="163" spans="1:13" ht="15.75" customHeight="1">
      <c r="A163" s="22">
        <v>19856545</v>
      </c>
      <c r="B163" s="23" t="s">
        <v>5446</v>
      </c>
      <c r="C163" s="23" t="s">
        <v>5447</v>
      </c>
      <c r="D163" s="23" t="s">
        <v>5448</v>
      </c>
      <c r="E163" s="23" t="s">
        <v>1664</v>
      </c>
      <c r="F163" s="23" t="s">
        <v>5449</v>
      </c>
      <c r="G163" s="22">
        <v>2008</v>
      </c>
      <c r="H163" s="24">
        <v>40114</v>
      </c>
      <c r="I163" s="23"/>
      <c r="J163" s="23"/>
      <c r="K163" s="23"/>
      <c r="L163" s="23"/>
      <c r="M163" s="23"/>
    </row>
    <row r="164" spans="1:13" ht="15.75" customHeight="1">
      <c r="A164" s="22">
        <v>10855769</v>
      </c>
      <c r="B164" s="23" t="s">
        <v>5450</v>
      </c>
      <c r="C164" s="23" t="s">
        <v>5451</v>
      </c>
      <c r="D164" s="23" t="s">
        <v>5452</v>
      </c>
      <c r="E164" s="23" t="s">
        <v>2214</v>
      </c>
      <c r="F164" s="23" t="s">
        <v>5453</v>
      </c>
      <c r="G164" s="22">
        <v>2000</v>
      </c>
      <c r="H164" s="24">
        <v>36693</v>
      </c>
      <c r="I164" s="23"/>
      <c r="J164" s="23"/>
      <c r="K164" s="26" t="s">
        <v>2215</v>
      </c>
      <c r="L164" s="27"/>
      <c r="M164" s="27"/>
    </row>
    <row r="165" spans="1:13" ht="15.75" customHeight="1">
      <c r="A165" s="22">
        <v>10836387</v>
      </c>
      <c r="B165" s="23" t="s">
        <v>5454</v>
      </c>
      <c r="C165" s="23" t="s">
        <v>5455</v>
      </c>
      <c r="D165" s="23" t="s">
        <v>5456</v>
      </c>
      <c r="E165" s="23" t="s">
        <v>596</v>
      </c>
      <c r="F165" s="23" t="s">
        <v>5445</v>
      </c>
      <c r="G165" s="22">
        <v>2000</v>
      </c>
      <c r="H165" s="24">
        <v>36680</v>
      </c>
      <c r="I165" s="23"/>
      <c r="J165" s="23"/>
      <c r="K165" s="26" t="s">
        <v>599</v>
      </c>
      <c r="L165" s="27"/>
      <c r="M165" s="27"/>
    </row>
    <row r="166" spans="1:13" ht="15.75" customHeight="1">
      <c r="A166" s="22">
        <v>30067953</v>
      </c>
      <c r="B166" s="23" t="s">
        <v>5457</v>
      </c>
      <c r="C166" s="23" t="s">
        <v>5458</v>
      </c>
      <c r="D166" s="23" t="s">
        <v>5459</v>
      </c>
      <c r="E166" s="23" t="s">
        <v>271</v>
      </c>
      <c r="F166" s="23" t="s">
        <v>5076</v>
      </c>
      <c r="G166" s="22">
        <v>2018</v>
      </c>
      <c r="H166" s="24">
        <v>43314</v>
      </c>
      <c r="I166" s="23"/>
      <c r="J166" s="23"/>
      <c r="K166" s="26" t="s">
        <v>402</v>
      </c>
      <c r="L166" s="27"/>
      <c r="M166" s="27"/>
    </row>
    <row r="167" spans="1:13" ht="15.75" customHeight="1">
      <c r="A167" s="22">
        <v>22616807</v>
      </c>
      <c r="B167" s="23" t="s">
        <v>5460</v>
      </c>
      <c r="C167" s="23" t="s">
        <v>5461</v>
      </c>
      <c r="D167" s="23" t="s">
        <v>5462</v>
      </c>
      <c r="E167" s="23" t="s">
        <v>2926</v>
      </c>
      <c r="F167" s="23" t="s">
        <v>4900</v>
      </c>
      <c r="G167" s="22">
        <v>2012</v>
      </c>
      <c r="H167" s="24">
        <v>41053</v>
      </c>
      <c r="I167" s="23"/>
      <c r="J167" s="23"/>
      <c r="K167" s="26" t="s">
        <v>2927</v>
      </c>
      <c r="L167" s="27"/>
      <c r="M167" s="27"/>
    </row>
    <row r="168" spans="1:13" ht="15.75" customHeight="1">
      <c r="A168" s="22">
        <v>23454489</v>
      </c>
      <c r="B168" s="23" t="s">
        <v>5463</v>
      </c>
      <c r="C168" s="23" t="s">
        <v>5464</v>
      </c>
      <c r="D168" s="23" t="s">
        <v>5465</v>
      </c>
      <c r="E168" s="23" t="s">
        <v>2174</v>
      </c>
      <c r="F168" s="23" t="s">
        <v>5122</v>
      </c>
      <c r="G168" s="22">
        <v>2013</v>
      </c>
      <c r="H168" s="24">
        <v>41338</v>
      </c>
      <c r="I168" s="23"/>
      <c r="J168" s="23"/>
      <c r="K168" s="26" t="s">
        <v>2175</v>
      </c>
      <c r="L168" s="27"/>
      <c r="M168" s="27"/>
    </row>
    <row r="169" spans="1:13" ht="15.75" customHeight="1">
      <c r="A169" s="22">
        <v>9864048</v>
      </c>
      <c r="B169" s="23" t="s">
        <v>5466</v>
      </c>
      <c r="C169" s="23" t="s">
        <v>5467</v>
      </c>
      <c r="D169" s="23" t="s">
        <v>5468</v>
      </c>
      <c r="E169" s="23" t="s">
        <v>4621</v>
      </c>
      <c r="F169" s="23" t="s">
        <v>5469</v>
      </c>
      <c r="G169" s="22">
        <v>1998</v>
      </c>
      <c r="H169" s="24">
        <v>36153</v>
      </c>
      <c r="I169" s="23"/>
      <c r="J169" s="23"/>
      <c r="K169" s="26" t="s">
        <v>4624</v>
      </c>
      <c r="L169" s="27"/>
      <c r="M169" s="27"/>
    </row>
    <row r="170" spans="1:13" ht="15.75" customHeight="1">
      <c r="A170" s="22">
        <v>25255164</v>
      </c>
      <c r="B170" s="23" t="s">
        <v>5470</v>
      </c>
      <c r="C170" s="23" t="s">
        <v>5471</v>
      </c>
      <c r="D170" s="23" t="s">
        <v>5472</v>
      </c>
      <c r="E170" s="23" t="s">
        <v>221</v>
      </c>
      <c r="F170" s="23" t="s">
        <v>5076</v>
      </c>
      <c r="G170" s="22">
        <v>2015</v>
      </c>
      <c r="H170" s="24">
        <v>41908</v>
      </c>
      <c r="I170" s="23" t="s">
        <v>5473</v>
      </c>
      <c r="J170" s="23" t="s">
        <v>5474</v>
      </c>
      <c r="K170" s="26" t="s">
        <v>627</v>
      </c>
      <c r="L170" s="27"/>
      <c r="M170" s="27"/>
    </row>
    <row r="171" spans="1:13" ht="15.75" customHeight="1">
      <c r="A171" s="22">
        <v>9465691</v>
      </c>
      <c r="B171" s="23" t="s">
        <v>5475</v>
      </c>
      <c r="C171" s="23" t="s">
        <v>5476</v>
      </c>
      <c r="D171" s="23" t="s">
        <v>5477</v>
      </c>
      <c r="E171" s="23" t="s">
        <v>4115</v>
      </c>
      <c r="F171" s="23" t="s">
        <v>5031</v>
      </c>
      <c r="G171" s="22">
        <v>1998</v>
      </c>
      <c r="H171" s="24">
        <v>35844</v>
      </c>
      <c r="I171" s="23"/>
      <c r="J171" s="23"/>
      <c r="K171" s="23"/>
      <c r="L171" s="23"/>
      <c r="M171" s="23"/>
    </row>
    <row r="172" spans="1:13" ht="15.75" customHeight="1">
      <c r="A172" s="22">
        <v>33378595</v>
      </c>
      <c r="B172" s="23" t="s">
        <v>5478</v>
      </c>
      <c r="C172" s="23" t="s">
        <v>5479</v>
      </c>
      <c r="D172" s="23" t="s">
        <v>5480</v>
      </c>
      <c r="E172" s="23" t="s">
        <v>1939</v>
      </c>
      <c r="F172" s="23" t="s">
        <v>4974</v>
      </c>
      <c r="G172" s="22">
        <v>2021</v>
      </c>
      <c r="H172" s="24">
        <v>44195</v>
      </c>
      <c r="I172" s="23"/>
      <c r="J172" s="23"/>
      <c r="K172" s="26" t="s">
        <v>1940</v>
      </c>
      <c r="L172" s="27"/>
      <c r="M172" s="23"/>
    </row>
    <row r="173" spans="1:13" ht="15.75" customHeight="1">
      <c r="A173" s="22">
        <v>30842329</v>
      </c>
      <c r="B173" s="23" t="s">
        <v>5481</v>
      </c>
      <c r="C173" s="23" t="s">
        <v>5482</v>
      </c>
      <c r="D173" s="23" t="s">
        <v>5483</v>
      </c>
      <c r="E173" s="23" t="s">
        <v>4407</v>
      </c>
      <c r="F173" s="23" t="s">
        <v>4891</v>
      </c>
      <c r="G173" s="22">
        <v>2019</v>
      </c>
      <c r="H173" s="24">
        <v>43532</v>
      </c>
      <c r="I173" s="26" t="s">
        <v>5484</v>
      </c>
      <c r="J173" s="27"/>
      <c r="K173" s="26" t="s">
        <v>4408</v>
      </c>
      <c r="L173" s="27"/>
      <c r="M173" s="23"/>
    </row>
    <row r="174" spans="1:13" ht="15.75" customHeight="1">
      <c r="A174" s="22">
        <v>20838386</v>
      </c>
      <c r="B174" s="23" t="s">
        <v>5485</v>
      </c>
      <c r="C174" s="23" t="s">
        <v>5486</v>
      </c>
      <c r="D174" s="23" t="s">
        <v>5487</v>
      </c>
      <c r="E174" s="23" t="s">
        <v>186</v>
      </c>
      <c r="F174" s="23" t="s">
        <v>4863</v>
      </c>
      <c r="G174" s="22">
        <v>2011</v>
      </c>
      <c r="H174" s="24">
        <v>40436</v>
      </c>
      <c r="I174" s="23"/>
      <c r="J174" s="23"/>
      <c r="K174" s="26" t="s">
        <v>367</v>
      </c>
      <c r="L174" s="27"/>
      <c r="M174" s="23"/>
    </row>
    <row r="175" spans="1:13" ht="15.75" customHeight="1">
      <c r="A175" s="22">
        <v>31063196</v>
      </c>
      <c r="B175" s="23" t="s">
        <v>5488</v>
      </c>
      <c r="C175" s="23" t="s">
        <v>5489</v>
      </c>
      <c r="D175" s="23" t="s">
        <v>5490</v>
      </c>
      <c r="E175" s="23" t="s">
        <v>775</v>
      </c>
      <c r="F175" s="23" t="s">
        <v>4992</v>
      </c>
      <c r="G175" s="22">
        <v>2019</v>
      </c>
      <c r="H175" s="24">
        <v>43593</v>
      </c>
      <c r="I175" s="23"/>
      <c r="J175" s="23"/>
      <c r="K175" s="26" t="s">
        <v>778</v>
      </c>
      <c r="L175" s="27"/>
      <c r="M175" s="23"/>
    </row>
    <row r="176" spans="1:13" ht="15.75" customHeight="1">
      <c r="A176" s="22">
        <v>17951989</v>
      </c>
      <c r="B176" s="23" t="s">
        <v>5491</v>
      </c>
      <c r="C176" s="23" t="s">
        <v>5492</v>
      </c>
      <c r="D176" s="23" t="s">
        <v>5493</v>
      </c>
      <c r="E176" s="23" t="s">
        <v>3500</v>
      </c>
      <c r="F176" s="23" t="s">
        <v>5163</v>
      </c>
      <c r="G176" s="22">
        <v>2007</v>
      </c>
      <c r="H176" s="24">
        <v>39379</v>
      </c>
      <c r="I176" s="23"/>
      <c r="J176" s="23"/>
      <c r="K176" s="26" t="s">
        <v>3501</v>
      </c>
      <c r="L176" s="27"/>
      <c r="M176" s="27"/>
    </row>
    <row r="177" spans="1:13" ht="15.75" customHeight="1">
      <c r="A177" s="22">
        <v>2169499</v>
      </c>
      <c r="B177" s="23" t="s">
        <v>5494</v>
      </c>
      <c r="C177" s="23" t="s">
        <v>5495</v>
      </c>
      <c r="D177" s="23" t="s">
        <v>5496</v>
      </c>
      <c r="E177" s="23" t="s">
        <v>4500</v>
      </c>
      <c r="F177" s="23" t="s">
        <v>4992</v>
      </c>
      <c r="G177" s="22">
        <v>1990</v>
      </c>
      <c r="H177" s="24">
        <v>33147</v>
      </c>
      <c r="I177" s="23"/>
      <c r="J177" s="23"/>
      <c r="K177" s="26" t="s">
        <v>4503</v>
      </c>
      <c r="L177" s="27"/>
      <c r="M177" s="23"/>
    </row>
    <row r="178" spans="1:13" ht="15.75" customHeight="1">
      <c r="A178" s="22">
        <v>1661364</v>
      </c>
      <c r="B178" s="23" t="s">
        <v>5497</v>
      </c>
      <c r="C178" s="23" t="s">
        <v>5498</v>
      </c>
      <c r="D178" s="23" t="s">
        <v>5499</v>
      </c>
      <c r="E178" s="23" t="s">
        <v>4514</v>
      </c>
      <c r="F178" s="23" t="s">
        <v>5163</v>
      </c>
      <c r="G178" s="22">
        <v>1991</v>
      </c>
      <c r="H178" s="24">
        <v>33239</v>
      </c>
      <c r="I178" s="23"/>
      <c r="J178" s="23"/>
      <c r="K178" s="26" t="s">
        <v>4515</v>
      </c>
      <c r="L178" s="27"/>
      <c r="M178" s="27"/>
    </row>
    <row r="179" spans="1:13" ht="15.75" customHeight="1">
      <c r="A179" s="22">
        <v>33910132</v>
      </c>
      <c r="B179" s="23" t="s">
        <v>5500</v>
      </c>
      <c r="C179" s="23" t="s">
        <v>5501</v>
      </c>
      <c r="D179" s="23" t="s">
        <v>5502</v>
      </c>
      <c r="E179" s="23" t="s">
        <v>3566</v>
      </c>
      <c r="F179" s="23" t="s">
        <v>4896</v>
      </c>
      <c r="G179" s="22">
        <v>2021</v>
      </c>
      <c r="H179" s="24">
        <v>44314</v>
      </c>
      <c r="I179" s="23"/>
      <c r="J179" s="23"/>
      <c r="K179" s="26" t="s">
        <v>3567</v>
      </c>
      <c r="L179" s="27"/>
      <c r="M179" s="27"/>
    </row>
    <row r="180" spans="1:13" ht="15.75" customHeight="1">
      <c r="A180" s="22">
        <v>11774077</v>
      </c>
      <c r="B180" s="23" t="s">
        <v>5503</v>
      </c>
      <c r="C180" s="23" t="s">
        <v>5504</v>
      </c>
      <c r="D180" s="23" t="s">
        <v>5505</v>
      </c>
      <c r="E180" s="23" t="s">
        <v>197</v>
      </c>
      <c r="F180" s="23" t="s">
        <v>5080</v>
      </c>
      <c r="G180" s="22">
        <v>2002</v>
      </c>
      <c r="H180" s="24">
        <v>37261</v>
      </c>
      <c r="I180" s="23"/>
      <c r="J180" s="23"/>
      <c r="K180" s="26" t="s">
        <v>1012</v>
      </c>
      <c r="L180" s="27"/>
      <c r="M180" s="23"/>
    </row>
    <row r="181" spans="1:13" ht="15.75" customHeight="1">
      <c r="A181" s="22">
        <v>25462451</v>
      </c>
      <c r="B181" s="23" t="s">
        <v>5506</v>
      </c>
      <c r="C181" s="23" t="s">
        <v>5507</v>
      </c>
      <c r="D181" s="23" t="s">
        <v>5508</v>
      </c>
      <c r="E181" s="23" t="s">
        <v>2449</v>
      </c>
      <c r="F181" s="23" t="s">
        <v>4855</v>
      </c>
      <c r="G181" s="22">
        <v>2014</v>
      </c>
      <c r="H181" s="24">
        <v>41976</v>
      </c>
      <c r="I181" s="23"/>
      <c r="J181" s="23"/>
      <c r="K181" s="26" t="s">
        <v>2450</v>
      </c>
      <c r="L181" s="27"/>
      <c r="M181" s="27"/>
    </row>
    <row r="182" spans="1:13" ht="15.75" customHeight="1">
      <c r="A182" s="22">
        <v>23391825</v>
      </c>
      <c r="B182" s="23" t="s">
        <v>5509</v>
      </c>
      <c r="C182" s="23" t="s">
        <v>5510</v>
      </c>
      <c r="D182" s="23" t="s">
        <v>5511</v>
      </c>
      <c r="E182" s="23" t="s">
        <v>1559</v>
      </c>
      <c r="F182" s="23" t="s">
        <v>5267</v>
      </c>
      <c r="G182" s="22">
        <v>2013</v>
      </c>
      <c r="H182" s="24">
        <v>41314</v>
      </c>
      <c r="I182" s="23"/>
      <c r="J182" s="23"/>
      <c r="K182" s="26" t="s">
        <v>1560</v>
      </c>
      <c r="L182" s="27"/>
      <c r="M182" s="27"/>
    </row>
    <row r="183" spans="1:13" ht="15.75" customHeight="1">
      <c r="A183" s="22">
        <v>10097377</v>
      </c>
      <c r="B183" s="23" t="s">
        <v>5512</v>
      </c>
      <c r="C183" s="23" t="s">
        <v>5513</v>
      </c>
      <c r="D183" s="23" t="s">
        <v>5514</v>
      </c>
      <c r="E183" s="23" t="s">
        <v>2388</v>
      </c>
      <c r="F183" s="23" t="s">
        <v>5515</v>
      </c>
      <c r="G183" s="22">
        <v>1999</v>
      </c>
      <c r="H183" s="24">
        <v>36250</v>
      </c>
      <c r="I183" s="23"/>
      <c r="J183" s="23"/>
      <c r="K183" s="23"/>
      <c r="L183" s="23"/>
      <c r="M183" s="23"/>
    </row>
    <row r="184" spans="1:13" ht="15.75" customHeight="1">
      <c r="A184" s="22">
        <v>26458456</v>
      </c>
      <c r="B184" s="23" t="s">
        <v>5516</v>
      </c>
      <c r="C184" s="23" t="s">
        <v>4968</v>
      </c>
      <c r="D184" s="23" t="s">
        <v>5517</v>
      </c>
      <c r="E184" s="23" t="s">
        <v>151</v>
      </c>
      <c r="F184" s="23" t="s">
        <v>5047</v>
      </c>
      <c r="G184" s="22">
        <v>2015</v>
      </c>
      <c r="H184" s="24">
        <v>42291</v>
      </c>
      <c r="I184" s="23"/>
      <c r="J184" s="23"/>
      <c r="K184" s="26" t="s">
        <v>3422</v>
      </c>
      <c r="L184" s="27"/>
      <c r="M184" s="27"/>
    </row>
    <row r="185" spans="1:13" ht="15.75" customHeight="1">
      <c r="A185" s="22">
        <v>12097571</v>
      </c>
      <c r="B185" s="23" t="s">
        <v>5518</v>
      </c>
      <c r="C185" s="23" t="s">
        <v>5519</v>
      </c>
      <c r="D185" s="23" t="s">
        <v>5520</v>
      </c>
      <c r="E185" s="23" t="s">
        <v>3492</v>
      </c>
      <c r="F185" s="23" t="s">
        <v>4891</v>
      </c>
      <c r="G185" s="22">
        <v>2002</v>
      </c>
      <c r="H185" s="24">
        <v>37442</v>
      </c>
      <c r="I185" s="23" t="s">
        <v>5521</v>
      </c>
      <c r="J185" s="23"/>
      <c r="K185" s="26" t="s">
        <v>3495</v>
      </c>
      <c r="L185" s="27"/>
      <c r="M185" s="27"/>
    </row>
    <row r="186" spans="1:13" ht="15.75" customHeight="1">
      <c r="A186" s="22">
        <v>7681936</v>
      </c>
      <c r="B186" s="23" t="s">
        <v>5522</v>
      </c>
      <c r="C186" s="23" t="s">
        <v>5523</v>
      </c>
      <c r="D186" s="23" t="s">
        <v>5524</v>
      </c>
      <c r="E186" s="23" t="s">
        <v>3041</v>
      </c>
      <c r="F186" s="23" t="s">
        <v>4813</v>
      </c>
      <c r="G186" s="22">
        <v>1993</v>
      </c>
      <c r="H186" s="24">
        <v>34060</v>
      </c>
      <c r="I186" s="23"/>
      <c r="J186" s="23"/>
      <c r="K186" s="26" t="s">
        <v>3049</v>
      </c>
      <c r="L186" s="27"/>
      <c r="M186" s="23"/>
    </row>
    <row r="187" spans="1:13" ht="15.75" customHeight="1">
      <c r="A187" s="22">
        <v>9365899</v>
      </c>
      <c r="B187" s="23" t="s">
        <v>5525</v>
      </c>
      <c r="C187" s="23" t="s">
        <v>5526</v>
      </c>
      <c r="D187" s="23" t="s">
        <v>5527</v>
      </c>
      <c r="E187" s="23" t="s">
        <v>108</v>
      </c>
      <c r="F187" s="23" t="s">
        <v>4923</v>
      </c>
      <c r="G187" s="22">
        <v>1997</v>
      </c>
      <c r="H187" s="24">
        <v>35754</v>
      </c>
      <c r="I187" s="23"/>
      <c r="J187" s="23"/>
      <c r="K187" s="26" t="s">
        <v>312</v>
      </c>
      <c r="L187" s="27"/>
      <c r="M187" s="27"/>
    </row>
    <row r="188" spans="1:13" ht="15.75" customHeight="1">
      <c r="A188" s="22">
        <v>26761397</v>
      </c>
      <c r="B188" s="23" t="s">
        <v>5528</v>
      </c>
      <c r="C188" s="23" t="s">
        <v>5529</v>
      </c>
      <c r="D188" s="23" t="s">
        <v>5530</v>
      </c>
      <c r="E188" s="23" t="s">
        <v>3094</v>
      </c>
      <c r="F188" s="23" t="s">
        <v>4950</v>
      </c>
      <c r="G188" s="22">
        <v>2016</v>
      </c>
      <c r="H188" s="24">
        <v>42383</v>
      </c>
      <c r="I188" s="23"/>
      <c r="J188" s="23"/>
      <c r="K188" s="26" t="s">
        <v>3095</v>
      </c>
      <c r="L188" s="27"/>
      <c r="M188" s="27"/>
    </row>
    <row r="189" spans="1:13" ht="15.75" customHeight="1">
      <c r="A189" s="22">
        <v>10568761</v>
      </c>
      <c r="B189" s="23" t="s">
        <v>5531</v>
      </c>
      <c r="C189" s="23" t="s">
        <v>5532</v>
      </c>
      <c r="D189" s="23" t="s">
        <v>5533</v>
      </c>
      <c r="E189" s="23" t="s">
        <v>760</v>
      </c>
      <c r="F189" s="23" t="s">
        <v>4923</v>
      </c>
      <c r="G189" s="22">
        <v>2000</v>
      </c>
      <c r="H189" s="24">
        <v>36488</v>
      </c>
      <c r="I189" s="23"/>
      <c r="J189" s="23"/>
      <c r="K189" s="23"/>
      <c r="L189" s="23"/>
      <c r="M189" s="23"/>
    </row>
    <row r="190" spans="1:13" ht="15.75" customHeight="1">
      <c r="A190" s="22">
        <v>30359733</v>
      </c>
      <c r="B190" s="23" t="s">
        <v>5534</v>
      </c>
      <c r="C190" s="23" t="s">
        <v>5535</v>
      </c>
      <c r="D190" s="23" t="s">
        <v>5536</v>
      </c>
      <c r="E190" s="23" t="s">
        <v>970</v>
      </c>
      <c r="F190" s="23" t="s">
        <v>5076</v>
      </c>
      <c r="G190" s="22">
        <v>2019</v>
      </c>
      <c r="H190" s="24">
        <v>43399</v>
      </c>
      <c r="I190" s="23"/>
      <c r="J190" s="23"/>
      <c r="K190" s="26" t="s">
        <v>971</v>
      </c>
      <c r="L190" s="27"/>
      <c r="M190" s="27"/>
    </row>
    <row r="191" spans="1:13" ht="15.75" customHeight="1">
      <c r="A191" s="22">
        <v>17276360</v>
      </c>
      <c r="B191" s="23" t="s">
        <v>5537</v>
      </c>
      <c r="C191" s="23" t="s">
        <v>5538</v>
      </c>
      <c r="D191" s="23" t="s">
        <v>5539</v>
      </c>
      <c r="E191" s="23" t="s">
        <v>2133</v>
      </c>
      <c r="F191" s="23" t="s">
        <v>4896</v>
      </c>
      <c r="G191" s="22">
        <v>2006</v>
      </c>
      <c r="H191" s="24">
        <v>39119</v>
      </c>
      <c r="I191" s="23"/>
      <c r="J191" s="23"/>
      <c r="K191" s="26" t="s">
        <v>2134</v>
      </c>
      <c r="L191" s="27"/>
      <c r="M191" s="27"/>
    </row>
    <row r="192" spans="1:13" ht="15.75" customHeight="1">
      <c r="A192" s="22">
        <v>29862613</v>
      </c>
      <c r="B192" s="23" t="s">
        <v>5540</v>
      </c>
      <c r="C192" s="23" t="s">
        <v>5541</v>
      </c>
      <c r="D192" s="23" t="s">
        <v>5542</v>
      </c>
      <c r="E192" s="23" t="s">
        <v>4576</v>
      </c>
      <c r="F192" s="23" t="s">
        <v>5543</v>
      </c>
      <c r="G192" s="22">
        <v>2018</v>
      </c>
      <c r="H192" s="24">
        <v>43256</v>
      </c>
      <c r="I192" s="23"/>
      <c r="J192" s="23"/>
      <c r="K192" s="26" t="s">
        <v>4577</v>
      </c>
      <c r="L192" s="27"/>
      <c r="M192" s="23"/>
    </row>
    <row r="193" spans="1:13" ht="15.75" customHeight="1">
      <c r="A193" s="22">
        <v>29494951</v>
      </c>
      <c r="B193" s="23" t="s">
        <v>5544</v>
      </c>
      <c r="C193" s="23" t="s">
        <v>5545</v>
      </c>
      <c r="D193" s="23" t="s">
        <v>5546</v>
      </c>
      <c r="E193" s="23" t="s">
        <v>769</v>
      </c>
      <c r="F193" s="23" t="s">
        <v>4896</v>
      </c>
      <c r="G193" s="22">
        <v>2018</v>
      </c>
      <c r="H193" s="24">
        <v>43161</v>
      </c>
      <c r="I193" s="23"/>
      <c r="J193" s="23"/>
      <c r="K193" s="26" t="s">
        <v>770</v>
      </c>
      <c r="L193" s="27"/>
      <c r="M193" s="27"/>
    </row>
    <row r="194" spans="1:13" ht="15.75" customHeight="1">
      <c r="A194" s="22">
        <v>18855654</v>
      </c>
      <c r="B194" s="23" t="s">
        <v>5547</v>
      </c>
      <c r="C194" s="23" t="s">
        <v>5548</v>
      </c>
      <c r="D194" s="23" t="s">
        <v>5549</v>
      </c>
      <c r="E194" s="23" t="s">
        <v>1751</v>
      </c>
      <c r="F194" s="23" t="s">
        <v>5550</v>
      </c>
      <c r="G194" s="22">
        <v>2008</v>
      </c>
      <c r="H194" s="24">
        <v>39737</v>
      </c>
      <c r="I194" s="23"/>
      <c r="J194" s="23"/>
      <c r="K194" s="26" t="s">
        <v>1752</v>
      </c>
      <c r="L194" s="27"/>
      <c r="M194" s="27"/>
    </row>
    <row r="195" spans="1:13" ht="15.75" customHeight="1">
      <c r="A195" s="22">
        <v>9847383</v>
      </c>
      <c r="B195" s="23" t="s">
        <v>5551</v>
      </c>
      <c r="C195" s="23" t="s">
        <v>5552</v>
      </c>
      <c r="D195" s="23" t="s">
        <v>5553</v>
      </c>
      <c r="E195" s="23" t="s">
        <v>3036</v>
      </c>
      <c r="F195" s="23" t="s">
        <v>4891</v>
      </c>
      <c r="G195" s="22">
        <v>1999</v>
      </c>
      <c r="H195" s="24">
        <v>36145</v>
      </c>
      <c r="I195" s="23" t="s">
        <v>5554</v>
      </c>
      <c r="J195" s="23"/>
      <c r="K195" s="26" t="s">
        <v>3037</v>
      </c>
      <c r="L195" s="27"/>
      <c r="M195" s="27"/>
    </row>
    <row r="196" spans="1:13" ht="15.75" customHeight="1">
      <c r="A196" s="22">
        <v>1652312</v>
      </c>
      <c r="B196" s="23" t="s">
        <v>5555</v>
      </c>
      <c r="C196" s="23" t="s">
        <v>5556</v>
      </c>
      <c r="D196" s="23" t="s">
        <v>5557</v>
      </c>
      <c r="E196" s="23" t="s">
        <v>195</v>
      </c>
      <c r="F196" s="23" t="s">
        <v>5343</v>
      </c>
      <c r="G196" s="22">
        <v>1991</v>
      </c>
      <c r="H196" s="24">
        <v>33482</v>
      </c>
      <c r="I196" s="23"/>
      <c r="J196" s="23"/>
      <c r="K196" s="23"/>
      <c r="L196" s="23"/>
      <c r="M196" s="23"/>
    </row>
    <row r="197" spans="1:13" ht="15.75" customHeight="1">
      <c r="A197" s="22">
        <v>17334385</v>
      </c>
      <c r="B197" s="23" t="s">
        <v>5558</v>
      </c>
      <c r="C197" s="23" t="s">
        <v>5559</v>
      </c>
      <c r="D197" s="23" t="s">
        <v>5560</v>
      </c>
      <c r="E197" s="23" t="s">
        <v>249</v>
      </c>
      <c r="F197" s="23" t="s">
        <v>4863</v>
      </c>
      <c r="G197" s="22">
        <v>2007</v>
      </c>
      <c r="H197" s="24">
        <v>39147</v>
      </c>
      <c r="I197" s="23"/>
      <c r="J197" s="23"/>
      <c r="K197" s="26" t="s">
        <v>707</v>
      </c>
      <c r="L197" s="27"/>
      <c r="M197" s="23"/>
    </row>
    <row r="198" spans="1:13" ht="15.75" customHeight="1">
      <c r="A198" s="22">
        <v>30031939</v>
      </c>
      <c r="B198" s="23" t="s">
        <v>5561</v>
      </c>
      <c r="C198" s="23" t="s">
        <v>5562</v>
      </c>
      <c r="D198" s="23" t="s">
        <v>5563</v>
      </c>
      <c r="E198" s="23" t="s">
        <v>284</v>
      </c>
      <c r="F198" s="23" t="s">
        <v>5076</v>
      </c>
      <c r="G198" s="22">
        <v>2018</v>
      </c>
      <c r="H198" s="24">
        <v>43304</v>
      </c>
      <c r="I198" s="23"/>
      <c r="J198" s="23"/>
      <c r="K198" s="26" t="s">
        <v>415</v>
      </c>
      <c r="L198" s="27"/>
      <c r="M198" s="27"/>
    </row>
    <row r="199" spans="1:13" ht="15.75" customHeight="1">
      <c r="A199" s="22">
        <v>22886850</v>
      </c>
      <c r="B199" s="23" t="s">
        <v>5564</v>
      </c>
      <c r="C199" s="23" t="s">
        <v>5565</v>
      </c>
      <c r="D199" s="23" t="s">
        <v>5566</v>
      </c>
      <c r="E199" s="23" t="s">
        <v>723</v>
      </c>
      <c r="F199" s="23" t="s">
        <v>5567</v>
      </c>
      <c r="G199" s="22">
        <v>2012</v>
      </c>
      <c r="H199" s="24">
        <v>41135</v>
      </c>
      <c r="I199" s="23"/>
      <c r="J199" s="23"/>
      <c r="K199" s="26" t="s">
        <v>3137</v>
      </c>
      <c r="L199" s="27"/>
      <c r="M199" s="23"/>
    </row>
    <row r="200" spans="1:13" ht="15.75" customHeight="1">
      <c r="A200" s="22">
        <v>12552442</v>
      </c>
      <c r="B200" s="23" t="s">
        <v>5568</v>
      </c>
      <c r="C200" s="23" t="s">
        <v>5569</v>
      </c>
      <c r="D200" s="23" t="s">
        <v>5570</v>
      </c>
      <c r="E200" s="23" t="s">
        <v>501</v>
      </c>
      <c r="F200" s="23" t="s">
        <v>4992</v>
      </c>
      <c r="G200" s="22">
        <v>2003</v>
      </c>
      <c r="H200" s="24">
        <v>37650</v>
      </c>
      <c r="I200" s="23"/>
      <c r="J200" s="23"/>
      <c r="K200" s="26" t="s">
        <v>502</v>
      </c>
      <c r="L200" s="27"/>
      <c r="M200" s="23"/>
    </row>
    <row r="201" spans="1:13" ht="15.75" customHeight="1">
      <c r="A201" s="22">
        <v>15483248</v>
      </c>
      <c r="B201" s="23" t="s">
        <v>5571</v>
      </c>
      <c r="C201" s="23" t="s">
        <v>5572</v>
      </c>
      <c r="D201" s="23" t="s">
        <v>5573</v>
      </c>
      <c r="E201" s="23" t="s">
        <v>1178</v>
      </c>
      <c r="F201" s="23" t="s">
        <v>4966</v>
      </c>
      <c r="G201" s="22">
        <v>2004</v>
      </c>
      <c r="H201" s="24">
        <v>38276</v>
      </c>
      <c r="I201" s="23"/>
      <c r="J201" s="23"/>
      <c r="K201" s="26" t="s">
        <v>1179</v>
      </c>
      <c r="L201" s="27"/>
      <c r="M201" s="23"/>
    </row>
    <row r="202" spans="1:13" ht="15.75" customHeight="1">
      <c r="A202" s="22">
        <v>18428148</v>
      </c>
      <c r="B202" s="23" t="s">
        <v>5574</v>
      </c>
      <c r="C202" s="23" t="s">
        <v>5575</v>
      </c>
      <c r="D202" s="23" t="s">
        <v>5576</v>
      </c>
      <c r="E202" s="23" t="s">
        <v>1619</v>
      </c>
      <c r="F202" s="23" t="s">
        <v>4923</v>
      </c>
      <c r="G202" s="22">
        <v>2008</v>
      </c>
      <c r="H202" s="24">
        <v>39561</v>
      </c>
      <c r="I202" s="23"/>
      <c r="J202" s="23"/>
      <c r="K202" s="26" t="s">
        <v>1620</v>
      </c>
      <c r="L202" s="27"/>
      <c r="M202" s="23"/>
    </row>
    <row r="203" spans="1:13" ht="15.75" customHeight="1">
      <c r="A203" s="22">
        <v>21849437</v>
      </c>
      <c r="B203" s="23" t="s">
        <v>5577</v>
      </c>
      <c r="C203" s="23" t="s">
        <v>5578</v>
      </c>
      <c r="D203" s="23" t="s">
        <v>5579</v>
      </c>
      <c r="E203" s="23" t="s">
        <v>4191</v>
      </c>
      <c r="F203" s="23" t="s">
        <v>4891</v>
      </c>
      <c r="G203" s="22">
        <v>2011</v>
      </c>
      <c r="H203" s="24">
        <v>40774</v>
      </c>
      <c r="I203" s="26" t="s">
        <v>5580</v>
      </c>
      <c r="J203" s="27"/>
      <c r="K203" s="26" t="s">
        <v>4194</v>
      </c>
      <c r="L203" s="27"/>
      <c r="M203" s="23"/>
    </row>
    <row r="204" spans="1:13" ht="15.75" customHeight="1">
      <c r="A204" s="22">
        <v>23669455</v>
      </c>
      <c r="B204" s="23" t="s">
        <v>5581</v>
      </c>
      <c r="C204" s="23" t="s">
        <v>5582</v>
      </c>
      <c r="D204" s="23" t="s">
        <v>5583</v>
      </c>
      <c r="E204" s="23" t="s">
        <v>554</v>
      </c>
      <c r="F204" s="23" t="s">
        <v>5584</v>
      </c>
      <c r="G204" s="22">
        <v>2013</v>
      </c>
      <c r="H204" s="24">
        <v>41409</v>
      </c>
      <c r="I204" s="23"/>
      <c r="J204" s="23"/>
      <c r="K204" s="26" t="s">
        <v>555</v>
      </c>
      <c r="L204" s="27"/>
      <c r="M204" s="27"/>
    </row>
    <row r="205" spans="1:13" ht="15.75" customHeight="1">
      <c r="A205" s="22">
        <v>12210418</v>
      </c>
      <c r="B205" s="23" t="s">
        <v>5585</v>
      </c>
      <c r="C205" s="23" t="s">
        <v>5586</v>
      </c>
      <c r="D205" s="23" t="s">
        <v>5587</v>
      </c>
      <c r="E205" s="23" t="s">
        <v>1654</v>
      </c>
      <c r="F205" s="23" t="s">
        <v>4923</v>
      </c>
      <c r="G205" s="22">
        <v>2002</v>
      </c>
      <c r="H205" s="24">
        <v>37504</v>
      </c>
      <c r="I205" s="26" t="s">
        <v>5588</v>
      </c>
      <c r="J205" s="27"/>
      <c r="K205" s="26" t="s">
        <v>1655</v>
      </c>
      <c r="L205" s="27"/>
      <c r="M205" s="23"/>
    </row>
    <row r="206" spans="1:13" ht="15.75" customHeight="1">
      <c r="A206" s="22">
        <v>20872080</v>
      </c>
      <c r="B206" s="23" t="s">
        <v>5589</v>
      </c>
      <c r="C206" s="23" t="s">
        <v>5590</v>
      </c>
      <c r="D206" s="23" t="s">
        <v>5591</v>
      </c>
      <c r="E206" s="23" t="s">
        <v>120</v>
      </c>
      <c r="F206" s="23" t="s">
        <v>5592</v>
      </c>
      <c r="G206" s="22">
        <v>2010</v>
      </c>
      <c r="H206" s="24">
        <v>40449</v>
      </c>
      <c r="I206" s="26" t="s">
        <v>5593</v>
      </c>
      <c r="J206" s="27"/>
      <c r="K206" s="26" t="s">
        <v>330</v>
      </c>
      <c r="L206" s="27"/>
      <c r="M206" s="27"/>
    </row>
    <row r="207" spans="1:13" ht="15.75" customHeight="1">
      <c r="A207" s="22">
        <v>16183328</v>
      </c>
      <c r="B207" s="23" t="s">
        <v>5594</v>
      </c>
      <c r="C207" s="23" t="s">
        <v>5595</v>
      </c>
      <c r="D207" s="23" t="s">
        <v>5596</v>
      </c>
      <c r="E207" s="23" t="s">
        <v>501</v>
      </c>
      <c r="F207" s="23" t="s">
        <v>4896</v>
      </c>
      <c r="G207" s="22">
        <v>2006</v>
      </c>
      <c r="H207" s="24">
        <v>38622</v>
      </c>
      <c r="I207" s="23"/>
      <c r="J207" s="23"/>
      <c r="K207" s="26" t="s">
        <v>1399</v>
      </c>
      <c r="L207" s="27"/>
      <c r="M207" s="27"/>
    </row>
    <row r="208" spans="1:13" ht="15.75" customHeight="1">
      <c r="A208" s="22">
        <v>26489402</v>
      </c>
      <c r="B208" s="23" t="s">
        <v>5597</v>
      </c>
      <c r="C208" s="23" t="s">
        <v>5598</v>
      </c>
      <c r="D208" s="23" t="s">
        <v>5599</v>
      </c>
      <c r="E208" s="23" t="s">
        <v>1905</v>
      </c>
      <c r="F208" s="23" t="s">
        <v>4896</v>
      </c>
      <c r="G208" s="22">
        <v>2015</v>
      </c>
      <c r="H208" s="24">
        <v>42300</v>
      </c>
      <c r="I208" s="23"/>
      <c r="J208" s="23"/>
      <c r="K208" s="26" t="s">
        <v>1912</v>
      </c>
      <c r="L208" s="27"/>
      <c r="M208" s="27"/>
    </row>
    <row r="209" spans="1:13" ht="15.75" customHeight="1">
      <c r="A209" s="22">
        <v>20863544</v>
      </c>
      <c r="B209" s="23" t="s">
        <v>5600</v>
      </c>
      <c r="C209" s="23" t="s">
        <v>5601</v>
      </c>
      <c r="D209" s="23" t="s">
        <v>5602</v>
      </c>
      <c r="E209" s="23" t="s">
        <v>4191</v>
      </c>
      <c r="F209" s="23" t="s">
        <v>4950</v>
      </c>
      <c r="G209" s="22">
        <v>2010</v>
      </c>
      <c r="H209" s="24">
        <v>40446</v>
      </c>
      <c r="I209" s="23"/>
      <c r="J209" s="23"/>
      <c r="K209" s="26" t="s">
        <v>4198</v>
      </c>
      <c r="L209" s="27"/>
      <c r="M209" s="27"/>
    </row>
    <row r="210" spans="1:13" ht="15.75" customHeight="1">
      <c r="A210" s="22">
        <v>26241219</v>
      </c>
      <c r="B210" s="23" t="s">
        <v>5603</v>
      </c>
      <c r="C210" s="23" t="s">
        <v>5604</v>
      </c>
      <c r="D210" s="23" t="s">
        <v>5605</v>
      </c>
      <c r="E210" s="23" t="s">
        <v>184</v>
      </c>
      <c r="F210" s="23" t="s">
        <v>4923</v>
      </c>
      <c r="G210" s="22">
        <v>2016</v>
      </c>
      <c r="H210" s="24">
        <v>42221</v>
      </c>
      <c r="I210" s="23"/>
      <c r="J210" s="23"/>
      <c r="K210" s="26" t="s">
        <v>659</v>
      </c>
      <c r="L210" s="27"/>
      <c r="M210" s="23"/>
    </row>
    <row r="211" spans="1:13" ht="15.75" customHeight="1">
      <c r="A211" s="22">
        <v>21287317</v>
      </c>
      <c r="B211" s="23" t="s">
        <v>5606</v>
      </c>
      <c r="C211" s="23" t="s">
        <v>5607</v>
      </c>
      <c r="D211" s="23" t="s">
        <v>5608</v>
      </c>
      <c r="E211" s="23" t="s">
        <v>1262</v>
      </c>
      <c r="F211" s="23" t="s">
        <v>4961</v>
      </c>
      <c r="G211" s="22">
        <v>2011</v>
      </c>
      <c r="H211" s="24">
        <v>40577</v>
      </c>
      <c r="I211" s="23"/>
      <c r="J211" s="23"/>
      <c r="K211" s="26" t="s">
        <v>1263</v>
      </c>
      <c r="L211" s="27"/>
      <c r="M211" s="27"/>
    </row>
    <row r="212" spans="1:13" ht="15.75" customHeight="1">
      <c r="A212" s="22">
        <v>31678540</v>
      </c>
      <c r="B212" s="23" t="s">
        <v>5609</v>
      </c>
      <c r="C212" s="23" t="s">
        <v>5610</v>
      </c>
      <c r="D212" s="23" t="s">
        <v>5611</v>
      </c>
      <c r="E212" s="23" t="s">
        <v>976</v>
      </c>
      <c r="F212" s="23" t="s">
        <v>5076</v>
      </c>
      <c r="G212" s="22">
        <v>2020</v>
      </c>
      <c r="H212" s="24">
        <v>43773</v>
      </c>
      <c r="I212" s="23" t="s">
        <v>5612</v>
      </c>
      <c r="J212" s="23" t="s">
        <v>5613</v>
      </c>
      <c r="K212" s="26" t="s">
        <v>977</v>
      </c>
      <c r="L212" s="27"/>
      <c r="M212" s="27"/>
    </row>
    <row r="213" spans="1:13" ht="15.75" customHeight="1">
      <c r="A213" s="22">
        <v>27145489</v>
      </c>
      <c r="B213" s="23" t="s">
        <v>5614</v>
      </c>
      <c r="C213" s="23" t="s">
        <v>5615</v>
      </c>
      <c r="D213" s="23" t="s">
        <v>5616</v>
      </c>
      <c r="E213" s="23" t="s">
        <v>1905</v>
      </c>
      <c r="F213" s="23" t="s">
        <v>4974</v>
      </c>
      <c r="G213" s="22">
        <v>2016</v>
      </c>
      <c r="H213" s="24">
        <v>42495</v>
      </c>
      <c r="I213" s="23"/>
      <c r="J213" s="23"/>
      <c r="K213" s="26" t="s">
        <v>1908</v>
      </c>
      <c r="L213" s="27"/>
      <c r="M213" s="23"/>
    </row>
    <row r="214" spans="1:13" ht="15.75" customHeight="1">
      <c r="A214" s="22">
        <v>29684567</v>
      </c>
      <c r="B214" s="23" t="s">
        <v>5617</v>
      </c>
      <c r="C214" s="23" t="s">
        <v>5618</v>
      </c>
      <c r="D214" s="23" t="s">
        <v>5619</v>
      </c>
      <c r="E214" s="23" t="s">
        <v>3590</v>
      </c>
      <c r="F214" s="23" t="s">
        <v>5076</v>
      </c>
      <c r="G214" s="22">
        <v>2018</v>
      </c>
      <c r="H214" s="24">
        <v>43214</v>
      </c>
      <c r="I214" s="23" t="s">
        <v>5620</v>
      </c>
      <c r="J214" s="23" t="s">
        <v>5621</v>
      </c>
      <c r="K214" s="26" t="s">
        <v>3595</v>
      </c>
      <c r="L214" s="27"/>
      <c r="M214" s="27"/>
    </row>
    <row r="215" spans="1:13" ht="15.75" customHeight="1">
      <c r="A215" s="22">
        <v>8180402</v>
      </c>
      <c r="B215" s="23" t="s">
        <v>5622</v>
      </c>
      <c r="C215" s="23" t="s">
        <v>5623</v>
      </c>
      <c r="D215" s="23" t="s">
        <v>5624</v>
      </c>
      <c r="E215" s="23" t="s">
        <v>979</v>
      </c>
      <c r="F215" s="23" t="s">
        <v>5343</v>
      </c>
      <c r="G215" s="22">
        <v>1994</v>
      </c>
      <c r="H215" s="24">
        <v>34469</v>
      </c>
      <c r="I215" s="23"/>
      <c r="J215" s="23"/>
      <c r="K215" s="23"/>
      <c r="L215" s="23"/>
      <c r="M215" s="23"/>
    </row>
    <row r="216" spans="1:13" ht="15.75" customHeight="1">
      <c r="A216" s="22">
        <v>11035370</v>
      </c>
      <c r="B216" s="23" t="s">
        <v>5625</v>
      </c>
      <c r="C216" s="23" t="s">
        <v>5626</v>
      </c>
      <c r="D216" s="23" t="s">
        <v>5627</v>
      </c>
      <c r="E216" s="23" t="s">
        <v>509</v>
      </c>
      <c r="F216" s="23" t="s">
        <v>4863</v>
      </c>
      <c r="G216" s="22">
        <v>2000</v>
      </c>
      <c r="H216" s="24">
        <v>36817</v>
      </c>
      <c r="I216" s="23"/>
      <c r="J216" s="23"/>
      <c r="K216" s="26" t="s">
        <v>510</v>
      </c>
      <c r="L216" s="27"/>
      <c r="M216" s="23"/>
    </row>
    <row r="217" spans="1:13" ht="15.75" customHeight="1">
      <c r="A217" s="22">
        <v>25346365</v>
      </c>
      <c r="B217" s="23" t="s">
        <v>5628</v>
      </c>
      <c r="C217" s="23" t="s">
        <v>5629</v>
      </c>
      <c r="D217" s="23" t="s">
        <v>5630</v>
      </c>
      <c r="E217" s="23" t="s">
        <v>2558</v>
      </c>
      <c r="F217" s="23" t="s">
        <v>5163</v>
      </c>
      <c r="G217" s="22">
        <v>2015</v>
      </c>
      <c r="H217" s="24">
        <v>41940</v>
      </c>
      <c r="I217" s="23"/>
      <c r="J217" s="23"/>
      <c r="K217" s="26" t="s">
        <v>2559</v>
      </c>
      <c r="L217" s="27"/>
      <c r="M217" s="27"/>
    </row>
    <row r="218" spans="1:13" ht="15.75" customHeight="1">
      <c r="A218" s="22">
        <v>8884365</v>
      </c>
      <c r="B218" s="23" t="s">
        <v>5631</v>
      </c>
      <c r="C218" s="23" t="s">
        <v>5632</v>
      </c>
      <c r="D218" s="23" t="s">
        <v>5633</v>
      </c>
      <c r="E218" s="23" t="s">
        <v>1874</v>
      </c>
      <c r="F218" s="23" t="s">
        <v>5055</v>
      </c>
      <c r="G218" s="22">
        <v>1996</v>
      </c>
      <c r="H218" s="24">
        <v>35339</v>
      </c>
      <c r="I218" s="23"/>
      <c r="J218" s="23"/>
      <c r="K218" s="23"/>
      <c r="L218" s="23"/>
      <c r="M218" s="23"/>
    </row>
    <row r="219" spans="1:13" ht="15.75" customHeight="1">
      <c r="A219" s="22">
        <v>24829249</v>
      </c>
      <c r="B219" s="23" t="s">
        <v>5634</v>
      </c>
      <c r="C219" s="23" t="s">
        <v>5635</v>
      </c>
      <c r="D219" s="23" t="s">
        <v>5636</v>
      </c>
      <c r="E219" s="23" t="s">
        <v>564</v>
      </c>
      <c r="F219" s="23" t="s">
        <v>5331</v>
      </c>
      <c r="G219" s="22">
        <v>2014</v>
      </c>
      <c r="H219" s="24">
        <v>41775</v>
      </c>
      <c r="I219" s="26" t="s">
        <v>5637</v>
      </c>
      <c r="J219" s="27"/>
      <c r="K219" s="26" t="s">
        <v>565</v>
      </c>
      <c r="L219" s="27"/>
      <c r="M219" s="23"/>
    </row>
    <row r="220" spans="1:13" ht="15.75" customHeight="1">
      <c r="A220" s="22">
        <v>35062266</v>
      </c>
      <c r="B220" s="23" t="s">
        <v>5638</v>
      </c>
      <c r="C220" s="23" t="s">
        <v>5639</v>
      </c>
      <c r="D220" s="23" t="s">
        <v>5640</v>
      </c>
      <c r="E220" s="23" t="s">
        <v>2529</v>
      </c>
      <c r="F220" s="23" t="s">
        <v>4842</v>
      </c>
      <c r="G220" s="22">
        <v>2021</v>
      </c>
      <c r="H220" s="24">
        <v>44583</v>
      </c>
      <c r="I220" s="26" t="s">
        <v>5641</v>
      </c>
      <c r="J220" s="27"/>
      <c r="K220" s="26" t="s">
        <v>2530</v>
      </c>
      <c r="L220" s="27"/>
      <c r="M220" s="23"/>
    </row>
    <row r="221" spans="1:13" ht="15.75" customHeight="1">
      <c r="A221" s="22">
        <v>16162481</v>
      </c>
      <c r="B221" s="23" t="s">
        <v>5642</v>
      </c>
      <c r="C221" s="23" t="s">
        <v>5643</v>
      </c>
      <c r="D221" s="23" t="s">
        <v>5644</v>
      </c>
      <c r="E221" s="23" t="s">
        <v>1132</v>
      </c>
      <c r="F221" s="23" t="s">
        <v>4961</v>
      </c>
      <c r="G221" s="22">
        <v>2005</v>
      </c>
      <c r="H221" s="24">
        <v>38611</v>
      </c>
      <c r="I221" s="26" t="s">
        <v>5645</v>
      </c>
      <c r="J221" s="27"/>
      <c r="K221" s="26" t="s">
        <v>1133</v>
      </c>
      <c r="L221" s="27"/>
      <c r="M221" s="27"/>
    </row>
    <row r="222" spans="1:13" ht="15.75" customHeight="1">
      <c r="A222" s="22">
        <v>7889017</v>
      </c>
      <c r="B222" s="23" t="s">
        <v>5646</v>
      </c>
      <c r="C222" s="23" t="s">
        <v>5647</v>
      </c>
      <c r="D222" s="23" t="s">
        <v>5648</v>
      </c>
      <c r="E222" s="23" t="s">
        <v>2094</v>
      </c>
      <c r="F222" s="23" t="s">
        <v>4863</v>
      </c>
      <c r="G222" s="22">
        <v>1994</v>
      </c>
      <c r="H222" s="24">
        <v>34639</v>
      </c>
      <c r="I222" s="23"/>
      <c r="J222" s="23"/>
      <c r="K222" s="23"/>
      <c r="L222" s="23"/>
      <c r="M222" s="23"/>
    </row>
    <row r="223" spans="1:13" ht="15.75" customHeight="1">
      <c r="A223" s="22">
        <v>16333831</v>
      </c>
      <c r="B223" s="23" t="s">
        <v>5649</v>
      </c>
      <c r="C223" s="23" t="s">
        <v>5650</v>
      </c>
      <c r="D223" s="23" t="s">
        <v>5651</v>
      </c>
      <c r="E223" s="23" t="s">
        <v>2588</v>
      </c>
      <c r="F223" s="23" t="s">
        <v>5652</v>
      </c>
      <c r="G223" s="22">
        <v>2006</v>
      </c>
      <c r="H223" s="24">
        <v>38694</v>
      </c>
      <c r="I223" s="23"/>
      <c r="J223" s="23"/>
      <c r="K223" s="26" t="s">
        <v>2589</v>
      </c>
      <c r="L223" s="27"/>
      <c r="M223" s="23"/>
    </row>
    <row r="224" spans="1:13" ht="15.75" customHeight="1">
      <c r="A224" s="22">
        <v>26518057</v>
      </c>
      <c r="B224" s="23" t="s">
        <v>5653</v>
      </c>
      <c r="C224" s="23" t="s">
        <v>5654</v>
      </c>
      <c r="D224" s="23" t="s">
        <v>5655</v>
      </c>
      <c r="E224" s="23" t="s">
        <v>191</v>
      </c>
      <c r="F224" s="23" t="s">
        <v>5051</v>
      </c>
      <c r="G224" s="22">
        <v>2016</v>
      </c>
      <c r="H224" s="24">
        <v>42309</v>
      </c>
      <c r="I224" s="23"/>
      <c r="J224" s="23"/>
      <c r="K224" s="26" t="s">
        <v>405</v>
      </c>
      <c r="L224" s="27"/>
      <c r="M224" s="27"/>
    </row>
    <row r="225" spans="1:13" ht="15.75" customHeight="1">
      <c r="A225" s="22">
        <v>26888901</v>
      </c>
      <c r="B225" s="23" t="s">
        <v>5656</v>
      </c>
      <c r="C225" s="23" t="s">
        <v>5657</v>
      </c>
      <c r="D225" s="23" t="s">
        <v>5658</v>
      </c>
      <c r="E225" s="23" t="s">
        <v>3946</v>
      </c>
      <c r="F225" s="23" t="s">
        <v>5331</v>
      </c>
      <c r="G225" s="22">
        <v>2016</v>
      </c>
      <c r="H225" s="24">
        <v>42419</v>
      </c>
      <c r="I225" s="26" t="s">
        <v>5659</v>
      </c>
      <c r="J225" s="27"/>
      <c r="K225" s="26" t="s">
        <v>3949</v>
      </c>
      <c r="L225" s="27"/>
      <c r="M225" s="23"/>
    </row>
    <row r="226" spans="1:13" ht="15.75" customHeight="1">
      <c r="A226" s="22">
        <v>18762520</v>
      </c>
      <c r="B226" s="23" t="s">
        <v>5660</v>
      </c>
      <c r="C226" s="23" t="s">
        <v>5661</v>
      </c>
      <c r="D226" s="23" t="s">
        <v>5662</v>
      </c>
      <c r="E226" s="23" t="s">
        <v>607</v>
      </c>
      <c r="F226" s="23" t="s">
        <v>5663</v>
      </c>
      <c r="G226" s="22">
        <v>2008</v>
      </c>
      <c r="H226" s="24">
        <v>39694</v>
      </c>
      <c r="I226" s="23"/>
      <c r="J226" s="23"/>
      <c r="K226" s="26" t="s">
        <v>2261</v>
      </c>
      <c r="L226" s="27"/>
      <c r="M226" s="23"/>
    </row>
    <row r="227" spans="1:13" ht="15.75" customHeight="1">
      <c r="A227" s="22">
        <v>20459723</v>
      </c>
      <c r="B227" s="23" t="s">
        <v>5664</v>
      </c>
      <c r="C227" s="23" t="s">
        <v>5665</v>
      </c>
      <c r="D227" s="23" t="s">
        <v>5666</v>
      </c>
      <c r="E227" s="23" t="s">
        <v>3313</v>
      </c>
      <c r="F227" s="23" t="s">
        <v>4867</v>
      </c>
      <c r="G227" s="22">
        <v>2010</v>
      </c>
      <c r="H227" s="24">
        <v>40311</v>
      </c>
      <c r="I227" s="26" t="s">
        <v>5667</v>
      </c>
      <c r="J227" s="27"/>
      <c r="K227" s="26" t="s">
        <v>3314</v>
      </c>
      <c r="L227" s="27"/>
      <c r="M227" s="23"/>
    </row>
    <row r="228" spans="1:13" ht="15.75" customHeight="1">
      <c r="A228" s="22">
        <v>7888069</v>
      </c>
      <c r="B228" s="23" t="s">
        <v>5668</v>
      </c>
      <c r="C228" s="23" t="s">
        <v>5093</v>
      </c>
      <c r="D228" s="23" t="s">
        <v>5669</v>
      </c>
      <c r="E228" s="23" t="s">
        <v>3041</v>
      </c>
      <c r="F228" s="23" t="s">
        <v>5670</v>
      </c>
      <c r="G228" s="22">
        <v>1995</v>
      </c>
      <c r="H228" s="24">
        <v>34731</v>
      </c>
      <c r="I228" s="23"/>
      <c r="J228" s="23"/>
      <c r="K228" s="26" t="s">
        <v>3046</v>
      </c>
      <c r="L228" s="27"/>
      <c r="M228" s="27"/>
    </row>
    <row r="229" spans="1:13" ht="15.75" customHeight="1">
      <c r="A229" s="22">
        <v>22093262</v>
      </c>
      <c r="B229" s="23" t="s">
        <v>5671</v>
      </c>
      <c r="C229" s="23" t="s">
        <v>5672</v>
      </c>
      <c r="D229" s="23" t="s">
        <v>5673</v>
      </c>
      <c r="E229" s="23" t="s">
        <v>2737</v>
      </c>
      <c r="F229" s="23" t="s">
        <v>4974</v>
      </c>
      <c r="G229" s="22">
        <v>2011</v>
      </c>
      <c r="H229" s="24">
        <v>40866</v>
      </c>
      <c r="I229" s="23"/>
      <c r="J229" s="23"/>
      <c r="K229" s="26" t="s">
        <v>2738</v>
      </c>
      <c r="L229" s="27"/>
      <c r="M229" s="27"/>
    </row>
    <row r="230" spans="1:13" ht="15.75" customHeight="1">
      <c r="A230" s="22">
        <v>24594780</v>
      </c>
      <c r="B230" s="23" t="s">
        <v>5674</v>
      </c>
      <c r="C230" s="23" t="s">
        <v>5675</v>
      </c>
      <c r="D230" s="23" t="s">
        <v>5676</v>
      </c>
      <c r="E230" s="23" t="s">
        <v>3946</v>
      </c>
      <c r="F230" s="23" t="s">
        <v>5677</v>
      </c>
      <c r="G230" s="22">
        <v>2014</v>
      </c>
      <c r="H230" s="24">
        <v>41704</v>
      </c>
      <c r="I230" s="23" t="s">
        <v>5678</v>
      </c>
      <c r="J230" s="23" t="s">
        <v>5679</v>
      </c>
      <c r="K230" s="26" t="s">
        <v>3947</v>
      </c>
      <c r="L230" s="27"/>
      <c r="M230" s="27"/>
    </row>
    <row r="231" spans="1:13" ht="15.75" customHeight="1">
      <c r="A231" s="22">
        <v>8397282</v>
      </c>
      <c r="B231" s="23" t="s">
        <v>5680</v>
      </c>
      <c r="C231" s="23" t="s">
        <v>5681</v>
      </c>
      <c r="D231" s="23" t="s">
        <v>5682</v>
      </c>
      <c r="E231" s="23" t="s">
        <v>2980</v>
      </c>
      <c r="F231" s="23" t="s">
        <v>4966</v>
      </c>
      <c r="G231" s="22">
        <v>1993</v>
      </c>
      <c r="H231" s="24">
        <v>34213</v>
      </c>
      <c r="I231" s="23"/>
      <c r="J231" s="23"/>
      <c r="K231" s="26" t="s">
        <v>2981</v>
      </c>
      <c r="L231" s="27"/>
      <c r="M231" s="27"/>
    </row>
    <row r="232" spans="1:13" ht="15.75" customHeight="1">
      <c r="A232" s="22">
        <v>17977973</v>
      </c>
      <c r="B232" s="23" t="s">
        <v>5683</v>
      </c>
      <c r="C232" s="23" t="s">
        <v>5684</v>
      </c>
      <c r="D232" s="23" t="s">
        <v>5685</v>
      </c>
      <c r="E232" s="23" t="s">
        <v>4125</v>
      </c>
      <c r="F232" s="23" t="s">
        <v>4891</v>
      </c>
      <c r="G232" s="22">
        <v>2008</v>
      </c>
      <c r="H232" s="24">
        <v>39392</v>
      </c>
      <c r="I232" s="26" t="s">
        <v>5686</v>
      </c>
      <c r="J232" s="27"/>
      <c r="K232" s="26" t="s">
        <v>4126</v>
      </c>
      <c r="L232" s="27"/>
      <c r="M232" s="23"/>
    </row>
    <row r="233" spans="1:13" ht="15.75" customHeight="1">
      <c r="A233" s="22">
        <v>31421950</v>
      </c>
      <c r="B233" s="23" t="s">
        <v>5687</v>
      </c>
      <c r="C233" s="23" t="s">
        <v>5688</v>
      </c>
      <c r="D233" s="23" t="s">
        <v>5689</v>
      </c>
      <c r="E233" s="23" t="s">
        <v>2523</v>
      </c>
      <c r="F233" s="23" t="s">
        <v>5305</v>
      </c>
      <c r="G233" s="22">
        <v>2020</v>
      </c>
      <c r="H233" s="24">
        <v>43696</v>
      </c>
      <c r="I233" s="23"/>
      <c r="J233" s="23"/>
      <c r="K233" s="26" t="s">
        <v>2524</v>
      </c>
      <c r="L233" s="27"/>
      <c r="M233" s="27"/>
    </row>
    <row r="234" spans="1:13" ht="15.75" customHeight="1">
      <c r="A234" s="22">
        <v>22576078</v>
      </c>
      <c r="B234" s="23" t="s">
        <v>5690</v>
      </c>
      <c r="C234" s="23" t="s">
        <v>5691</v>
      </c>
      <c r="D234" s="23" t="s">
        <v>5692</v>
      </c>
      <c r="E234" s="23" t="s">
        <v>3819</v>
      </c>
      <c r="F234" s="23" t="s">
        <v>5693</v>
      </c>
      <c r="G234" s="22">
        <v>2012</v>
      </c>
      <c r="H234" s="24">
        <v>41041</v>
      </c>
      <c r="I234" s="23"/>
      <c r="J234" s="23"/>
      <c r="K234" s="26" t="s">
        <v>3820</v>
      </c>
      <c r="L234" s="27"/>
      <c r="M234" s="27"/>
    </row>
    <row r="235" spans="1:13" ht="15.75" customHeight="1">
      <c r="A235" s="22">
        <v>23769070</v>
      </c>
      <c r="B235" s="23" t="s">
        <v>5694</v>
      </c>
      <c r="C235" s="23" t="s">
        <v>5443</v>
      </c>
      <c r="D235" s="23" t="s">
        <v>5695</v>
      </c>
      <c r="E235" s="23" t="s">
        <v>2294</v>
      </c>
      <c r="F235" s="23" t="s">
        <v>5696</v>
      </c>
      <c r="G235" s="22">
        <v>2013</v>
      </c>
      <c r="H235" s="24">
        <v>41443</v>
      </c>
      <c r="I235" s="23"/>
      <c r="J235" s="23"/>
      <c r="K235" s="26" t="s">
        <v>2299</v>
      </c>
      <c r="L235" s="27"/>
      <c r="M235" s="27"/>
    </row>
    <row r="236" spans="1:13" ht="15.75" customHeight="1">
      <c r="A236" s="22">
        <v>19144370</v>
      </c>
      <c r="B236" s="23" t="s">
        <v>5697</v>
      </c>
      <c r="C236" s="23" t="s">
        <v>5698</v>
      </c>
      <c r="D236" s="23" t="s">
        <v>5699</v>
      </c>
      <c r="E236" s="23" t="s">
        <v>4175</v>
      </c>
      <c r="F236" s="23" t="s">
        <v>4950</v>
      </c>
      <c r="G236" s="22">
        <v>2009</v>
      </c>
      <c r="H236" s="24">
        <v>39829</v>
      </c>
      <c r="I236" s="23"/>
      <c r="J236" s="23"/>
      <c r="K236" s="26" t="s">
        <v>4176</v>
      </c>
      <c r="L236" s="27"/>
      <c r="M236" s="27"/>
    </row>
    <row r="237" spans="1:13" ht="15.75" customHeight="1">
      <c r="A237" s="22">
        <v>11049767</v>
      </c>
      <c r="B237" s="23" t="s">
        <v>5700</v>
      </c>
      <c r="C237" s="23" t="s">
        <v>5701</v>
      </c>
      <c r="D237" s="23" t="s">
        <v>5702</v>
      </c>
      <c r="E237" s="23" t="s">
        <v>2724</v>
      </c>
      <c r="F237" s="23" t="s">
        <v>5080</v>
      </c>
      <c r="G237" s="22">
        <v>2000</v>
      </c>
      <c r="H237" s="24">
        <v>36825</v>
      </c>
      <c r="I237" s="23"/>
      <c r="J237" s="23"/>
      <c r="K237" s="26" t="s">
        <v>2725</v>
      </c>
      <c r="L237" s="27"/>
      <c r="M237" s="23"/>
    </row>
    <row r="238" spans="1:13" ht="15.75" customHeight="1">
      <c r="A238" s="22">
        <v>26476073</v>
      </c>
      <c r="B238" s="23" t="s">
        <v>5703</v>
      </c>
      <c r="C238" s="23" t="s">
        <v>5704</v>
      </c>
      <c r="D238" s="23" t="s">
        <v>5705</v>
      </c>
      <c r="E238" s="23" t="s">
        <v>4621</v>
      </c>
      <c r="F238" s="23" t="s">
        <v>5706</v>
      </c>
      <c r="G238" s="22">
        <v>2017</v>
      </c>
      <c r="H238" s="24">
        <v>42295</v>
      </c>
      <c r="I238" s="23"/>
      <c r="J238" s="23"/>
      <c r="K238" s="26" t="s">
        <v>4622</v>
      </c>
      <c r="L238" s="27"/>
      <c r="M238" s="23"/>
    </row>
    <row r="239" spans="1:13" ht="15.75" customHeight="1">
      <c r="A239" s="22">
        <v>22133730</v>
      </c>
      <c r="B239" s="23" t="s">
        <v>5707</v>
      </c>
      <c r="C239" s="23" t="s">
        <v>5708</v>
      </c>
      <c r="D239" s="23" t="s">
        <v>5709</v>
      </c>
      <c r="E239" s="23" t="s">
        <v>2149</v>
      </c>
      <c r="F239" s="23" t="s">
        <v>4896</v>
      </c>
      <c r="G239" s="22">
        <v>2012</v>
      </c>
      <c r="H239" s="24">
        <v>40880</v>
      </c>
      <c r="I239" s="23"/>
      <c r="J239" s="23"/>
      <c r="K239" s="26" t="s">
        <v>2150</v>
      </c>
      <c r="L239" s="27"/>
      <c r="M239" s="27"/>
    </row>
    <row r="240" spans="1:13" ht="15.75" customHeight="1">
      <c r="A240" s="22">
        <v>11512080</v>
      </c>
      <c r="B240" s="23" t="s">
        <v>5710</v>
      </c>
      <c r="C240" s="23" t="s">
        <v>5711</v>
      </c>
      <c r="D240" s="23" t="s">
        <v>5712</v>
      </c>
      <c r="E240" s="23" t="s">
        <v>197</v>
      </c>
      <c r="F240" s="23" t="s">
        <v>5080</v>
      </c>
      <c r="G240" s="22">
        <v>2001</v>
      </c>
      <c r="H240" s="24">
        <v>37124</v>
      </c>
      <c r="I240" s="23"/>
      <c r="J240" s="23"/>
      <c r="K240" s="26" t="s">
        <v>1014</v>
      </c>
      <c r="L240" s="27"/>
      <c r="M240" s="23"/>
    </row>
    <row r="241" spans="1:13" ht="15.75" customHeight="1">
      <c r="A241" s="22">
        <v>27367597</v>
      </c>
      <c r="B241" s="23" t="s">
        <v>5713</v>
      </c>
      <c r="C241" s="23" t="s">
        <v>5714</v>
      </c>
      <c r="D241" s="23" t="s">
        <v>5715</v>
      </c>
      <c r="E241" s="23" t="s">
        <v>3128</v>
      </c>
      <c r="F241" s="23" t="s">
        <v>4978</v>
      </c>
      <c r="G241" s="22">
        <v>2016</v>
      </c>
      <c r="H241" s="24">
        <v>42553</v>
      </c>
      <c r="I241" s="26" t="s">
        <v>5716</v>
      </c>
      <c r="J241" s="27"/>
      <c r="K241" s="26" t="s">
        <v>3129</v>
      </c>
      <c r="L241" s="27"/>
      <c r="M241" s="27"/>
    </row>
    <row r="242" spans="1:13" ht="15.75" customHeight="1">
      <c r="A242" s="22">
        <v>17637686</v>
      </c>
      <c r="B242" s="23" t="s">
        <v>5717</v>
      </c>
      <c r="C242" s="23" t="s">
        <v>5718</v>
      </c>
      <c r="D242" s="23" t="s">
        <v>5719</v>
      </c>
      <c r="E242" s="23" t="s">
        <v>2600</v>
      </c>
      <c r="F242" s="23" t="s">
        <v>4863</v>
      </c>
      <c r="G242" s="22">
        <v>2007</v>
      </c>
      <c r="H242" s="24">
        <v>39283</v>
      </c>
      <c r="I242" s="23"/>
      <c r="J242" s="23"/>
      <c r="K242" s="26" t="s">
        <v>2601</v>
      </c>
      <c r="L242" s="27"/>
      <c r="M242" s="23"/>
    </row>
    <row r="243" spans="1:13" ht="15.75" customHeight="1">
      <c r="A243" s="22">
        <v>17147913</v>
      </c>
      <c r="B243" s="23" t="s">
        <v>5720</v>
      </c>
      <c r="C243" s="23" t="s">
        <v>5721</v>
      </c>
      <c r="D243" s="23" t="s">
        <v>5722</v>
      </c>
      <c r="E243" s="23" t="s">
        <v>2755</v>
      </c>
      <c r="F243" s="23" t="s">
        <v>5449</v>
      </c>
      <c r="G243" s="22">
        <v>2006</v>
      </c>
      <c r="H243" s="24">
        <v>39058</v>
      </c>
      <c r="I243" s="23"/>
      <c r="J243" s="23"/>
      <c r="K243" s="23"/>
      <c r="L243" s="23"/>
      <c r="M243" s="23"/>
    </row>
    <row r="244" spans="1:13" ht="15.75" customHeight="1">
      <c r="A244" s="22">
        <v>29316259</v>
      </c>
      <c r="B244" s="23" t="s">
        <v>5723</v>
      </c>
      <c r="C244" s="23" t="s">
        <v>5724</v>
      </c>
      <c r="D244" s="23" t="s">
        <v>5725</v>
      </c>
      <c r="E244" s="23" t="s">
        <v>1372</v>
      </c>
      <c r="F244" s="23" t="s">
        <v>5726</v>
      </c>
      <c r="G244" s="22">
        <v>2018</v>
      </c>
      <c r="H244" s="24">
        <v>43110</v>
      </c>
      <c r="I244" s="23"/>
      <c r="J244" s="23"/>
      <c r="K244" s="26" t="s">
        <v>1375</v>
      </c>
      <c r="L244" s="27"/>
      <c r="M244" s="23"/>
    </row>
    <row r="245" spans="1:13" ht="15.75" customHeight="1">
      <c r="A245" s="22">
        <v>8824991</v>
      </c>
      <c r="B245" s="23" t="s">
        <v>5727</v>
      </c>
      <c r="C245" s="23" t="s">
        <v>5728</v>
      </c>
      <c r="D245" s="23" t="s">
        <v>5729</v>
      </c>
      <c r="E245" s="23" t="s">
        <v>2351</v>
      </c>
      <c r="F245" s="23" t="s">
        <v>5080</v>
      </c>
      <c r="G245" s="22">
        <v>1996</v>
      </c>
      <c r="H245" s="24">
        <v>35065</v>
      </c>
      <c r="I245" s="23"/>
      <c r="J245" s="23"/>
      <c r="K245" s="26" t="s">
        <v>2352</v>
      </c>
      <c r="L245" s="27"/>
      <c r="M245" s="23"/>
    </row>
    <row r="246" spans="1:13" ht="15.75" customHeight="1">
      <c r="A246" s="22">
        <v>11049765</v>
      </c>
      <c r="B246" s="23" t="s">
        <v>5730</v>
      </c>
      <c r="C246" s="23" t="s">
        <v>5731</v>
      </c>
      <c r="D246" s="23" t="s">
        <v>5732</v>
      </c>
      <c r="E246" s="23" t="s">
        <v>231</v>
      </c>
      <c r="F246" s="23" t="s">
        <v>5080</v>
      </c>
      <c r="G246" s="22">
        <v>2000</v>
      </c>
      <c r="H246" s="24">
        <v>36825</v>
      </c>
      <c r="I246" s="23"/>
      <c r="J246" s="23"/>
      <c r="K246" s="26" t="s">
        <v>363</v>
      </c>
      <c r="L246" s="27"/>
      <c r="M246" s="23"/>
    </row>
    <row r="247" spans="1:13" ht="15.75" customHeight="1">
      <c r="A247" s="22">
        <v>20005968</v>
      </c>
      <c r="B247" s="23" t="s">
        <v>5733</v>
      </c>
      <c r="C247" s="23" t="s">
        <v>5734</v>
      </c>
      <c r="D247" s="23" t="s">
        <v>5735</v>
      </c>
      <c r="E247" s="23" t="s">
        <v>193</v>
      </c>
      <c r="F247" s="23" t="s">
        <v>5076</v>
      </c>
      <c r="G247" s="22">
        <v>2010</v>
      </c>
      <c r="H247" s="24">
        <v>40164</v>
      </c>
      <c r="I247" s="23"/>
      <c r="J247" s="23"/>
      <c r="K247" s="26" t="s">
        <v>419</v>
      </c>
      <c r="L247" s="27"/>
      <c r="M247" s="27"/>
    </row>
    <row r="248" spans="1:13" ht="15.75" customHeight="1">
      <c r="A248" s="22">
        <v>27703035</v>
      </c>
      <c r="B248" s="23" t="s">
        <v>5736</v>
      </c>
      <c r="C248" s="23" t="s">
        <v>5737</v>
      </c>
      <c r="D248" s="23" t="s">
        <v>5738</v>
      </c>
      <c r="E248" s="23" t="s">
        <v>3643</v>
      </c>
      <c r="F248" s="23" t="s">
        <v>4992</v>
      </c>
      <c r="G248" s="22">
        <v>2016</v>
      </c>
      <c r="H248" s="24">
        <v>42649</v>
      </c>
      <c r="I248" s="26" t="s">
        <v>5739</v>
      </c>
      <c r="J248" s="27"/>
      <c r="K248" s="26" t="s">
        <v>3644</v>
      </c>
      <c r="L248" s="27"/>
      <c r="M248" s="23"/>
    </row>
    <row r="249" spans="1:13" ht="15.75" customHeight="1">
      <c r="A249" s="22">
        <v>11979309</v>
      </c>
      <c r="B249" s="23" t="s">
        <v>5740</v>
      </c>
      <c r="C249" s="23" t="s">
        <v>5741</v>
      </c>
      <c r="D249" s="23" t="s">
        <v>5742</v>
      </c>
      <c r="E249" s="23" t="s">
        <v>921</v>
      </c>
      <c r="F249" s="23" t="s">
        <v>4863</v>
      </c>
      <c r="G249" s="22">
        <v>2002</v>
      </c>
      <c r="H249" s="24">
        <v>37376</v>
      </c>
      <c r="I249" s="23"/>
      <c r="J249" s="23"/>
      <c r="K249" s="26" t="s">
        <v>922</v>
      </c>
      <c r="L249" s="27"/>
      <c r="M249" s="23"/>
    </row>
    <row r="250" spans="1:13" ht="15.75" customHeight="1">
      <c r="A250" s="22">
        <v>18712834</v>
      </c>
      <c r="B250" s="23" t="s">
        <v>5743</v>
      </c>
      <c r="C250" s="23" t="s">
        <v>5744</v>
      </c>
      <c r="D250" s="23" t="s">
        <v>5745</v>
      </c>
      <c r="E250" s="23" t="s">
        <v>2858</v>
      </c>
      <c r="F250" s="23" t="s">
        <v>4923</v>
      </c>
      <c r="G250" s="22">
        <v>2008</v>
      </c>
      <c r="H250" s="24">
        <v>39681</v>
      </c>
      <c r="I250" s="23"/>
      <c r="J250" s="23"/>
      <c r="K250" s="26" t="s">
        <v>2859</v>
      </c>
      <c r="L250" s="27"/>
      <c r="M250" s="23"/>
    </row>
    <row r="251" spans="1:13" ht="15.75" customHeight="1">
      <c r="A251" s="22">
        <v>10998432</v>
      </c>
      <c r="B251" s="23" t="s">
        <v>5746</v>
      </c>
      <c r="C251" s="23" t="s">
        <v>5747</v>
      </c>
      <c r="D251" s="23" t="s">
        <v>5748</v>
      </c>
      <c r="E251" s="23" t="s">
        <v>155</v>
      </c>
      <c r="F251" s="23" t="s">
        <v>5749</v>
      </c>
      <c r="G251" s="22">
        <v>2000</v>
      </c>
      <c r="H251" s="24">
        <v>36791</v>
      </c>
      <c r="I251" s="23"/>
      <c r="J251" s="23"/>
      <c r="K251" s="26" t="s">
        <v>396</v>
      </c>
      <c r="L251" s="27"/>
      <c r="M251" s="23"/>
    </row>
    <row r="252" spans="1:13" ht="15.75" customHeight="1">
      <c r="A252" s="22">
        <v>20053742</v>
      </c>
      <c r="B252" s="23" t="s">
        <v>5750</v>
      </c>
      <c r="C252" s="23" t="s">
        <v>5751</v>
      </c>
      <c r="D252" s="23" t="s">
        <v>5752</v>
      </c>
      <c r="E252" s="23" t="s">
        <v>1381</v>
      </c>
      <c r="F252" s="23" t="s">
        <v>4891</v>
      </c>
      <c r="G252" s="22">
        <v>2010</v>
      </c>
      <c r="H252" s="24">
        <v>40186</v>
      </c>
      <c r="I252" s="26" t="s">
        <v>5753</v>
      </c>
      <c r="J252" s="27"/>
      <c r="K252" s="26" t="s">
        <v>1382</v>
      </c>
      <c r="L252" s="27"/>
      <c r="M252" s="23"/>
    </row>
    <row r="253" spans="1:13" ht="15.75" customHeight="1">
      <c r="A253" s="22">
        <v>23929317</v>
      </c>
      <c r="B253" s="23" t="s">
        <v>5754</v>
      </c>
      <c r="C253" s="23" t="s">
        <v>5755</v>
      </c>
      <c r="D253" s="23" t="s">
        <v>5756</v>
      </c>
      <c r="E253" s="23" t="s">
        <v>927</v>
      </c>
      <c r="F253" s="23" t="s">
        <v>5757</v>
      </c>
      <c r="G253" s="22">
        <v>2014</v>
      </c>
      <c r="H253" s="24">
        <v>41496</v>
      </c>
      <c r="I253" s="23"/>
      <c r="J253" s="23"/>
      <c r="K253" s="26" t="s">
        <v>928</v>
      </c>
      <c r="L253" s="27"/>
      <c r="M253" s="27"/>
    </row>
    <row r="254" spans="1:13" ht="15.75" customHeight="1">
      <c r="A254" s="22">
        <v>16187619</v>
      </c>
      <c r="B254" s="23" t="s">
        <v>5758</v>
      </c>
      <c r="C254" s="23" t="s">
        <v>5759</v>
      </c>
      <c r="D254" s="23" t="s">
        <v>5760</v>
      </c>
      <c r="E254" s="23" t="s">
        <v>3456</v>
      </c>
      <c r="F254" s="23" t="s">
        <v>5761</v>
      </c>
      <c r="G254" s="22">
        <v>2005</v>
      </c>
      <c r="H254" s="24">
        <v>38624</v>
      </c>
      <c r="I254" s="23"/>
      <c r="J254" s="23"/>
      <c r="K254" s="23"/>
      <c r="L254" s="23"/>
      <c r="M254" s="23"/>
    </row>
    <row r="255" spans="1:13" ht="15.75" customHeight="1">
      <c r="A255" s="22">
        <v>26038958</v>
      </c>
      <c r="B255" s="23" t="s">
        <v>5762</v>
      </c>
      <c r="C255" s="23" t="s">
        <v>5763</v>
      </c>
      <c r="D255" s="23" t="s">
        <v>5764</v>
      </c>
      <c r="E255" s="23" t="s">
        <v>4324</v>
      </c>
      <c r="F255" s="23" t="s">
        <v>5765</v>
      </c>
      <c r="G255" s="22">
        <v>2015</v>
      </c>
      <c r="H255" s="24">
        <v>42159</v>
      </c>
      <c r="I255" s="26" t="s">
        <v>5766</v>
      </c>
      <c r="J255" s="27"/>
      <c r="K255" s="26" t="s">
        <v>4325</v>
      </c>
      <c r="L255" s="27"/>
      <c r="M255" s="27"/>
    </row>
    <row r="256" spans="1:13" ht="15.75" customHeight="1">
      <c r="A256" s="22">
        <v>31579937</v>
      </c>
      <c r="B256" s="23" t="s">
        <v>5767</v>
      </c>
      <c r="C256" s="23" t="s">
        <v>5768</v>
      </c>
      <c r="D256" s="23" t="s">
        <v>5769</v>
      </c>
      <c r="E256" s="23" t="s">
        <v>1372</v>
      </c>
      <c r="F256" s="23" t="s">
        <v>4923</v>
      </c>
      <c r="G256" s="22">
        <v>2020</v>
      </c>
      <c r="H256" s="24">
        <v>43742</v>
      </c>
      <c r="I256" s="23"/>
      <c r="J256" s="23"/>
      <c r="K256" s="26" t="s">
        <v>1373</v>
      </c>
      <c r="L256" s="27"/>
      <c r="M256" s="23"/>
    </row>
    <row r="257" spans="1:13" ht="15.75" customHeight="1">
      <c r="A257" s="22">
        <v>22201827</v>
      </c>
      <c r="B257" s="23" t="s">
        <v>5770</v>
      </c>
      <c r="C257" s="23" t="s">
        <v>5771</v>
      </c>
      <c r="D257" s="23" t="s">
        <v>5772</v>
      </c>
      <c r="E257" s="23" t="s">
        <v>1614</v>
      </c>
      <c r="F257" s="23" t="s">
        <v>5773</v>
      </c>
      <c r="G257" s="22">
        <v>2012</v>
      </c>
      <c r="H257" s="24">
        <v>40906</v>
      </c>
      <c r="I257" s="23"/>
      <c r="J257" s="23"/>
      <c r="K257" s="26" t="s">
        <v>1615</v>
      </c>
      <c r="L257" s="27"/>
      <c r="M257" s="23"/>
    </row>
    <row r="258" spans="1:13" ht="15.75" customHeight="1">
      <c r="A258" s="22">
        <v>32428994</v>
      </c>
      <c r="B258" s="23" t="s">
        <v>5774</v>
      </c>
      <c r="C258" s="23" t="s">
        <v>5775</v>
      </c>
      <c r="D258" s="23" t="s">
        <v>5776</v>
      </c>
      <c r="E258" s="23" t="s">
        <v>3575</v>
      </c>
      <c r="F258" s="23" t="s">
        <v>5726</v>
      </c>
      <c r="G258" s="22">
        <v>2020</v>
      </c>
      <c r="H258" s="24">
        <v>43971</v>
      </c>
      <c r="I258" s="23"/>
      <c r="J258" s="23"/>
      <c r="K258" s="26" t="s">
        <v>3576</v>
      </c>
      <c r="L258" s="27"/>
      <c r="M258" s="23"/>
    </row>
    <row r="259" spans="1:13" ht="15.75" customHeight="1">
      <c r="A259" s="22">
        <v>26209402</v>
      </c>
      <c r="B259" s="23" t="s">
        <v>5777</v>
      </c>
      <c r="C259" s="23" t="s">
        <v>5778</v>
      </c>
      <c r="D259" s="23" t="s">
        <v>5779</v>
      </c>
      <c r="E259" s="23" t="s">
        <v>2490</v>
      </c>
      <c r="F259" s="23" t="s">
        <v>4896</v>
      </c>
      <c r="G259" s="22">
        <v>2015</v>
      </c>
      <c r="H259" s="24">
        <v>42211</v>
      </c>
      <c r="I259" s="23"/>
      <c r="J259" s="23"/>
      <c r="K259" s="26" t="s">
        <v>2491</v>
      </c>
      <c r="L259" s="27"/>
      <c r="M259" s="27"/>
    </row>
    <row r="260" spans="1:13" ht="15.75" customHeight="1">
      <c r="A260" s="22">
        <v>20404187</v>
      </c>
      <c r="B260" s="23" t="s">
        <v>5780</v>
      </c>
      <c r="C260" s="23" t="s">
        <v>5781</v>
      </c>
      <c r="D260" s="23" t="s">
        <v>5782</v>
      </c>
      <c r="E260" s="23" t="s">
        <v>2561</v>
      </c>
      <c r="F260" s="23" t="s">
        <v>5783</v>
      </c>
      <c r="G260" s="22">
        <v>2010</v>
      </c>
      <c r="H260" s="24">
        <v>40289</v>
      </c>
      <c r="I260" s="26" t="s">
        <v>5784</v>
      </c>
      <c r="J260" s="27"/>
      <c r="K260" s="26" t="s">
        <v>2564</v>
      </c>
      <c r="L260" s="27"/>
      <c r="M260" s="27"/>
    </row>
    <row r="261" spans="1:13" ht="15.75" customHeight="1">
      <c r="A261" s="22">
        <v>8388898</v>
      </c>
      <c r="B261" s="23" t="s">
        <v>5785</v>
      </c>
      <c r="C261" s="23" t="s">
        <v>5786</v>
      </c>
      <c r="D261" s="23" t="s">
        <v>5787</v>
      </c>
      <c r="E261" s="23" t="s">
        <v>2412</v>
      </c>
      <c r="F261" s="23" t="s">
        <v>4992</v>
      </c>
      <c r="G261" s="22">
        <v>1993</v>
      </c>
      <c r="H261" s="24">
        <v>34121</v>
      </c>
      <c r="I261" s="23"/>
      <c r="J261" s="23"/>
      <c r="K261" s="26" t="s">
        <v>2413</v>
      </c>
      <c r="L261" s="27"/>
      <c r="M261" s="27"/>
    </row>
    <row r="262" spans="1:13" ht="15.75" customHeight="1">
      <c r="A262" s="22">
        <v>24658548</v>
      </c>
      <c r="B262" s="23" t="s">
        <v>5788</v>
      </c>
      <c r="C262" s="23" t="s">
        <v>5789</v>
      </c>
      <c r="D262" s="23" t="s">
        <v>5790</v>
      </c>
      <c r="E262" s="23" t="s">
        <v>260</v>
      </c>
      <c r="F262" s="23" t="s">
        <v>5791</v>
      </c>
      <c r="G262" s="22">
        <v>2014</v>
      </c>
      <c r="H262" s="24">
        <v>41723</v>
      </c>
      <c r="I262" s="26" t="s">
        <v>5792</v>
      </c>
      <c r="J262" s="27"/>
      <c r="K262" s="26" t="s">
        <v>391</v>
      </c>
      <c r="L262" s="27"/>
      <c r="M262" s="27"/>
    </row>
    <row r="263" spans="1:13" ht="15.75" customHeight="1">
      <c r="A263" s="22">
        <v>19505844</v>
      </c>
      <c r="B263" s="23" t="s">
        <v>5793</v>
      </c>
      <c r="C263" s="23" t="s">
        <v>5794</v>
      </c>
      <c r="D263" s="23" t="s">
        <v>5795</v>
      </c>
      <c r="E263" s="23" t="s">
        <v>596</v>
      </c>
      <c r="F263" s="23" t="s">
        <v>4896</v>
      </c>
      <c r="G263" s="22">
        <v>2009</v>
      </c>
      <c r="H263" s="24">
        <v>39974</v>
      </c>
      <c r="I263" s="23"/>
      <c r="J263" s="23"/>
      <c r="K263" s="26" t="s">
        <v>597</v>
      </c>
      <c r="L263" s="27"/>
      <c r="M263" s="27"/>
    </row>
    <row r="264" spans="1:13" ht="15.75" customHeight="1">
      <c r="A264" s="22">
        <v>15327521</v>
      </c>
      <c r="B264" s="23" t="s">
        <v>5796</v>
      </c>
      <c r="C264" s="23" t="s">
        <v>5797</v>
      </c>
      <c r="D264" s="23" t="s">
        <v>5798</v>
      </c>
      <c r="E264" s="23" t="s">
        <v>294</v>
      </c>
      <c r="F264" s="23" t="s">
        <v>5211</v>
      </c>
      <c r="G264" s="22">
        <v>2004</v>
      </c>
      <c r="H264" s="24">
        <v>38225</v>
      </c>
      <c r="I264" s="23"/>
      <c r="J264" s="23"/>
      <c r="K264" s="26" t="s">
        <v>423</v>
      </c>
      <c r="L264" s="27"/>
      <c r="M264" s="27"/>
    </row>
    <row r="265" spans="1:13" ht="15.75" customHeight="1">
      <c r="A265" s="22">
        <v>27344170</v>
      </c>
      <c r="B265" s="23" t="s">
        <v>5799</v>
      </c>
      <c r="C265" s="23" t="s">
        <v>5800</v>
      </c>
      <c r="D265" s="23" t="s">
        <v>5801</v>
      </c>
      <c r="E265" s="23" t="s">
        <v>3967</v>
      </c>
      <c r="F265" s="23" t="s">
        <v>5802</v>
      </c>
      <c r="G265" s="22">
        <v>2016</v>
      </c>
      <c r="H265" s="24">
        <v>42548</v>
      </c>
      <c r="I265" s="26" t="s">
        <v>5803</v>
      </c>
      <c r="J265" s="27"/>
      <c r="K265" s="26" t="s">
        <v>3968</v>
      </c>
      <c r="L265" s="27"/>
      <c r="M265" s="27"/>
    </row>
    <row r="266" spans="1:13" ht="15.75" customHeight="1">
      <c r="A266" s="22">
        <v>32424944</v>
      </c>
      <c r="B266" s="23" t="s">
        <v>5804</v>
      </c>
      <c r="C266" s="23" t="s">
        <v>5805</v>
      </c>
      <c r="D266" s="23" t="s">
        <v>5806</v>
      </c>
      <c r="E266" s="23" t="s">
        <v>2498</v>
      </c>
      <c r="F266" s="23" t="s">
        <v>4974</v>
      </c>
      <c r="G266" s="22">
        <v>2020</v>
      </c>
      <c r="H266" s="24">
        <v>43971</v>
      </c>
      <c r="I266" s="23"/>
      <c r="J266" s="23"/>
      <c r="K266" s="26" t="s">
        <v>2499</v>
      </c>
      <c r="L266" s="27"/>
      <c r="M266" s="23"/>
    </row>
    <row r="267" spans="1:13" ht="15.75" customHeight="1">
      <c r="A267" s="22">
        <v>16518751</v>
      </c>
      <c r="B267" s="23" t="s">
        <v>5807</v>
      </c>
      <c r="C267" s="23" t="s">
        <v>5808</v>
      </c>
      <c r="D267" s="23" t="s">
        <v>5809</v>
      </c>
      <c r="E267" s="23" t="s">
        <v>1664</v>
      </c>
      <c r="F267" s="23" t="s">
        <v>4992</v>
      </c>
      <c r="G267" s="22">
        <v>2006</v>
      </c>
      <c r="H267" s="24">
        <v>38783</v>
      </c>
      <c r="I267" s="23"/>
      <c r="J267" s="23"/>
      <c r="K267" s="26" t="s">
        <v>1671</v>
      </c>
      <c r="L267" s="27"/>
      <c r="M267" s="23"/>
    </row>
    <row r="268" spans="1:13" ht="15.75" customHeight="1">
      <c r="A268" s="22">
        <v>23514960</v>
      </c>
      <c r="B268" s="23" t="s">
        <v>5810</v>
      </c>
      <c r="C268" s="23" t="s">
        <v>5811</v>
      </c>
      <c r="D268" s="23" t="s">
        <v>5812</v>
      </c>
      <c r="E268" s="23" t="s">
        <v>233</v>
      </c>
      <c r="F268" s="23" t="s">
        <v>5445</v>
      </c>
      <c r="G268" s="22">
        <v>2013</v>
      </c>
      <c r="H268" s="24">
        <v>41355</v>
      </c>
      <c r="I268" s="23"/>
      <c r="J268" s="23"/>
      <c r="K268" s="26" t="s">
        <v>369</v>
      </c>
      <c r="L268" s="27"/>
      <c r="M268" s="27"/>
    </row>
    <row r="269" spans="1:13" ht="15.75" customHeight="1">
      <c r="A269" s="22">
        <v>17207644</v>
      </c>
      <c r="B269" s="23" t="s">
        <v>5813</v>
      </c>
      <c r="C269" s="23" t="s">
        <v>5814</v>
      </c>
      <c r="D269" s="23" t="s">
        <v>5815</v>
      </c>
      <c r="E269" s="23" t="s">
        <v>3792</v>
      </c>
      <c r="F269" s="23" t="s">
        <v>5816</v>
      </c>
      <c r="G269" s="22">
        <v>2007</v>
      </c>
      <c r="H269" s="24">
        <v>39091</v>
      </c>
      <c r="I269" s="23"/>
      <c r="J269" s="23"/>
      <c r="K269" s="26" t="s">
        <v>3793</v>
      </c>
      <c r="L269" s="27"/>
      <c r="M269" s="27"/>
    </row>
    <row r="270" spans="1:13" ht="15.75" customHeight="1">
      <c r="A270" s="22">
        <v>25691643</v>
      </c>
      <c r="B270" s="23" t="s">
        <v>5817</v>
      </c>
      <c r="C270" s="23" t="s">
        <v>5818</v>
      </c>
      <c r="D270" s="23" t="s">
        <v>5819</v>
      </c>
      <c r="E270" s="23" t="s">
        <v>2382</v>
      </c>
      <c r="F270" s="23" t="s">
        <v>5820</v>
      </c>
      <c r="G270" s="22">
        <v>2015</v>
      </c>
      <c r="H270" s="24">
        <v>42054</v>
      </c>
      <c r="I270" s="26" t="s">
        <v>5821</v>
      </c>
      <c r="J270" s="27"/>
      <c r="K270" s="26" t="s">
        <v>2383</v>
      </c>
      <c r="L270" s="27"/>
      <c r="M270" s="23"/>
    </row>
    <row r="271" spans="1:13" ht="15.75" customHeight="1">
      <c r="A271" s="22">
        <v>21543487</v>
      </c>
      <c r="B271" s="23" t="s">
        <v>5822</v>
      </c>
      <c r="C271" s="23" t="s">
        <v>5823</v>
      </c>
      <c r="D271" s="23" t="s">
        <v>5824</v>
      </c>
      <c r="E271" s="23" t="s">
        <v>1463</v>
      </c>
      <c r="F271" s="23" t="s">
        <v>4891</v>
      </c>
      <c r="G271" s="22">
        <v>2011</v>
      </c>
      <c r="H271" s="24">
        <v>40669</v>
      </c>
      <c r="I271" s="26" t="s">
        <v>5825</v>
      </c>
      <c r="J271" s="27"/>
      <c r="K271" s="26" t="s">
        <v>1464</v>
      </c>
      <c r="L271" s="27"/>
      <c r="M271" s="23"/>
    </row>
    <row r="272" spans="1:13" ht="15.75" customHeight="1">
      <c r="A272" s="22">
        <v>21254895</v>
      </c>
      <c r="B272" s="23" t="s">
        <v>5826</v>
      </c>
      <c r="C272" s="23" t="s">
        <v>5827</v>
      </c>
      <c r="D272" s="23" t="s">
        <v>5828</v>
      </c>
      <c r="E272" s="23" t="s">
        <v>3654</v>
      </c>
      <c r="F272" s="23" t="s">
        <v>5829</v>
      </c>
      <c r="G272" s="22">
        <v>2012</v>
      </c>
      <c r="H272" s="24">
        <v>40568</v>
      </c>
      <c r="I272" s="23"/>
      <c r="J272" s="23"/>
      <c r="K272" s="26" t="s">
        <v>3655</v>
      </c>
      <c r="L272" s="27"/>
      <c r="M272" s="27"/>
    </row>
    <row r="273" spans="1:13" ht="15.75" customHeight="1">
      <c r="A273" s="22">
        <v>22647694</v>
      </c>
      <c r="B273" s="23" t="s">
        <v>5830</v>
      </c>
      <c r="C273" s="23" t="s">
        <v>5831</v>
      </c>
      <c r="D273" s="23" t="s">
        <v>5832</v>
      </c>
      <c r="E273" s="23" t="s">
        <v>3503</v>
      </c>
      <c r="F273" s="23" t="s">
        <v>4891</v>
      </c>
      <c r="G273" s="22">
        <v>2012</v>
      </c>
      <c r="H273" s="24">
        <v>41061</v>
      </c>
      <c r="I273" s="26" t="s">
        <v>5833</v>
      </c>
      <c r="J273" s="27"/>
      <c r="K273" s="26" t="s">
        <v>3504</v>
      </c>
      <c r="L273" s="27"/>
      <c r="M273" s="23"/>
    </row>
    <row r="274" spans="1:13" ht="15.75" customHeight="1">
      <c r="A274" s="22">
        <v>20970670</v>
      </c>
      <c r="B274" s="23" t="s">
        <v>5834</v>
      </c>
      <c r="C274" s="23" t="s">
        <v>5835</v>
      </c>
      <c r="D274" s="23" t="s">
        <v>5836</v>
      </c>
      <c r="E274" s="23" t="s">
        <v>672</v>
      </c>
      <c r="F274" s="23" t="s">
        <v>5696</v>
      </c>
      <c r="G274" s="22">
        <v>2010</v>
      </c>
      <c r="H274" s="24">
        <v>40477</v>
      </c>
      <c r="I274" s="23"/>
      <c r="J274" s="23"/>
      <c r="K274" s="26" t="s">
        <v>673</v>
      </c>
      <c r="L274" s="27"/>
      <c r="M274" s="27"/>
    </row>
    <row r="275" spans="1:13" ht="15.75" customHeight="1">
      <c r="A275" s="22">
        <v>17075280</v>
      </c>
      <c r="B275" s="23" t="s">
        <v>5837</v>
      </c>
      <c r="C275" s="23" t="s">
        <v>5838</v>
      </c>
      <c r="D275" s="23" t="s">
        <v>5839</v>
      </c>
      <c r="E275" s="23" t="s">
        <v>3989</v>
      </c>
      <c r="F275" s="23" t="s">
        <v>5840</v>
      </c>
      <c r="G275" s="22">
        <v>2006</v>
      </c>
      <c r="H275" s="24">
        <v>39022</v>
      </c>
      <c r="I275" s="23"/>
      <c r="J275" s="23"/>
      <c r="K275" s="26" t="s">
        <v>3990</v>
      </c>
      <c r="L275" s="27"/>
      <c r="M275" s="23"/>
    </row>
    <row r="276" spans="1:13" ht="15.75" customHeight="1">
      <c r="A276" s="22">
        <v>10400183</v>
      </c>
      <c r="B276" s="23" t="s">
        <v>5841</v>
      </c>
      <c r="C276" s="23" t="s">
        <v>5842</v>
      </c>
      <c r="D276" s="23" t="s">
        <v>5843</v>
      </c>
      <c r="E276" s="23" t="s">
        <v>155</v>
      </c>
      <c r="F276" s="23" t="s">
        <v>5844</v>
      </c>
      <c r="G276" s="22">
        <v>1999</v>
      </c>
      <c r="H276" s="24">
        <v>36351</v>
      </c>
      <c r="I276" s="23"/>
      <c r="J276" s="23"/>
      <c r="K276" s="26" t="s">
        <v>3452</v>
      </c>
      <c r="L276" s="27"/>
      <c r="M276" s="27"/>
    </row>
    <row r="277" spans="1:13" ht="15.75" customHeight="1">
      <c r="A277" s="22">
        <v>20138915</v>
      </c>
      <c r="B277" s="23" t="s">
        <v>5845</v>
      </c>
      <c r="C277" s="23" t="s">
        <v>5846</v>
      </c>
      <c r="D277" s="23" t="s">
        <v>5847</v>
      </c>
      <c r="E277" s="23" t="s">
        <v>654</v>
      </c>
      <c r="F277" s="23" t="s">
        <v>5267</v>
      </c>
      <c r="G277" s="22">
        <v>2010</v>
      </c>
      <c r="H277" s="24">
        <v>40218</v>
      </c>
      <c r="I277" s="23"/>
      <c r="J277" s="23"/>
      <c r="K277" s="26" t="s">
        <v>2483</v>
      </c>
      <c r="L277" s="27"/>
      <c r="M277" s="27"/>
    </row>
    <row r="278" spans="1:13" ht="15.75" customHeight="1">
      <c r="A278" s="22">
        <v>10745266</v>
      </c>
      <c r="B278" s="23" t="s">
        <v>5848</v>
      </c>
      <c r="C278" s="23" t="s">
        <v>5849</v>
      </c>
      <c r="D278" s="23" t="s">
        <v>5850</v>
      </c>
      <c r="E278" s="23" t="s">
        <v>2662</v>
      </c>
      <c r="F278" s="23" t="s">
        <v>4863</v>
      </c>
      <c r="G278" s="22">
        <v>2000</v>
      </c>
      <c r="H278" s="24">
        <v>36620</v>
      </c>
      <c r="I278" s="23"/>
      <c r="J278" s="23"/>
      <c r="K278" s="26" t="s">
        <v>2663</v>
      </c>
      <c r="L278" s="27"/>
      <c r="M278" s="23"/>
    </row>
    <row r="279" spans="1:13" ht="15.75" customHeight="1">
      <c r="A279" s="22">
        <v>12477249</v>
      </c>
      <c r="B279" s="23" t="s">
        <v>5851</v>
      </c>
      <c r="C279" s="23" t="s">
        <v>5852</v>
      </c>
      <c r="D279" s="23" t="s">
        <v>5853</v>
      </c>
      <c r="E279" s="23" t="s">
        <v>654</v>
      </c>
      <c r="F279" s="23" t="s">
        <v>5163</v>
      </c>
      <c r="G279" s="22">
        <v>2002</v>
      </c>
      <c r="H279" s="24">
        <v>37603</v>
      </c>
      <c r="I279" s="23"/>
      <c r="J279" s="23"/>
      <c r="K279" s="26" t="s">
        <v>655</v>
      </c>
      <c r="L279" s="27"/>
      <c r="M279" s="27"/>
    </row>
    <row r="280" spans="1:13" ht="15.75" customHeight="1">
      <c r="A280" s="22">
        <v>18695326</v>
      </c>
      <c r="B280" s="23" t="s">
        <v>5854</v>
      </c>
      <c r="C280" s="23" t="s">
        <v>5855</v>
      </c>
      <c r="D280" s="23" t="s">
        <v>5856</v>
      </c>
      <c r="E280" s="23" t="s">
        <v>479</v>
      </c>
      <c r="F280" s="23" t="s">
        <v>5857</v>
      </c>
      <c r="G280" s="22">
        <v>2008</v>
      </c>
      <c r="H280" s="24">
        <v>39673</v>
      </c>
      <c r="I280" s="23"/>
      <c r="J280" s="23"/>
      <c r="K280" s="26" t="s">
        <v>480</v>
      </c>
      <c r="L280" s="27"/>
      <c r="M280" s="27"/>
    </row>
    <row r="281" spans="1:13" ht="15.75" customHeight="1">
      <c r="A281" s="22">
        <v>9920848</v>
      </c>
      <c r="B281" s="23" t="s">
        <v>5858</v>
      </c>
      <c r="C281" s="23" t="s">
        <v>5859</v>
      </c>
      <c r="D281" s="23" t="s">
        <v>5860</v>
      </c>
      <c r="E281" s="23" t="s">
        <v>4579</v>
      </c>
      <c r="F281" s="23" t="s">
        <v>5343</v>
      </c>
      <c r="G281" s="22">
        <v>1999</v>
      </c>
      <c r="H281" s="24">
        <v>36188</v>
      </c>
      <c r="I281" s="23"/>
      <c r="J281" s="23"/>
      <c r="K281" s="23"/>
      <c r="L281" s="23"/>
      <c r="M281" s="23"/>
    </row>
    <row r="282" spans="1:13" ht="15.75" customHeight="1">
      <c r="A282" s="22">
        <v>1311135</v>
      </c>
      <c r="B282" s="23" t="s">
        <v>5861</v>
      </c>
      <c r="C282" s="23" t="s">
        <v>5862</v>
      </c>
      <c r="D282" s="23" t="s">
        <v>5863</v>
      </c>
      <c r="E282" s="23" t="s">
        <v>1341</v>
      </c>
      <c r="F282" s="23" t="s">
        <v>5122</v>
      </c>
      <c r="G282" s="22">
        <v>1992</v>
      </c>
      <c r="H282" s="24">
        <v>33604</v>
      </c>
      <c r="I282" s="23"/>
      <c r="J282" s="23"/>
      <c r="K282" s="26" t="s">
        <v>1342</v>
      </c>
      <c r="L282" s="27"/>
      <c r="M282" s="27"/>
    </row>
    <row r="283" spans="1:13" ht="15.75" customHeight="1">
      <c r="A283" s="22">
        <v>12367753</v>
      </c>
      <c r="B283" s="23" t="s">
        <v>5864</v>
      </c>
      <c r="C283" s="23" t="s">
        <v>5865</v>
      </c>
      <c r="D283" s="23" t="s">
        <v>5866</v>
      </c>
      <c r="E283" s="23" t="s">
        <v>3520</v>
      </c>
      <c r="F283" s="23" t="s">
        <v>5122</v>
      </c>
      <c r="G283" s="22">
        <v>2002</v>
      </c>
      <c r="H283" s="24">
        <v>37538</v>
      </c>
      <c r="I283" s="23"/>
      <c r="J283" s="23"/>
      <c r="K283" s="26" t="s">
        <v>3521</v>
      </c>
      <c r="L283" s="27"/>
      <c r="M283" s="27"/>
    </row>
    <row r="284" spans="1:13" ht="15.75" customHeight="1">
      <c r="A284" s="22">
        <v>18512026</v>
      </c>
      <c r="B284" s="23" t="s">
        <v>5867</v>
      </c>
      <c r="C284" s="23" t="s">
        <v>5868</v>
      </c>
      <c r="D284" s="23" t="s">
        <v>5869</v>
      </c>
      <c r="E284" s="23" t="s">
        <v>567</v>
      </c>
      <c r="F284" s="23" t="s">
        <v>5592</v>
      </c>
      <c r="G284" s="22">
        <v>2008</v>
      </c>
      <c r="H284" s="24">
        <v>39599</v>
      </c>
      <c r="I284" s="26" t="s">
        <v>5870</v>
      </c>
      <c r="J284" s="27"/>
      <c r="K284" s="26" t="s">
        <v>568</v>
      </c>
      <c r="L284" s="27"/>
      <c r="M284" s="27"/>
    </row>
    <row r="285" spans="1:13" ht="15.75" customHeight="1">
      <c r="A285" s="22">
        <v>11876972</v>
      </c>
      <c r="B285" s="23" t="s">
        <v>5871</v>
      </c>
      <c r="C285" s="23" t="s">
        <v>5872</v>
      </c>
      <c r="D285" s="23" t="s">
        <v>5873</v>
      </c>
      <c r="E285" s="23" t="s">
        <v>3070</v>
      </c>
      <c r="F285" s="23" t="s">
        <v>5874</v>
      </c>
      <c r="G285" s="22">
        <v>2000</v>
      </c>
      <c r="H285" s="24">
        <v>37321</v>
      </c>
      <c r="I285" s="23"/>
      <c r="J285" s="23"/>
      <c r="K285" s="23"/>
      <c r="L285" s="23"/>
      <c r="M285" s="23"/>
    </row>
    <row r="286" spans="1:13" ht="15.75" customHeight="1">
      <c r="A286" s="22">
        <v>10765058</v>
      </c>
      <c r="B286" s="23" t="s">
        <v>5875</v>
      </c>
      <c r="C286" s="23" t="s">
        <v>5876</v>
      </c>
      <c r="D286" s="23" t="s">
        <v>5877</v>
      </c>
      <c r="E286" s="23" t="s">
        <v>2710</v>
      </c>
      <c r="F286" s="23" t="s">
        <v>5878</v>
      </c>
      <c r="G286" s="22">
        <v>2000</v>
      </c>
      <c r="H286" s="24">
        <v>36631</v>
      </c>
      <c r="I286" s="23"/>
      <c r="J286" s="23"/>
      <c r="K286" s="26" t="s">
        <v>2711</v>
      </c>
      <c r="L286" s="27"/>
      <c r="M286" s="23"/>
    </row>
    <row r="287" spans="1:13" ht="15.75" customHeight="1">
      <c r="A287" s="22">
        <v>20872717</v>
      </c>
      <c r="B287" s="23" t="s">
        <v>5879</v>
      </c>
      <c r="C287" s="23" t="s">
        <v>5880</v>
      </c>
      <c r="D287" s="23" t="s">
        <v>5881</v>
      </c>
      <c r="E287" s="23" t="s">
        <v>1063</v>
      </c>
      <c r="F287" s="23" t="s">
        <v>4923</v>
      </c>
      <c r="G287" s="22">
        <v>2010</v>
      </c>
      <c r="H287" s="24">
        <v>40449</v>
      </c>
      <c r="I287" s="23"/>
      <c r="J287" s="23"/>
      <c r="K287" s="26" t="s">
        <v>1067</v>
      </c>
      <c r="L287" s="27"/>
      <c r="M287" s="23"/>
    </row>
    <row r="288" spans="1:13" ht="15.75" customHeight="1">
      <c r="A288" s="22">
        <v>19153640</v>
      </c>
      <c r="B288" s="23" t="s">
        <v>5882</v>
      </c>
      <c r="C288" s="23" t="s">
        <v>5883</v>
      </c>
      <c r="D288" s="23" t="s">
        <v>5884</v>
      </c>
      <c r="E288" s="23" t="s">
        <v>4046</v>
      </c>
      <c r="F288" s="23" t="s">
        <v>5186</v>
      </c>
      <c r="G288" s="22">
        <v>2009</v>
      </c>
      <c r="H288" s="24">
        <v>39834</v>
      </c>
      <c r="I288" s="23"/>
      <c r="J288" s="23"/>
      <c r="K288" s="26" t="s">
        <v>4047</v>
      </c>
      <c r="L288" s="27"/>
      <c r="M288" s="27"/>
    </row>
    <row r="289" spans="1:13" ht="15.75" customHeight="1">
      <c r="A289" s="22">
        <v>23674671</v>
      </c>
      <c r="B289" s="23" t="s">
        <v>5885</v>
      </c>
      <c r="C289" s="23" t="s">
        <v>5886</v>
      </c>
      <c r="D289" s="23" t="s">
        <v>5887</v>
      </c>
      <c r="E289" s="23" t="s">
        <v>4191</v>
      </c>
      <c r="F289" s="23" t="s">
        <v>5783</v>
      </c>
      <c r="G289" s="22">
        <v>2013</v>
      </c>
      <c r="H289" s="24">
        <v>41410</v>
      </c>
      <c r="I289" s="26" t="s">
        <v>5888</v>
      </c>
      <c r="J289" s="27"/>
      <c r="K289" s="26" t="s">
        <v>4202</v>
      </c>
      <c r="L289" s="27"/>
      <c r="M289" s="27"/>
    </row>
    <row r="290" spans="1:13" ht="15.75" customHeight="1">
      <c r="A290" s="22">
        <v>17958914</v>
      </c>
      <c r="B290" s="23" t="s">
        <v>5889</v>
      </c>
      <c r="C290" s="23" t="s">
        <v>5890</v>
      </c>
      <c r="D290" s="23" t="s">
        <v>5891</v>
      </c>
      <c r="E290" s="23" t="s">
        <v>3854</v>
      </c>
      <c r="F290" s="23" t="s">
        <v>4867</v>
      </c>
      <c r="G290" s="22">
        <v>2007</v>
      </c>
      <c r="H290" s="24">
        <v>39381</v>
      </c>
      <c r="I290" s="26" t="s">
        <v>5892</v>
      </c>
      <c r="J290" s="27"/>
      <c r="K290" s="26" t="s">
        <v>3855</v>
      </c>
      <c r="L290" s="27"/>
      <c r="M290" s="27"/>
    </row>
    <row r="291" spans="1:13" ht="15.75" customHeight="1">
      <c r="A291" s="22">
        <v>16477222</v>
      </c>
      <c r="B291" s="23" t="s">
        <v>5893</v>
      </c>
      <c r="C291" s="23" t="s">
        <v>5894</v>
      </c>
      <c r="D291" s="23" t="s">
        <v>5895</v>
      </c>
      <c r="E291" s="23" t="s">
        <v>2294</v>
      </c>
      <c r="F291" s="23" t="s">
        <v>5445</v>
      </c>
      <c r="G291" s="22">
        <v>2006</v>
      </c>
      <c r="H291" s="24">
        <v>38764</v>
      </c>
      <c r="I291" s="23"/>
      <c r="J291" s="23"/>
      <c r="K291" s="26" t="s">
        <v>2297</v>
      </c>
      <c r="L291" s="27"/>
      <c r="M291" s="27"/>
    </row>
    <row r="292" spans="1:13" ht="15.75" customHeight="1">
      <c r="A292" s="22">
        <v>17276364</v>
      </c>
      <c r="B292" s="23" t="s">
        <v>5896</v>
      </c>
      <c r="C292" s="23" t="s">
        <v>5897</v>
      </c>
      <c r="D292" s="23" t="s">
        <v>5898</v>
      </c>
      <c r="E292" s="23" t="s">
        <v>1800</v>
      </c>
      <c r="F292" s="23" t="s">
        <v>4896</v>
      </c>
      <c r="G292" s="22">
        <v>2006</v>
      </c>
      <c r="H292" s="24">
        <v>39119</v>
      </c>
      <c r="I292" s="23"/>
      <c r="J292" s="23"/>
      <c r="K292" s="26" t="s">
        <v>1801</v>
      </c>
      <c r="L292" s="27"/>
      <c r="M292" s="27"/>
    </row>
    <row r="293" spans="1:13" ht="15.75" customHeight="1">
      <c r="A293" s="22">
        <v>1649319</v>
      </c>
      <c r="B293" s="23" t="s">
        <v>5899</v>
      </c>
      <c r="C293" s="23" t="s">
        <v>5900</v>
      </c>
      <c r="D293" s="23" t="s">
        <v>5901</v>
      </c>
      <c r="E293" s="23" t="s">
        <v>2061</v>
      </c>
      <c r="F293" s="23" t="s">
        <v>4891</v>
      </c>
      <c r="G293" s="22">
        <v>1991</v>
      </c>
      <c r="H293" s="24">
        <v>33451</v>
      </c>
      <c r="I293" s="23" t="s">
        <v>5902</v>
      </c>
      <c r="J293" s="23"/>
      <c r="K293" s="26" t="s">
        <v>2062</v>
      </c>
      <c r="L293" s="27"/>
      <c r="M293" s="27"/>
    </row>
    <row r="294" spans="1:13" ht="15.75" customHeight="1">
      <c r="A294" s="22">
        <v>10558965</v>
      </c>
      <c r="B294" s="23" t="s">
        <v>5903</v>
      </c>
      <c r="C294" s="23" t="s">
        <v>5904</v>
      </c>
      <c r="D294" s="23" t="s">
        <v>5905</v>
      </c>
      <c r="E294" s="23" t="s">
        <v>1761</v>
      </c>
      <c r="F294" s="23" t="s">
        <v>4992</v>
      </c>
      <c r="G294" s="22">
        <v>1999</v>
      </c>
      <c r="H294" s="24">
        <v>36488</v>
      </c>
      <c r="I294" s="23"/>
      <c r="J294" s="23"/>
      <c r="K294" s="26" t="s">
        <v>1762</v>
      </c>
      <c r="L294" s="27"/>
      <c r="M294" s="23"/>
    </row>
    <row r="295" spans="1:13" ht="15.75" customHeight="1">
      <c r="A295" s="22">
        <v>17276371</v>
      </c>
      <c r="B295" s="23" t="s">
        <v>5906</v>
      </c>
      <c r="C295" s="23" t="s">
        <v>5907</v>
      </c>
      <c r="D295" s="23" t="s">
        <v>5908</v>
      </c>
      <c r="E295" s="23" t="s">
        <v>4566</v>
      </c>
      <c r="F295" s="23" t="s">
        <v>4896</v>
      </c>
      <c r="G295" s="22">
        <v>2006</v>
      </c>
      <c r="H295" s="24">
        <v>39119</v>
      </c>
      <c r="I295" s="26" t="s">
        <v>5909</v>
      </c>
      <c r="J295" s="27"/>
      <c r="K295" s="26" t="s">
        <v>4569</v>
      </c>
      <c r="L295" s="27"/>
      <c r="M295" s="27"/>
    </row>
    <row r="296" spans="1:13" ht="15.75" customHeight="1">
      <c r="A296" s="22">
        <v>8844976</v>
      </c>
      <c r="B296" s="23" t="s">
        <v>5910</v>
      </c>
      <c r="C296" s="23" t="s">
        <v>5911</v>
      </c>
      <c r="D296" s="23" t="s">
        <v>5912</v>
      </c>
      <c r="E296" s="23" t="s">
        <v>3716</v>
      </c>
      <c r="F296" s="23" t="s">
        <v>5913</v>
      </c>
      <c r="G296" s="22">
        <v>1996</v>
      </c>
      <c r="H296" s="24">
        <v>35318</v>
      </c>
      <c r="I296" s="23"/>
      <c r="J296" s="23"/>
      <c r="K296" s="26" t="s">
        <v>3717</v>
      </c>
      <c r="L296" s="27"/>
      <c r="M296" s="27"/>
    </row>
    <row r="297" spans="1:13" ht="15.75" customHeight="1">
      <c r="A297" s="22">
        <v>11391342</v>
      </c>
      <c r="B297" s="23" t="s">
        <v>5914</v>
      </c>
      <c r="C297" s="23" t="s">
        <v>5915</v>
      </c>
      <c r="D297" s="23" t="s">
        <v>5916</v>
      </c>
      <c r="E297" s="23" t="s">
        <v>195</v>
      </c>
      <c r="F297" s="23" t="s">
        <v>4880</v>
      </c>
      <c r="G297" s="22">
        <v>2001</v>
      </c>
      <c r="H297" s="24">
        <v>37050</v>
      </c>
      <c r="I297" s="23"/>
      <c r="J297" s="23"/>
      <c r="K297" s="26" t="s">
        <v>4638</v>
      </c>
      <c r="L297" s="27"/>
      <c r="M297" s="27"/>
    </row>
    <row r="298" spans="1:13" ht="15.75" customHeight="1">
      <c r="A298" s="22">
        <v>24596281</v>
      </c>
      <c r="B298" s="23" t="s">
        <v>5917</v>
      </c>
      <c r="C298" s="23" t="s">
        <v>5918</v>
      </c>
      <c r="D298" s="23" t="s">
        <v>5919</v>
      </c>
      <c r="E298" s="23" t="s">
        <v>228</v>
      </c>
      <c r="F298" s="23" t="s">
        <v>4992</v>
      </c>
      <c r="G298" s="22">
        <v>2014</v>
      </c>
      <c r="H298" s="24">
        <v>41704</v>
      </c>
      <c r="I298" s="23"/>
      <c r="J298" s="23"/>
      <c r="K298" s="26" t="s">
        <v>360</v>
      </c>
      <c r="L298" s="27"/>
      <c r="M298" s="23"/>
    </row>
    <row r="299" spans="1:13" ht="15.75" customHeight="1">
      <c r="A299" s="22">
        <v>16984646</v>
      </c>
      <c r="B299" s="23" t="s">
        <v>5920</v>
      </c>
      <c r="C299" s="23" t="s">
        <v>5921</v>
      </c>
      <c r="D299" s="23" t="s">
        <v>5922</v>
      </c>
      <c r="E299" s="23" t="s">
        <v>4250</v>
      </c>
      <c r="F299" s="23" t="s">
        <v>4867</v>
      </c>
      <c r="G299" s="22">
        <v>2006</v>
      </c>
      <c r="H299" s="24">
        <v>38981</v>
      </c>
      <c r="I299" s="26" t="s">
        <v>5923</v>
      </c>
      <c r="J299" s="27"/>
      <c r="K299" s="26" t="s">
        <v>4251</v>
      </c>
      <c r="L299" s="27"/>
      <c r="M299" s="23"/>
    </row>
    <row r="300" spans="1:13" ht="15.75" customHeight="1">
      <c r="A300" s="22">
        <v>1326815</v>
      </c>
      <c r="B300" s="23" t="s">
        <v>5924</v>
      </c>
      <c r="C300" s="23" t="s">
        <v>5925</v>
      </c>
      <c r="D300" s="23" t="s">
        <v>5926</v>
      </c>
      <c r="E300" s="23" t="s">
        <v>1862</v>
      </c>
      <c r="F300" s="23" t="s">
        <v>4950</v>
      </c>
      <c r="G300" s="22">
        <v>1992</v>
      </c>
      <c r="H300" s="24">
        <v>33848</v>
      </c>
      <c r="I300" s="23"/>
      <c r="J300" s="23"/>
      <c r="K300" s="26" t="s">
        <v>1863</v>
      </c>
      <c r="L300" s="27"/>
      <c r="M300" s="27"/>
    </row>
    <row r="301" spans="1:13" ht="15.75" customHeight="1">
      <c r="A301" s="22">
        <v>23771003</v>
      </c>
      <c r="B301" s="23" t="s">
        <v>5927</v>
      </c>
      <c r="C301" s="23" t="s">
        <v>5928</v>
      </c>
      <c r="D301" s="23" t="s">
        <v>5929</v>
      </c>
      <c r="E301" s="23" t="s">
        <v>554</v>
      </c>
      <c r="F301" s="23" t="s">
        <v>4863</v>
      </c>
      <c r="G301" s="22">
        <v>2013</v>
      </c>
      <c r="H301" s="24">
        <v>41443</v>
      </c>
      <c r="I301" s="23"/>
      <c r="J301" s="23"/>
      <c r="K301" s="26" t="s">
        <v>558</v>
      </c>
      <c r="L301" s="27"/>
      <c r="M301" s="23"/>
    </row>
    <row r="302" spans="1:13" ht="15.75" customHeight="1">
      <c r="A302" s="22">
        <v>12200359</v>
      </c>
      <c r="B302" s="23" t="s">
        <v>5930</v>
      </c>
      <c r="C302" s="23" t="s">
        <v>5931</v>
      </c>
      <c r="D302" s="23" t="s">
        <v>5932</v>
      </c>
      <c r="E302" s="23" t="s">
        <v>863</v>
      </c>
      <c r="F302" s="23" t="s">
        <v>5343</v>
      </c>
      <c r="G302" s="22">
        <v>2002</v>
      </c>
      <c r="H302" s="24">
        <v>37498</v>
      </c>
      <c r="I302" s="23"/>
      <c r="J302" s="23"/>
      <c r="K302" s="23"/>
      <c r="L302" s="23"/>
      <c r="M302" s="23"/>
    </row>
    <row r="303" spans="1:13" ht="15.75" customHeight="1">
      <c r="A303" s="22">
        <v>1653487</v>
      </c>
      <c r="B303" s="23" t="s">
        <v>5933</v>
      </c>
      <c r="C303" s="23" t="s">
        <v>5934</v>
      </c>
      <c r="D303" s="23" t="s">
        <v>5935</v>
      </c>
      <c r="E303" s="23" t="s">
        <v>1063</v>
      </c>
      <c r="F303" s="23" t="s">
        <v>4950</v>
      </c>
      <c r="G303" s="22">
        <v>1991</v>
      </c>
      <c r="H303" s="24">
        <v>33512</v>
      </c>
      <c r="I303" s="23"/>
      <c r="J303" s="23"/>
      <c r="K303" s="26" t="s">
        <v>1069</v>
      </c>
      <c r="L303" s="27"/>
      <c r="M303" s="27"/>
    </row>
    <row r="304" spans="1:13" ht="15.75" customHeight="1">
      <c r="A304" s="22">
        <v>9720744</v>
      </c>
      <c r="B304" s="23" t="s">
        <v>5936</v>
      </c>
      <c r="C304" s="23" t="s">
        <v>5937</v>
      </c>
      <c r="D304" s="23" t="s">
        <v>5938</v>
      </c>
      <c r="E304" s="23" t="s">
        <v>1393</v>
      </c>
      <c r="F304" s="23" t="s">
        <v>4863</v>
      </c>
      <c r="G304" s="22">
        <v>1998</v>
      </c>
      <c r="H304" s="24">
        <v>36035</v>
      </c>
      <c r="I304" s="23"/>
      <c r="J304" s="23"/>
      <c r="K304" s="26" t="s">
        <v>1394</v>
      </c>
      <c r="L304" s="27"/>
      <c r="M304" s="23"/>
    </row>
    <row r="305" spans="1:13" ht="15.75" customHeight="1">
      <c r="A305" s="22">
        <v>18037945</v>
      </c>
      <c r="B305" s="23" t="s">
        <v>5939</v>
      </c>
      <c r="C305" s="23" t="s">
        <v>5940</v>
      </c>
      <c r="D305" s="23" t="s">
        <v>5941</v>
      </c>
      <c r="E305" s="23" t="s">
        <v>151</v>
      </c>
      <c r="F305" s="23" t="s">
        <v>4863</v>
      </c>
      <c r="G305" s="22">
        <v>2008</v>
      </c>
      <c r="H305" s="24">
        <v>39413</v>
      </c>
      <c r="I305" s="23"/>
      <c r="J305" s="23"/>
      <c r="K305" s="26" t="s">
        <v>792</v>
      </c>
      <c r="L305" s="27"/>
      <c r="M305" s="23"/>
    </row>
    <row r="306" spans="1:13" ht="15.75" customHeight="1">
      <c r="A306" s="22">
        <v>15721266</v>
      </c>
      <c r="B306" s="23" t="s">
        <v>5942</v>
      </c>
      <c r="C306" s="23" t="s">
        <v>5943</v>
      </c>
      <c r="D306" s="23" t="s">
        <v>5944</v>
      </c>
      <c r="E306" s="23" t="s">
        <v>155</v>
      </c>
      <c r="F306" s="23" t="s">
        <v>5945</v>
      </c>
      <c r="G306" s="22">
        <v>2005</v>
      </c>
      <c r="H306" s="24">
        <v>38405</v>
      </c>
      <c r="I306" s="23"/>
      <c r="J306" s="23"/>
      <c r="K306" s="26" t="s">
        <v>3454</v>
      </c>
      <c r="L306" s="27"/>
      <c r="M306" s="27"/>
    </row>
    <row r="307" spans="1:13" ht="15.75" customHeight="1">
      <c r="A307" s="22">
        <v>17928352</v>
      </c>
      <c r="B307" s="23" t="s">
        <v>5946</v>
      </c>
      <c r="C307" s="23" t="s">
        <v>5947</v>
      </c>
      <c r="D307" s="23" t="s">
        <v>5948</v>
      </c>
      <c r="E307" s="23" t="s">
        <v>4597</v>
      </c>
      <c r="F307" s="23" t="s">
        <v>4891</v>
      </c>
      <c r="G307" s="22">
        <v>2008</v>
      </c>
      <c r="H307" s="24">
        <v>39367</v>
      </c>
      <c r="I307" s="26" t="s">
        <v>5949</v>
      </c>
      <c r="J307" s="27"/>
      <c r="K307" s="26" t="s">
        <v>4598</v>
      </c>
      <c r="L307" s="27"/>
      <c r="M307" s="23"/>
    </row>
    <row r="308" spans="1:13" ht="15.75" customHeight="1">
      <c r="A308" s="22">
        <v>8268822</v>
      </c>
      <c r="B308" s="23" t="s">
        <v>5950</v>
      </c>
      <c r="C308" s="23" t="s">
        <v>5951</v>
      </c>
      <c r="D308" s="23" t="s">
        <v>5952</v>
      </c>
      <c r="E308" s="23" t="s">
        <v>2961</v>
      </c>
      <c r="F308" s="23" t="s">
        <v>5953</v>
      </c>
      <c r="G308" s="22">
        <v>1993</v>
      </c>
      <c r="H308" s="24">
        <v>34151</v>
      </c>
      <c r="I308" s="23"/>
      <c r="J308" s="23"/>
      <c r="K308" s="23"/>
      <c r="L308" s="23"/>
      <c r="M308" s="23"/>
    </row>
    <row r="309" spans="1:13" ht="15.75" customHeight="1">
      <c r="A309" s="22">
        <v>8633821</v>
      </c>
      <c r="B309" s="23" t="s">
        <v>5954</v>
      </c>
      <c r="C309" s="23" t="s">
        <v>5955</v>
      </c>
      <c r="D309" s="23" t="s">
        <v>5956</v>
      </c>
      <c r="E309" s="23" t="s">
        <v>4017</v>
      </c>
      <c r="F309" s="23" t="s">
        <v>5957</v>
      </c>
      <c r="G309" s="22">
        <v>1996</v>
      </c>
      <c r="H309" s="24">
        <v>35231</v>
      </c>
      <c r="I309" s="23"/>
      <c r="J309" s="23"/>
      <c r="K309" s="26" t="s">
        <v>4018</v>
      </c>
      <c r="L309" s="27"/>
      <c r="M309" s="27"/>
    </row>
    <row r="310" spans="1:13" ht="15.75" customHeight="1">
      <c r="A310" s="22">
        <v>11742650</v>
      </c>
      <c r="B310" s="23" t="s">
        <v>5958</v>
      </c>
      <c r="C310" s="23" t="s">
        <v>5959</v>
      </c>
      <c r="D310" s="23" t="s">
        <v>5960</v>
      </c>
      <c r="E310" s="23" t="s">
        <v>596</v>
      </c>
      <c r="F310" s="23" t="s">
        <v>5267</v>
      </c>
      <c r="G310" s="22">
        <v>2002</v>
      </c>
      <c r="H310" s="24">
        <v>37243</v>
      </c>
      <c r="I310" s="23"/>
      <c r="J310" s="23"/>
      <c r="K310" s="26" t="s">
        <v>2139</v>
      </c>
      <c r="L310" s="27"/>
      <c r="M310" s="27"/>
    </row>
    <row r="311" spans="1:13" ht="15.75" customHeight="1">
      <c r="A311" s="22">
        <v>11438822</v>
      </c>
      <c r="B311" s="23" t="s">
        <v>5961</v>
      </c>
      <c r="C311" s="23" t="s">
        <v>5962</v>
      </c>
      <c r="D311" s="23" t="s">
        <v>5963</v>
      </c>
      <c r="E311" s="23" t="s">
        <v>748</v>
      </c>
      <c r="F311" s="23" t="s">
        <v>4863</v>
      </c>
      <c r="G311" s="22">
        <v>2001</v>
      </c>
      <c r="H311" s="24">
        <v>37077</v>
      </c>
      <c r="I311" s="23"/>
      <c r="J311" s="23"/>
      <c r="K311" s="26" t="s">
        <v>749</v>
      </c>
      <c r="L311" s="27"/>
      <c r="M311" s="23"/>
    </row>
    <row r="312" spans="1:13" ht="15.75" customHeight="1">
      <c r="A312" s="22">
        <v>9629978</v>
      </c>
      <c r="B312" s="23" t="s">
        <v>5964</v>
      </c>
      <c r="C312" s="23" t="s">
        <v>5965</v>
      </c>
      <c r="D312" s="23" t="s">
        <v>5966</v>
      </c>
      <c r="E312" s="23" t="s">
        <v>760</v>
      </c>
      <c r="F312" s="23" t="s">
        <v>5202</v>
      </c>
      <c r="G312" s="22">
        <v>1998</v>
      </c>
      <c r="H312" s="24">
        <v>35964</v>
      </c>
      <c r="I312" s="23"/>
      <c r="J312" s="23"/>
      <c r="K312" s="26" t="s">
        <v>761</v>
      </c>
      <c r="L312" s="27"/>
      <c r="M312" s="23"/>
    </row>
    <row r="313" spans="1:13" ht="15.75" customHeight="1">
      <c r="A313" s="22">
        <v>7803806</v>
      </c>
      <c r="B313" s="23" t="s">
        <v>5967</v>
      </c>
      <c r="C313" s="23" t="s">
        <v>5968</v>
      </c>
      <c r="D313" s="23" t="s">
        <v>5969</v>
      </c>
      <c r="E313" s="23" t="s">
        <v>513</v>
      </c>
      <c r="F313" s="23" t="s">
        <v>5343</v>
      </c>
      <c r="G313" s="22">
        <v>1995</v>
      </c>
      <c r="H313" s="24">
        <v>34700</v>
      </c>
      <c r="I313" s="23"/>
      <c r="J313" s="23"/>
      <c r="K313" s="23"/>
      <c r="L313" s="23"/>
      <c r="M313" s="23"/>
    </row>
    <row r="314" spans="1:13" ht="15.75" customHeight="1">
      <c r="A314" s="22">
        <v>26802210</v>
      </c>
      <c r="B314" s="23" t="s">
        <v>5970</v>
      </c>
      <c r="C314" s="23" t="s">
        <v>5971</v>
      </c>
      <c r="D314" s="23" t="s">
        <v>5972</v>
      </c>
      <c r="E314" s="23" t="s">
        <v>3094</v>
      </c>
      <c r="F314" s="23" t="s">
        <v>4950</v>
      </c>
      <c r="G314" s="22">
        <v>2016</v>
      </c>
      <c r="H314" s="24">
        <v>42393</v>
      </c>
      <c r="I314" s="23"/>
      <c r="J314" s="23"/>
      <c r="K314" s="26" t="s">
        <v>3097</v>
      </c>
      <c r="L314" s="27"/>
      <c r="M314" s="27"/>
    </row>
    <row r="315" spans="1:13" ht="15.75" customHeight="1">
      <c r="A315" s="22">
        <v>9260689</v>
      </c>
      <c r="B315" s="23" t="s">
        <v>5973</v>
      </c>
      <c r="C315" s="23" t="s">
        <v>5974</v>
      </c>
      <c r="D315" s="23" t="s">
        <v>5975</v>
      </c>
      <c r="E315" s="23" t="s">
        <v>2513</v>
      </c>
      <c r="F315" s="23" t="s">
        <v>4923</v>
      </c>
      <c r="G315" s="22">
        <v>1997</v>
      </c>
      <c r="H315" s="24">
        <v>35643</v>
      </c>
      <c r="I315" s="23"/>
      <c r="J315" s="23"/>
      <c r="K315" s="26" t="s">
        <v>2516</v>
      </c>
      <c r="L315" s="27"/>
      <c r="M315" s="27"/>
    </row>
    <row r="316" spans="1:13" ht="15.75" customHeight="1">
      <c r="A316" s="22">
        <v>21376662</v>
      </c>
      <c r="B316" s="23" t="s">
        <v>5976</v>
      </c>
      <c r="C316" s="23" t="s">
        <v>5977</v>
      </c>
      <c r="D316" s="23" t="s">
        <v>5978</v>
      </c>
      <c r="E316" s="23" t="s">
        <v>845</v>
      </c>
      <c r="F316" s="23" t="s">
        <v>4896</v>
      </c>
      <c r="G316" s="22">
        <v>2011</v>
      </c>
      <c r="H316" s="24">
        <v>40610</v>
      </c>
      <c r="I316" s="23"/>
      <c r="J316" s="23"/>
      <c r="K316" s="26" t="s">
        <v>846</v>
      </c>
      <c r="L316" s="27"/>
      <c r="M316" s="27"/>
    </row>
    <row r="317" spans="1:13" ht="15.75" customHeight="1">
      <c r="A317" s="22">
        <v>26083588</v>
      </c>
      <c r="B317" s="23" t="s">
        <v>5979</v>
      </c>
      <c r="C317" s="23" t="s">
        <v>5980</v>
      </c>
      <c r="D317" s="23" t="s">
        <v>5981</v>
      </c>
      <c r="E317" s="23" t="s">
        <v>256</v>
      </c>
      <c r="F317" s="23" t="s">
        <v>5982</v>
      </c>
      <c r="G317" s="22">
        <v>2015</v>
      </c>
      <c r="H317" s="24">
        <v>42173</v>
      </c>
      <c r="I317" s="23"/>
      <c r="J317" s="23"/>
      <c r="K317" s="26" t="s">
        <v>387</v>
      </c>
      <c r="L317" s="27"/>
      <c r="M317" s="27"/>
    </row>
    <row r="318" spans="1:13" ht="15.75" customHeight="1">
      <c r="A318" s="22">
        <v>22055432</v>
      </c>
      <c r="B318" s="23" t="s">
        <v>5983</v>
      </c>
      <c r="C318" s="23" t="s">
        <v>5984</v>
      </c>
      <c r="D318" s="23" t="s">
        <v>5985</v>
      </c>
      <c r="E318" s="23" t="s">
        <v>1622</v>
      </c>
      <c r="F318" s="23" t="s">
        <v>4950</v>
      </c>
      <c r="G318" s="22">
        <v>2012</v>
      </c>
      <c r="H318" s="24">
        <v>40855</v>
      </c>
      <c r="I318" s="23"/>
      <c r="J318" s="23"/>
      <c r="K318" s="26" t="s">
        <v>1623</v>
      </c>
      <c r="L318" s="27"/>
      <c r="M318" s="27"/>
    </row>
    <row r="319" spans="1:13" ht="15.75" customHeight="1">
      <c r="A319" s="22">
        <v>24810656</v>
      </c>
      <c r="B319" s="23" t="s">
        <v>5986</v>
      </c>
      <c r="C319" s="23" t="s">
        <v>5987</v>
      </c>
      <c r="D319" s="23" t="s">
        <v>5988</v>
      </c>
      <c r="E319" s="23" t="s">
        <v>216</v>
      </c>
      <c r="F319" s="23" t="s">
        <v>4974</v>
      </c>
      <c r="G319" s="22">
        <v>2014</v>
      </c>
      <c r="H319" s="24">
        <v>41769</v>
      </c>
      <c r="I319" s="23"/>
      <c r="J319" s="23"/>
      <c r="K319" s="26" t="s">
        <v>341</v>
      </c>
      <c r="L319" s="27"/>
      <c r="M319" s="23"/>
    </row>
    <row r="320" spans="1:13" ht="15.75" customHeight="1">
      <c r="A320" s="22">
        <v>10675403</v>
      </c>
      <c r="B320" s="23" t="s">
        <v>5989</v>
      </c>
      <c r="C320" s="23" t="s">
        <v>5990</v>
      </c>
      <c r="D320" s="23" t="s">
        <v>5991</v>
      </c>
      <c r="E320" s="23" t="s">
        <v>2513</v>
      </c>
      <c r="F320" s="23" t="s">
        <v>4966</v>
      </c>
      <c r="G320" s="22">
        <v>2000</v>
      </c>
      <c r="H320" s="24">
        <v>36573</v>
      </c>
      <c r="I320" s="23"/>
      <c r="J320" s="23"/>
      <c r="K320" s="26" t="s">
        <v>2514</v>
      </c>
      <c r="L320" s="27"/>
      <c r="M320" s="27"/>
    </row>
    <row r="321" spans="1:13" ht="15.75" customHeight="1">
      <c r="A321" s="22">
        <v>9391653</v>
      </c>
      <c r="B321" s="23" t="s">
        <v>5992</v>
      </c>
      <c r="C321" s="23" t="s">
        <v>5993</v>
      </c>
      <c r="D321" s="23" t="s">
        <v>5994</v>
      </c>
      <c r="E321" s="23" t="s">
        <v>4167</v>
      </c>
      <c r="F321" s="23" t="s">
        <v>5995</v>
      </c>
      <c r="G321" s="22">
        <v>1997</v>
      </c>
      <c r="H321" s="24">
        <v>35643</v>
      </c>
      <c r="I321" s="23"/>
      <c r="J321" s="23"/>
      <c r="K321" s="23"/>
      <c r="L321" s="23"/>
      <c r="M321" s="23"/>
    </row>
    <row r="322" spans="1:13" ht="15.75" customHeight="1">
      <c r="A322" s="22">
        <v>29212944</v>
      </c>
      <c r="B322" s="23" t="s">
        <v>5996</v>
      </c>
      <c r="C322" s="23" t="s">
        <v>5997</v>
      </c>
      <c r="D322" s="23" t="s">
        <v>5998</v>
      </c>
      <c r="E322" s="23" t="s">
        <v>4398</v>
      </c>
      <c r="F322" s="23" t="s">
        <v>4891</v>
      </c>
      <c r="G322" s="22">
        <v>2018</v>
      </c>
      <c r="H322" s="24">
        <v>43077</v>
      </c>
      <c r="I322" s="26" t="s">
        <v>5999</v>
      </c>
      <c r="J322" s="27"/>
      <c r="K322" s="26" t="s">
        <v>4399</v>
      </c>
      <c r="L322" s="27"/>
      <c r="M322" s="23"/>
    </row>
    <row r="323" spans="1:13" ht="15.75" customHeight="1">
      <c r="A323" s="22">
        <v>11120923</v>
      </c>
      <c r="B323" s="23" t="s">
        <v>6000</v>
      </c>
      <c r="C323" s="23" t="s">
        <v>6001</v>
      </c>
      <c r="D323" s="23" t="s">
        <v>6002</v>
      </c>
      <c r="E323" s="23" t="s">
        <v>3179</v>
      </c>
      <c r="F323" s="23" t="s">
        <v>4992</v>
      </c>
      <c r="G323" s="22">
        <v>2001</v>
      </c>
      <c r="H323" s="24">
        <v>36880</v>
      </c>
      <c r="I323" s="23"/>
      <c r="J323" s="23"/>
      <c r="K323" s="26" t="s">
        <v>3180</v>
      </c>
      <c r="L323" s="27"/>
      <c r="M323" s="23"/>
    </row>
    <row r="324" spans="1:13" ht="15.75" customHeight="1">
      <c r="A324" s="22">
        <v>12068008</v>
      </c>
      <c r="B324" s="23" t="s">
        <v>6003</v>
      </c>
      <c r="C324" s="23" t="s">
        <v>6004</v>
      </c>
      <c r="D324" s="23" t="s">
        <v>6005</v>
      </c>
      <c r="E324" s="23" t="s">
        <v>2545</v>
      </c>
      <c r="F324" s="23" t="s">
        <v>6006</v>
      </c>
      <c r="G324" s="22">
        <v>2002</v>
      </c>
      <c r="H324" s="24">
        <v>37425</v>
      </c>
      <c r="I324" s="23"/>
      <c r="J324" s="23"/>
      <c r="K324" s="26" t="s">
        <v>2546</v>
      </c>
      <c r="L324" s="27"/>
      <c r="M324" s="23"/>
    </row>
    <row r="325" spans="1:13" ht="15.75" customHeight="1">
      <c r="A325" s="22">
        <v>27404369</v>
      </c>
      <c r="B325" s="23" t="s">
        <v>6007</v>
      </c>
      <c r="C325" s="23" t="s">
        <v>6008</v>
      </c>
      <c r="D325" s="23" t="s">
        <v>6009</v>
      </c>
      <c r="E325" s="23" t="s">
        <v>1273</v>
      </c>
      <c r="F325" s="23" t="s">
        <v>4851</v>
      </c>
      <c r="G325" s="22">
        <v>2016</v>
      </c>
      <c r="H325" s="24">
        <v>42564</v>
      </c>
      <c r="I325" s="23"/>
      <c r="J325" s="23"/>
      <c r="K325" s="26" t="s">
        <v>1274</v>
      </c>
      <c r="L325" s="27"/>
      <c r="M325" s="27"/>
    </row>
    <row r="326" spans="1:13" ht="15.75" customHeight="1">
      <c r="A326" s="22">
        <v>16281938</v>
      </c>
      <c r="B326" s="23" t="s">
        <v>6010</v>
      </c>
      <c r="C326" s="23" t="s">
        <v>6011</v>
      </c>
      <c r="D326" s="23" t="s">
        <v>6012</v>
      </c>
      <c r="E326" s="23" t="s">
        <v>275</v>
      </c>
      <c r="F326" s="23" t="s">
        <v>5211</v>
      </c>
      <c r="G326" s="22">
        <v>2005</v>
      </c>
      <c r="H326" s="24">
        <v>38668</v>
      </c>
      <c r="I326" s="23"/>
      <c r="J326" s="23"/>
      <c r="K326" s="26" t="s">
        <v>406</v>
      </c>
      <c r="L326" s="27"/>
      <c r="M326" s="27"/>
    </row>
    <row r="327" spans="1:13" ht="15.75" customHeight="1">
      <c r="A327" s="22">
        <v>9697740</v>
      </c>
      <c r="B327" s="23" t="s">
        <v>6013</v>
      </c>
      <c r="C327" s="23" t="s">
        <v>6014</v>
      </c>
      <c r="D327" s="23" t="s">
        <v>6015</v>
      </c>
      <c r="E327" s="23" t="s">
        <v>1095</v>
      </c>
      <c r="F327" s="23" t="s">
        <v>4992</v>
      </c>
      <c r="G327" s="22">
        <v>1998</v>
      </c>
      <c r="H327" s="24">
        <v>36018</v>
      </c>
      <c r="I327" s="23"/>
      <c r="J327" s="23"/>
      <c r="K327" s="26" t="s">
        <v>1096</v>
      </c>
      <c r="L327" s="27"/>
      <c r="M327" s="23"/>
    </row>
    <row r="328" spans="1:13" ht="15.75" customHeight="1">
      <c r="A328" s="22">
        <v>18621409</v>
      </c>
      <c r="B328" s="23" t="s">
        <v>6016</v>
      </c>
      <c r="C328" s="23" t="s">
        <v>6017</v>
      </c>
      <c r="D328" s="23" t="s">
        <v>6018</v>
      </c>
      <c r="E328" s="23" t="s">
        <v>4191</v>
      </c>
      <c r="F328" s="23" t="s">
        <v>4950</v>
      </c>
      <c r="G328" s="22">
        <v>2008</v>
      </c>
      <c r="H328" s="24">
        <v>39645</v>
      </c>
      <c r="I328" s="23"/>
      <c r="J328" s="23"/>
      <c r="K328" s="26" t="s">
        <v>4196</v>
      </c>
      <c r="L328" s="27"/>
      <c r="M328" s="27"/>
    </row>
    <row r="329" spans="1:13" ht="15.75" customHeight="1">
      <c r="A329" s="22">
        <v>17067909</v>
      </c>
      <c r="B329" s="23" t="s">
        <v>6019</v>
      </c>
      <c r="C329" s="23" t="s">
        <v>6020</v>
      </c>
      <c r="D329" s="23" t="s">
        <v>6021</v>
      </c>
      <c r="E329" s="23" t="s">
        <v>177</v>
      </c>
      <c r="F329" s="23" t="s">
        <v>5076</v>
      </c>
      <c r="G329" s="22">
        <v>2006</v>
      </c>
      <c r="H329" s="24">
        <v>39018</v>
      </c>
      <c r="I329" s="23"/>
      <c r="J329" s="23"/>
      <c r="K329" s="26" t="s">
        <v>430</v>
      </c>
      <c r="L329" s="27"/>
      <c r="M329" s="27"/>
    </row>
    <row r="330" spans="1:13" ht="15.75" customHeight="1">
      <c r="A330" s="22">
        <v>11565077</v>
      </c>
      <c r="B330" s="23" t="s">
        <v>6022</v>
      </c>
      <c r="C330" s="23" t="s">
        <v>6023</v>
      </c>
      <c r="D330" s="23" t="s">
        <v>6024</v>
      </c>
      <c r="E330" s="23" t="s">
        <v>1857</v>
      </c>
      <c r="F330" s="23" t="s">
        <v>5080</v>
      </c>
      <c r="G330" s="22">
        <v>2001</v>
      </c>
      <c r="H330" s="24">
        <v>37155</v>
      </c>
      <c r="I330" s="23"/>
      <c r="J330" s="23"/>
      <c r="K330" s="26" t="s">
        <v>1858</v>
      </c>
      <c r="L330" s="27"/>
      <c r="M330" s="23"/>
    </row>
    <row r="331" spans="1:13" ht="15.75" customHeight="1">
      <c r="A331" s="22">
        <v>15708999</v>
      </c>
      <c r="B331" s="23" t="s">
        <v>6025</v>
      </c>
      <c r="C331" s="23" t="s">
        <v>6026</v>
      </c>
      <c r="D331" s="23" t="s">
        <v>6027</v>
      </c>
      <c r="E331" s="23" t="s">
        <v>4067</v>
      </c>
      <c r="F331" s="23" t="s">
        <v>4891</v>
      </c>
      <c r="G331" s="22">
        <v>2005</v>
      </c>
      <c r="H331" s="24">
        <v>38398</v>
      </c>
      <c r="I331" s="23" t="s">
        <v>6028</v>
      </c>
      <c r="J331" s="23"/>
      <c r="K331" s="26" t="s">
        <v>4068</v>
      </c>
      <c r="L331" s="27"/>
      <c r="M331" s="27"/>
    </row>
    <row r="332" spans="1:13" ht="15.75" customHeight="1">
      <c r="A332" s="22">
        <v>17939902</v>
      </c>
      <c r="B332" s="23" t="s">
        <v>6029</v>
      </c>
      <c r="C332" s="23" t="s">
        <v>6030</v>
      </c>
      <c r="D332" s="23" t="s">
        <v>6031</v>
      </c>
      <c r="E332" s="23" t="s">
        <v>1414</v>
      </c>
      <c r="F332" s="23" t="s">
        <v>5449</v>
      </c>
      <c r="G332" s="22">
        <v>2007</v>
      </c>
      <c r="H332" s="24">
        <v>39373</v>
      </c>
      <c r="I332" s="23"/>
      <c r="J332" s="23"/>
      <c r="K332" s="23"/>
      <c r="L332" s="23"/>
      <c r="M332" s="23"/>
    </row>
    <row r="333" spans="1:13" ht="15.75" customHeight="1">
      <c r="A333" s="22">
        <v>9359710</v>
      </c>
      <c r="B333" s="23" t="s">
        <v>6032</v>
      </c>
      <c r="C333" s="23" t="s">
        <v>6033</v>
      </c>
      <c r="D333" s="23" t="s">
        <v>6034</v>
      </c>
      <c r="E333" s="23" t="s">
        <v>1879</v>
      </c>
      <c r="F333" s="23" t="s">
        <v>4992</v>
      </c>
      <c r="G333" s="22">
        <v>1997</v>
      </c>
      <c r="H333" s="24">
        <v>35748</v>
      </c>
      <c r="I333" s="23"/>
      <c r="J333" s="23"/>
      <c r="K333" s="26" t="s">
        <v>1884</v>
      </c>
      <c r="L333" s="27"/>
      <c r="M333" s="23"/>
    </row>
    <row r="334" spans="1:13" ht="15.75" customHeight="1">
      <c r="A334" s="22">
        <v>24330265</v>
      </c>
      <c r="B334" s="23" t="s">
        <v>6035</v>
      </c>
      <c r="C334" s="23" t="s">
        <v>6036</v>
      </c>
      <c r="D334" s="23" t="s">
        <v>6037</v>
      </c>
      <c r="E334" s="23" t="s">
        <v>3497</v>
      </c>
      <c r="F334" s="23" t="s">
        <v>5163</v>
      </c>
      <c r="G334" s="22">
        <v>2014</v>
      </c>
      <c r="H334" s="24">
        <v>41625</v>
      </c>
      <c r="I334" s="23"/>
      <c r="J334" s="23"/>
      <c r="K334" s="26" t="s">
        <v>3498</v>
      </c>
      <c r="L334" s="27"/>
      <c r="M334" s="27"/>
    </row>
    <row r="335" spans="1:13" ht="15.75" customHeight="1">
      <c r="A335" s="22">
        <v>23871165</v>
      </c>
      <c r="B335" s="23" t="s">
        <v>6038</v>
      </c>
      <c r="C335" s="23" t="s">
        <v>6039</v>
      </c>
      <c r="D335" s="23" t="s">
        <v>6040</v>
      </c>
      <c r="E335" s="23" t="s">
        <v>1396</v>
      </c>
      <c r="F335" s="23" t="s">
        <v>4896</v>
      </c>
      <c r="G335" s="22">
        <v>2013</v>
      </c>
      <c r="H335" s="24">
        <v>41478</v>
      </c>
      <c r="I335" s="23"/>
      <c r="J335" s="23"/>
      <c r="K335" s="26" t="s">
        <v>1397</v>
      </c>
      <c r="L335" s="27"/>
      <c r="M335" s="27"/>
    </row>
    <row r="336" spans="1:13" ht="15.75" customHeight="1">
      <c r="A336" s="22">
        <v>15983553</v>
      </c>
      <c r="B336" s="23" t="s">
        <v>6041</v>
      </c>
      <c r="C336" s="23" t="s">
        <v>6042</v>
      </c>
      <c r="D336" s="23" t="s">
        <v>6043</v>
      </c>
      <c r="E336" s="23" t="s">
        <v>3729</v>
      </c>
      <c r="F336" s="23" t="s">
        <v>5076</v>
      </c>
      <c r="G336" s="22">
        <v>2005</v>
      </c>
      <c r="H336" s="24">
        <v>38532</v>
      </c>
      <c r="I336" s="23"/>
      <c r="J336" s="23"/>
      <c r="K336" s="26" t="s">
        <v>3730</v>
      </c>
      <c r="L336" s="27"/>
      <c r="M336" s="27"/>
    </row>
    <row r="337" spans="1:13" ht="15.75" customHeight="1">
      <c r="A337" s="22">
        <v>15196082</v>
      </c>
      <c r="B337" s="23" t="s">
        <v>6044</v>
      </c>
      <c r="C337" s="23" t="s">
        <v>6045</v>
      </c>
      <c r="D337" s="23" t="s">
        <v>6046</v>
      </c>
      <c r="E337" s="23" t="s">
        <v>1303</v>
      </c>
      <c r="F337" s="23" t="s">
        <v>5726</v>
      </c>
      <c r="G337" s="22">
        <v>2004</v>
      </c>
      <c r="H337" s="24">
        <v>38154</v>
      </c>
      <c r="I337" s="23"/>
      <c r="J337" s="23"/>
      <c r="K337" s="26" t="s">
        <v>1306</v>
      </c>
      <c r="L337" s="27"/>
      <c r="M337" s="27"/>
    </row>
    <row r="338" spans="1:13" ht="15.75" customHeight="1">
      <c r="A338" s="22">
        <v>18433408</v>
      </c>
      <c r="B338" s="23" t="s">
        <v>6047</v>
      </c>
      <c r="C338" s="23" t="s">
        <v>6048</v>
      </c>
      <c r="D338" s="23" t="s">
        <v>6049</v>
      </c>
      <c r="E338" s="23" t="s">
        <v>3134</v>
      </c>
      <c r="F338" s="23" t="s">
        <v>5543</v>
      </c>
      <c r="G338" s="22">
        <v>2008</v>
      </c>
      <c r="H338" s="24">
        <v>39563</v>
      </c>
      <c r="I338" s="23"/>
      <c r="J338" s="23"/>
      <c r="K338" s="26" t="s">
        <v>3135</v>
      </c>
      <c r="L338" s="27"/>
      <c r="M338" s="27"/>
    </row>
    <row r="339" spans="1:13" ht="15.75" customHeight="1">
      <c r="A339" s="22">
        <v>10935989</v>
      </c>
      <c r="B339" s="23" t="s">
        <v>6050</v>
      </c>
      <c r="C339" s="23" t="s">
        <v>6051</v>
      </c>
      <c r="D339" s="23" t="s">
        <v>6052</v>
      </c>
      <c r="E339" s="23" t="s">
        <v>195</v>
      </c>
      <c r="F339" s="23" t="s">
        <v>4923</v>
      </c>
      <c r="G339" s="22">
        <v>2000</v>
      </c>
      <c r="H339" s="24">
        <v>36748</v>
      </c>
      <c r="I339" s="23"/>
      <c r="J339" s="23"/>
      <c r="K339" s="23"/>
      <c r="L339" s="23"/>
      <c r="M339" s="23"/>
    </row>
    <row r="340" spans="1:13" ht="15.75" customHeight="1">
      <c r="A340" s="22">
        <v>18662831</v>
      </c>
      <c r="B340" s="23" t="s">
        <v>6053</v>
      </c>
      <c r="C340" s="23" t="s">
        <v>6054</v>
      </c>
      <c r="D340" s="23" t="s">
        <v>6055</v>
      </c>
      <c r="E340" s="23" t="s">
        <v>587</v>
      </c>
      <c r="F340" s="23" t="s">
        <v>5051</v>
      </c>
      <c r="G340" s="22">
        <v>2008</v>
      </c>
      <c r="H340" s="24">
        <v>39659</v>
      </c>
      <c r="I340" s="23"/>
      <c r="J340" s="23"/>
      <c r="K340" s="26" t="s">
        <v>588</v>
      </c>
      <c r="L340" s="27"/>
      <c r="M340" s="27"/>
    </row>
    <row r="341" spans="1:13" ht="15.75" customHeight="1">
      <c r="A341" s="22">
        <v>8790409</v>
      </c>
      <c r="B341" s="23" t="s">
        <v>6056</v>
      </c>
      <c r="C341" s="23" t="s">
        <v>6057</v>
      </c>
      <c r="D341" s="23" t="s">
        <v>6058</v>
      </c>
      <c r="E341" s="23" t="s">
        <v>2636</v>
      </c>
      <c r="F341" s="23" t="s">
        <v>5783</v>
      </c>
      <c r="G341" s="22">
        <v>1996</v>
      </c>
      <c r="H341" s="24">
        <v>35311</v>
      </c>
      <c r="I341" s="23" t="s">
        <v>6059</v>
      </c>
      <c r="J341" s="23"/>
      <c r="K341" s="26" t="s">
        <v>2637</v>
      </c>
      <c r="L341" s="27"/>
      <c r="M341" s="23"/>
    </row>
    <row r="342" spans="1:13" ht="15.75" customHeight="1">
      <c r="A342" s="22">
        <v>19664021</v>
      </c>
      <c r="B342" s="23" t="s">
        <v>6060</v>
      </c>
      <c r="C342" s="23" t="s">
        <v>6061</v>
      </c>
      <c r="D342" s="23" t="s">
        <v>6062</v>
      </c>
      <c r="E342" s="23" t="s">
        <v>3572</v>
      </c>
      <c r="F342" s="23" t="s">
        <v>4974</v>
      </c>
      <c r="G342" s="22">
        <v>2009</v>
      </c>
      <c r="H342" s="24">
        <v>40037</v>
      </c>
      <c r="I342" s="23"/>
      <c r="J342" s="23"/>
      <c r="K342" s="26" t="s">
        <v>3573</v>
      </c>
      <c r="L342" s="27"/>
      <c r="M342" s="27"/>
    </row>
    <row r="343" spans="1:13" ht="15.75" customHeight="1">
      <c r="A343" s="22">
        <v>1647138</v>
      </c>
      <c r="B343" s="23" t="s">
        <v>6063</v>
      </c>
      <c r="C343" s="23" t="s">
        <v>6064</v>
      </c>
      <c r="D343" s="23" t="s">
        <v>6065</v>
      </c>
      <c r="E343" s="23" t="s">
        <v>3824</v>
      </c>
      <c r="F343" s="23" t="s">
        <v>6066</v>
      </c>
      <c r="G343" s="22">
        <v>1991</v>
      </c>
      <c r="H343" s="24">
        <v>33390</v>
      </c>
      <c r="I343" s="26" t="s">
        <v>6067</v>
      </c>
      <c r="J343" s="27"/>
      <c r="K343" s="23"/>
      <c r="L343" s="23"/>
      <c r="M343" s="23"/>
    </row>
    <row r="344" spans="1:13" ht="15.75" customHeight="1">
      <c r="A344" s="22">
        <v>19582481</v>
      </c>
      <c r="B344" s="23" t="s">
        <v>6068</v>
      </c>
      <c r="C344" s="23" t="s">
        <v>6069</v>
      </c>
      <c r="D344" s="23" t="s">
        <v>6070</v>
      </c>
      <c r="E344" s="23" t="s">
        <v>2785</v>
      </c>
      <c r="F344" s="23" t="s">
        <v>6071</v>
      </c>
      <c r="G344" s="22">
        <v>2009</v>
      </c>
      <c r="H344" s="24">
        <v>40002</v>
      </c>
      <c r="I344" s="23"/>
      <c r="J344" s="23"/>
      <c r="K344" s="26" t="s">
        <v>2786</v>
      </c>
      <c r="L344" s="27"/>
      <c r="M344" s="27"/>
    </row>
    <row r="345" spans="1:13" ht="15.75" customHeight="1">
      <c r="A345" s="22">
        <v>1314872</v>
      </c>
      <c r="B345" s="23" t="s">
        <v>6072</v>
      </c>
      <c r="C345" s="23" t="s">
        <v>6073</v>
      </c>
      <c r="D345" s="23" t="s">
        <v>6074</v>
      </c>
      <c r="E345" s="23" t="s">
        <v>2724</v>
      </c>
      <c r="F345" s="23" t="s">
        <v>4992</v>
      </c>
      <c r="G345" s="22">
        <v>1992</v>
      </c>
      <c r="H345" s="24">
        <v>33725</v>
      </c>
      <c r="I345" s="23"/>
      <c r="J345" s="23"/>
      <c r="K345" s="26" t="s">
        <v>2729</v>
      </c>
      <c r="L345" s="27"/>
      <c r="M345" s="23"/>
    </row>
    <row r="346" spans="1:13" ht="15.75" customHeight="1">
      <c r="A346" s="22">
        <v>1646280</v>
      </c>
      <c r="B346" s="23" t="s">
        <v>6075</v>
      </c>
      <c r="C346" s="23" t="s">
        <v>6076</v>
      </c>
      <c r="D346" s="23" t="s">
        <v>6077</v>
      </c>
      <c r="E346" s="23" t="s">
        <v>2758</v>
      </c>
      <c r="F346" s="23" t="s">
        <v>4966</v>
      </c>
      <c r="G346" s="22">
        <v>1991</v>
      </c>
      <c r="H346" s="24">
        <v>33390</v>
      </c>
      <c r="I346" s="23"/>
      <c r="J346" s="23"/>
      <c r="K346" s="26" t="s">
        <v>2764</v>
      </c>
      <c r="L346" s="27"/>
      <c r="M346" s="27"/>
    </row>
    <row r="347" spans="1:13" ht="15.75" customHeight="1">
      <c r="A347" s="22">
        <v>7949085</v>
      </c>
      <c r="B347" s="23" t="s">
        <v>6078</v>
      </c>
      <c r="C347" s="23" t="s">
        <v>6079</v>
      </c>
      <c r="D347" s="23" t="s">
        <v>6080</v>
      </c>
      <c r="E347" s="23" t="s">
        <v>513</v>
      </c>
      <c r="F347" s="23" t="s">
        <v>5343</v>
      </c>
      <c r="G347" s="22">
        <v>1994</v>
      </c>
      <c r="H347" s="24">
        <v>34653</v>
      </c>
      <c r="I347" s="23"/>
      <c r="J347" s="23"/>
      <c r="K347" s="23"/>
      <c r="L347" s="23"/>
      <c r="M347" s="23"/>
    </row>
    <row r="348" spans="1:13" ht="15.75" customHeight="1">
      <c r="A348" s="22">
        <v>12828339</v>
      </c>
      <c r="B348" s="23" t="s">
        <v>6081</v>
      </c>
      <c r="C348" s="23" t="s">
        <v>6082</v>
      </c>
      <c r="D348" s="23" t="s">
        <v>6083</v>
      </c>
      <c r="E348" s="23" t="s">
        <v>3379</v>
      </c>
      <c r="F348" s="23" t="s">
        <v>5995</v>
      </c>
      <c r="G348" s="22">
        <v>2003</v>
      </c>
      <c r="H348" s="24">
        <v>37800</v>
      </c>
      <c r="I348" s="23"/>
      <c r="J348" s="23"/>
      <c r="K348" s="23"/>
      <c r="L348" s="23"/>
      <c r="M348" s="23"/>
    </row>
    <row r="349" spans="1:13" ht="15.75" customHeight="1">
      <c r="A349" s="22">
        <v>26176562</v>
      </c>
      <c r="B349" s="23" t="s">
        <v>6084</v>
      </c>
      <c r="C349" s="23" t="s">
        <v>6085</v>
      </c>
      <c r="D349" s="23" t="s">
        <v>6086</v>
      </c>
      <c r="E349" s="23" t="s">
        <v>256</v>
      </c>
      <c r="F349" s="23" t="s">
        <v>4974</v>
      </c>
      <c r="G349" s="22">
        <v>2015</v>
      </c>
      <c r="H349" s="24">
        <v>42201</v>
      </c>
      <c r="I349" s="23"/>
      <c r="J349" s="23"/>
      <c r="K349" s="26" t="s">
        <v>3220</v>
      </c>
      <c r="L349" s="27"/>
      <c r="M349" s="23"/>
    </row>
    <row r="350" spans="1:13" ht="15.75" customHeight="1">
      <c r="A350" s="22">
        <v>9242553</v>
      </c>
      <c r="B350" s="23" t="s">
        <v>6087</v>
      </c>
      <c r="C350" s="23" t="s">
        <v>6088</v>
      </c>
      <c r="D350" s="23" t="s">
        <v>6089</v>
      </c>
      <c r="E350" s="23" t="s">
        <v>1268</v>
      </c>
      <c r="F350" s="23" t="s">
        <v>5343</v>
      </c>
      <c r="G350" s="22">
        <v>1997</v>
      </c>
      <c r="H350" s="24">
        <v>35643</v>
      </c>
      <c r="I350" s="23"/>
      <c r="J350" s="23"/>
      <c r="K350" s="23"/>
      <c r="L350" s="23"/>
      <c r="M350" s="23"/>
    </row>
    <row r="351" spans="1:13" ht="15.75" customHeight="1">
      <c r="A351" s="22">
        <v>8837229</v>
      </c>
      <c r="B351" s="23" t="s">
        <v>6090</v>
      </c>
      <c r="C351" s="23" t="s">
        <v>6091</v>
      </c>
      <c r="D351" s="23" t="s">
        <v>6092</v>
      </c>
      <c r="E351" s="23" t="s">
        <v>3769</v>
      </c>
      <c r="F351" s="23" t="s">
        <v>6093</v>
      </c>
      <c r="G351" s="22">
        <v>1996</v>
      </c>
      <c r="H351" s="24">
        <v>35247</v>
      </c>
      <c r="I351" s="23"/>
      <c r="J351" s="23"/>
      <c r="K351" s="26" t="s">
        <v>3771</v>
      </c>
      <c r="L351" s="27"/>
      <c r="M351" s="27"/>
    </row>
    <row r="352" spans="1:13" ht="15.75" customHeight="1">
      <c r="A352" s="22">
        <v>7559960</v>
      </c>
      <c r="B352" s="23" t="s">
        <v>6094</v>
      </c>
      <c r="C352" s="23" t="s">
        <v>6095</v>
      </c>
      <c r="D352" s="23" t="s">
        <v>6096</v>
      </c>
      <c r="E352" s="23" t="s">
        <v>280</v>
      </c>
      <c r="F352" s="23" t="s">
        <v>5331</v>
      </c>
      <c r="G352" s="22">
        <v>1995</v>
      </c>
      <c r="H352" s="24">
        <v>34912</v>
      </c>
      <c r="I352" s="23" t="s">
        <v>6097</v>
      </c>
      <c r="J352" s="23"/>
      <c r="K352" s="26" t="s">
        <v>3944</v>
      </c>
      <c r="L352" s="27"/>
      <c r="M352" s="27"/>
    </row>
    <row r="353" spans="1:13" ht="15.75" customHeight="1">
      <c r="A353" s="22">
        <v>15914369</v>
      </c>
      <c r="B353" s="23" t="s">
        <v>6098</v>
      </c>
      <c r="C353" s="23" t="s">
        <v>6099</v>
      </c>
      <c r="D353" s="23" t="s">
        <v>6100</v>
      </c>
      <c r="E353" s="23" t="s">
        <v>924</v>
      </c>
      <c r="F353" s="23" t="s">
        <v>4927</v>
      </c>
      <c r="G353" s="22">
        <v>2005</v>
      </c>
      <c r="H353" s="24">
        <v>38498</v>
      </c>
      <c r="I353" s="23"/>
      <c r="J353" s="23"/>
      <c r="K353" s="26" t="s">
        <v>925</v>
      </c>
      <c r="L353" s="27"/>
      <c r="M353" s="23"/>
    </row>
    <row r="354" spans="1:13" ht="15.75" customHeight="1">
      <c r="A354" s="22">
        <v>16966219</v>
      </c>
      <c r="B354" s="23" t="s">
        <v>6101</v>
      </c>
      <c r="C354" s="23" t="s">
        <v>6102</v>
      </c>
      <c r="D354" s="23" t="s">
        <v>6103</v>
      </c>
      <c r="E354" s="23" t="s">
        <v>1137</v>
      </c>
      <c r="F354" s="23" t="s">
        <v>4961</v>
      </c>
      <c r="G354" s="22">
        <v>2006</v>
      </c>
      <c r="H354" s="24">
        <v>38973</v>
      </c>
      <c r="I354" s="23"/>
      <c r="J354" s="23"/>
      <c r="K354" s="26" t="s">
        <v>1138</v>
      </c>
      <c r="L354" s="27"/>
      <c r="M354" s="27"/>
    </row>
    <row r="355" spans="1:13" ht="15.75" customHeight="1">
      <c r="A355" s="22">
        <v>7534493</v>
      </c>
      <c r="B355" s="23" t="s">
        <v>6104</v>
      </c>
      <c r="C355" s="23" t="s">
        <v>6105</v>
      </c>
      <c r="D355" s="23" t="s">
        <v>6106</v>
      </c>
      <c r="E355" s="23" t="s">
        <v>1947</v>
      </c>
      <c r="F355" s="23" t="s">
        <v>4954</v>
      </c>
      <c r="G355" s="22">
        <v>1994</v>
      </c>
      <c r="H355" s="24">
        <v>34516</v>
      </c>
      <c r="I355" s="23"/>
      <c r="J355" s="23"/>
      <c r="K355" s="23"/>
      <c r="L355" s="23"/>
      <c r="M355" s="23"/>
    </row>
    <row r="356" spans="1:13" ht="15.75" customHeight="1">
      <c r="A356" s="22">
        <v>32860815</v>
      </c>
      <c r="B356" s="23" t="s">
        <v>6107</v>
      </c>
      <c r="C356" s="23" t="s">
        <v>6108</v>
      </c>
      <c r="D356" s="23" t="s">
        <v>6109</v>
      </c>
      <c r="E356" s="23" t="s">
        <v>832</v>
      </c>
      <c r="F356" s="23" t="s">
        <v>5051</v>
      </c>
      <c r="G356" s="22">
        <v>2021</v>
      </c>
      <c r="H356" s="24">
        <v>44073</v>
      </c>
      <c r="I356" s="23"/>
      <c r="J356" s="23"/>
      <c r="K356" s="26" t="s">
        <v>833</v>
      </c>
      <c r="L356" s="27"/>
      <c r="M356" s="27"/>
    </row>
    <row r="357" spans="1:13" ht="15.75" customHeight="1">
      <c r="A357" s="22">
        <v>17063514</v>
      </c>
      <c r="B357" s="23" t="s">
        <v>6110</v>
      </c>
      <c r="C357" s="23" t="s">
        <v>6111</v>
      </c>
      <c r="D357" s="23" t="s">
        <v>6112</v>
      </c>
      <c r="E357" s="23" t="s">
        <v>1132</v>
      </c>
      <c r="F357" s="23" t="s">
        <v>4923</v>
      </c>
      <c r="G357" s="22">
        <v>2006</v>
      </c>
      <c r="H357" s="24">
        <v>39016</v>
      </c>
      <c r="I357" s="23"/>
      <c r="J357" s="23"/>
      <c r="K357" s="26" t="s">
        <v>1135</v>
      </c>
      <c r="L357" s="27"/>
      <c r="M357" s="23"/>
    </row>
    <row r="358" spans="1:13" ht="15.75" customHeight="1">
      <c r="A358" s="22">
        <v>8601223</v>
      </c>
      <c r="B358" s="23" t="s">
        <v>6113</v>
      </c>
      <c r="C358" s="23" t="s">
        <v>6073</v>
      </c>
      <c r="D358" s="23" t="s">
        <v>6114</v>
      </c>
      <c r="E358" s="23" t="s">
        <v>2724</v>
      </c>
      <c r="F358" s="23" t="s">
        <v>6115</v>
      </c>
      <c r="G358" s="22">
        <v>1996</v>
      </c>
      <c r="H358" s="24">
        <v>35156</v>
      </c>
      <c r="I358" s="23"/>
      <c r="J358" s="23"/>
      <c r="K358" s="26" t="s">
        <v>2727</v>
      </c>
      <c r="L358" s="27"/>
      <c r="M358" s="27"/>
    </row>
    <row r="359" spans="1:13" ht="15.75" customHeight="1">
      <c r="A359" s="22">
        <v>9311701</v>
      </c>
      <c r="B359" s="23" t="s">
        <v>6116</v>
      </c>
      <c r="C359" s="23" t="s">
        <v>6117</v>
      </c>
      <c r="D359" s="23" t="s">
        <v>6118</v>
      </c>
      <c r="E359" s="23" t="s">
        <v>4017</v>
      </c>
      <c r="F359" s="23" t="s">
        <v>5445</v>
      </c>
      <c r="G359" s="22">
        <v>1997</v>
      </c>
      <c r="H359" s="24">
        <v>35709</v>
      </c>
      <c r="I359" s="23"/>
      <c r="J359" s="23"/>
      <c r="K359" s="26" t="s">
        <v>4020</v>
      </c>
      <c r="L359" s="27"/>
      <c r="M359" s="27"/>
    </row>
    <row r="360" spans="1:13" ht="15.75" customHeight="1">
      <c r="A360" s="22">
        <v>8384028</v>
      </c>
      <c r="B360" s="23" t="s">
        <v>6119</v>
      </c>
      <c r="C360" s="23" t="s">
        <v>6120</v>
      </c>
      <c r="D360" s="23" t="s">
        <v>6121</v>
      </c>
      <c r="E360" s="23" t="s">
        <v>1459</v>
      </c>
      <c r="F360" s="23" t="s">
        <v>5343</v>
      </c>
      <c r="G360" s="22">
        <v>1993</v>
      </c>
      <c r="H360" s="24">
        <v>34043</v>
      </c>
      <c r="I360" s="23"/>
      <c r="J360" s="23"/>
      <c r="K360" s="23"/>
      <c r="L360" s="23"/>
      <c r="M360" s="23"/>
    </row>
    <row r="361" spans="1:13" ht="15.75" customHeight="1">
      <c r="A361" s="22">
        <v>8382723</v>
      </c>
      <c r="B361" s="23" t="s">
        <v>6122</v>
      </c>
      <c r="C361" s="23" t="s">
        <v>6123</v>
      </c>
      <c r="D361" s="23" t="s">
        <v>6124</v>
      </c>
      <c r="E361" s="23" t="s">
        <v>112</v>
      </c>
      <c r="F361" s="23" t="s">
        <v>4992</v>
      </c>
      <c r="G361" s="22">
        <v>1993</v>
      </c>
      <c r="H361" s="24">
        <v>34029</v>
      </c>
      <c r="I361" s="23"/>
      <c r="J361" s="23"/>
      <c r="K361" s="26" t="s">
        <v>324</v>
      </c>
      <c r="L361" s="27"/>
      <c r="M361" s="23"/>
    </row>
    <row r="362" spans="1:13" ht="15.75" customHeight="1">
      <c r="A362" s="22">
        <v>7910837</v>
      </c>
      <c r="B362" s="23" t="s">
        <v>6125</v>
      </c>
      <c r="C362" s="23" t="s">
        <v>6126</v>
      </c>
      <c r="D362" s="23" t="s">
        <v>6127</v>
      </c>
      <c r="E362" s="23" t="s">
        <v>1993</v>
      </c>
      <c r="F362" s="23" t="s">
        <v>4992</v>
      </c>
      <c r="G362" s="22">
        <v>1994</v>
      </c>
      <c r="H362" s="24">
        <v>34486</v>
      </c>
      <c r="I362" s="23"/>
      <c r="J362" s="23"/>
      <c r="K362" s="26" t="s">
        <v>1994</v>
      </c>
      <c r="L362" s="27"/>
      <c r="M362" s="27"/>
    </row>
    <row r="363" spans="1:13" ht="15.75" customHeight="1">
      <c r="A363" s="22">
        <v>19321385</v>
      </c>
      <c r="B363" s="23" t="s">
        <v>6128</v>
      </c>
      <c r="C363" s="23" t="s">
        <v>6129</v>
      </c>
      <c r="D363" s="23" t="s">
        <v>6130</v>
      </c>
      <c r="E363" s="23" t="s">
        <v>233</v>
      </c>
      <c r="F363" s="23" t="s">
        <v>4896</v>
      </c>
      <c r="G363" s="22">
        <v>2009</v>
      </c>
      <c r="H363" s="24">
        <v>39899</v>
      </c>
      <c r="I363" s="23"/>
      <c r="J363" s="23"/>
      <c r="K363" s="26" t="s">
        <v>677</v>
      </c>
      <c r="L363" s="27"/>
      <c r="M363" s="27"/>
    </row>
    <row r="364" spans="1:13" ht="15.75" customHeight="1">
      <c r="A364" s="22">
        <v>17205485</v>
      </c>
      <c r="B364" s="23" t="s">
        <v>6131</v>
      </c>
      <c r="C364" s="23" t="s">
        <v>6132</v>
      </c>
      <c r="D364" s="23" t="s">
        <v>6133</v>
      </c>
      <c r="E364" s="23" t="s">
        <v>2085</v>
      </c>
      <c r="F364" s="23" t="s">
        <v>4992</v>
      </c>
      <c r="G364" s="22">
        <v>2007</v>
      </c>
      <c r="H364" s="24">
        <v>39088</v>
      </c>
      <c r="I364" s="23"/>
      <c r="J364" s="23"/>
      <c r="K364" s="26" t="s">
        <v>2086</v>
      </c>
      <c r="L364" s="27"/>
      <c r="M364" s="23"/>
    </row>
    <row r="365" spans="1:13" ht="15.75" customHeight="1">
      <c r="A365" s="22">
        <v>10449249</v>
      </c>
      <c r="B365" s="23" t="s">
        <v>6134</v>
      </c>
      <c r="C365" s="23" t="s">
        <v>6135</v>
      </c>
      <c r="D365" s="23" t="s">
        <v>6136</v>
      </c>
      <c r="E365" s="23" t="s">
        <v>4706</v>
      </c>
      <c r="F365" s="23" t="s">
        <v>5163</v>
      </c>
      <c r="G365" s="22">
        <v>1999</v>
      </c>
      <c r="H365" s="24">
        <v>36389</v>
      </c>
      <c r="I365" s="23"/>
      <c r="J365" s="23"/>
      <c r="K365" s="26" t="s">
        <v>4709</v>
      </c>
      <c r="L365" s="27"/>
      <c r="M365" s="27"/>
    </row>
    <row r="366" spans="1:13" ht="15.75" customHeight="1">
      <c r="A366" s="22">
        <v>23408849</v>
      </c>
      <c r="B366" s="23" t="s">
        <v>6137</v>
      </c>
      <c r="C366" s="23" t="s">
        <v>6138</v>
      </c>
      <c r="D366" s="23" t="s">
        <v>6139</v>
      </c>
      <c r="E366" s="23" t="s">
        <v>2206</v>
      </c>
      <c r="F366" s="23" t="s">
        <v>4992</v>
      </c>
      <c r="G366" s="22">
        <v>2013</v>
      </c>
      <c r="H366" s="24">
        <v>41320</v>
      </c>
      <c r="I366" s="23"/>
      <c r="J366" s="23"/>
      <c r="K366" s="26" t="s">
        <v>2207</v>
      </c>
      <c r="L366" s="27"/>
      <c r="M366" s="23"/>
    </row>
    <row r="367" spans="1:13" ht="15.75" customHeight="1">
      <c r="A367" s="22">
        <v>9765424</v>
      </c>
      <c r="B367" s="23" t="s">
        <v>6140</v>
      </c>
      <c r="C367" s="23" t="s">
        <v>6141</v>
      </c>
      <c r="D367" s="23" t="s">
        <v>6142</v>
      </c>
      <c r="E367" s="23" t="s">
        <v>2051</v>
      </c>
      <c r="F367" s="23" t="s">
        <v>4891</v>
      </c>
      <c r="G367" s="22">
        <v>1998</v>
      </c>
      <c r="H367" s="24">
        <v>36078</v>
      </c>
      <c r="I367" s="23" t="s">
        <v>6143</v>
      </c>
      <c r="J367" s="23"/>
      <c r="K367" s="26" t="s">
        <v>2052</v>
      </c>
      <c r="L367" s="27"/>
      <c r="M367" s="27"/>
    </row>
    <row r="368" spans="1:13" ht="15.75" customHeight="1">
      <c r="A368" s="22">
        <v>1682676</v>
      </c>
      <c r="B368" s="23" t="s">
        <v>6144</v>
      </c>
      <c r="C368" s="23" t="s">
        <v>6145</v>
      </c>
      <c r="D368" s="23" t="s">
        <v>6146</v>
      </c>
      <c r="E368" s="23" t="s">
        <v>3020</v>
      </c>
      <c r="F368" s="23" t="s">
        <v>6147</v>
      </c>
      <c r="G368" s="22">
        <v>1991</v>
      </c>
      <c r="H368" s="24">
        <v>33558</v>
      </c>
      <c r="I368" s="23"/>
      <c r="J368" s="23"/>
      <c r="K368" s="26" t="s">
        <v>3021</v>
      </c>
      <c r="L368" s="27"/>
      <c r="M368" s="27"/>
    </row>
    <row r="369" spans="1:13" ht="15.75" customHeight="1">
      <c r="A369" s="22">
        <v>17204195</v>
      </c>
      <c r="B369" s="23" t="s">
        <v>6148</v>
      </c>
      <c r="C369" s="23" t="s">
        <v>6149</v>
      </c>
      <c r="D369" s="23" t="s">
        <v>6150</v>
      </c>
      <c r="E369" s="23" t="s">
        <v>177</v>
      </c>
      <c r="F369" s="23" t="s">
        <v>6151</v>
      </c>
      <c r="G369" s="22">
        <v>2006</v>
      </c>
      <c r="H369" s="24">
        <v>39088</v>
      </c>
      <c r="I369" s="23"/>
      <c r="J369" s="23"/>
      <c r="K369" s="23"/>
      <c r="L369" s="23"/>
      <c r="M369" s="23"/>
    </row>
    <row r="370" spans="1:13" ht="15.75" customHeight="1">
      <c r="A370" s="22">
        <v>25124787</v>
      </c>
      <c r="B370" s="23" t="s">
        <v>6152</v>
      </c>
      <c r="C370" s="23" t="s">
        <v>6153</v>
      </c>
      <c r="D370" s="23" t="s">
        <v>6154</v>
      </c>
      <c r="E370" s="23" t="s">
        <v>3657</v>
      </c>
      <c r="F370" s="23" t="s">
        <v>5343</v>
      </c>
      <c r="G370" s="22">
        <v>2014</v>
      </c>
      <c r="H370" s="24">
        <v>41867</v>
      </c>
      <c r="I370" s="26" t="s">
        <v>6155</v>
      </c>
      <c r="J370" s="27"/>
      <c r="K370" s="26" t="s">
        <v>3658</v>
      </c>
      <c r="L370" s="27"/>
      <c r="M370" s="27"/>
    </row>
    <row r="371" spans="1:13" ht="15.75" customHeight="1">
      <c r="A371" s="22">
        <v>11972099</v>
      </c>
      <c r="B371" s="23" t="s">
        <v>6156</v>
      </c>
      <c r="C371" s="23" t="s">
        <v>6157</v>
      </c>
      <c r="D371" s="23" t="s">
        <v>6158</v>
      </c>
      <c r="E371" s="23" t="s">
        <v>4049</v>
      </c>
      <c r="F371" s="23" t="s">
        <v>5757</v>
      </c>
      <c r="G371" s="22">
        <v>2002</v>
      </c>
      <c r="H371" s="24">
        <v>37371</v>
      </c>
      <c r="I371" s="23"/>
      <c r="J371" s="23"/>
      <c r="K371" s="26" t="s">
        <v>4050</v>
      </c>
      <c r="L371" s="27"/>
      <c r="M371" s="27"/>
    </row>
    <row r="372" spans="1:13" ht="15.75" customHeight="1">
      <c r="A372" s="22">
        <v>23342747</v>
      </c>
      <c r="B372" s="23" t="s">
        <v>6159</v>
      </c>
      <c r="C372" s="23" t="s">
        <v>6160</v>
      </c>
      <c r="D372" s="23" t="s">
        <v>6161</v>
      </c>
      <c r="E372" s="23" t="s">
        <v>4304</v>
      </c>
      <c r="F372" s="23" t="s">
        <v>6162</v>
      </c>
      <c r="G372" s="22">
        <v>2012</v>
      </c>
      <c r="H372" s="24">
        <v>41299</v>
      </c>
      <c r="I372" s="23"/>
      <c r="J372" s="23"/>
      <c r="K372" s="26" t="s">
        <v>4305</v>
      </c>
      <c r="L372" s="27"/>
      <c r="M372" s="23"/>
    </row>
    <row r="373" spans="1:13" ht="15.75" customHeight="1">
      <c r="A373" s="22">
        <v>22825817</v>
      </c>
      <c r="B373" s="23" t="s">
        <v>6163</v>
      </c>
      <c r="C373" s="23" t="s">
        <v>6164</v>
      </c>
      <c r="D373" s="23" t="s">
        <v>6165</v>
      </c>
      <c r="E373" s="23" t="s">
        <v>654</v>
      </c>
      <c r="F373" s="23" t="s">
        <v>4923</v>
      </c>
      <c r="G373" s="22">
        <v>2012</v>
      </c>
      <c r="H373" s="24">
        <v>41115</v>
      </c>
      <c r="I373" s="23"/>
      <c r="J373" s="23"/>
      <c r="K373" s="26" t="s">
        <v>657</v>
      </c>
      <c r="L373" s="27"/>
      <c r="M373" s="23"/>
    </row>
    <row r="374" spans="1:13" ht="15.75" customHeight="1">
      <c r="A374" s="22">
        <v>25122795</v>
      </c>
      <c r="B374" s="23" t="s">
        <v>6166</v>
      </c>
      <c r="C374" s="23" t="s">
        <v>6167</v>
      </c>
      <c r="D374" s="23" t="s">
        <v>6168</v>
      </c>
      <c r="E374" s="23" t="s">
        <v>2471</v>
      </c>
      <c r="F374" s="23" t="s">
        <v>4891</v>
      </c>
      <c r="G374" s="22">
        <v>2014</v>
      </c>
      <c r="H374" s="24">
        <v>41866</v>
      </c>
      <c r="I374" s="26" t="s">
        <v>6169</v>
      </c>
      <c r="J374" s="27"/>
      <c r="K374" s="26" t="s">
        <v>2472</v>
      </c>
      <c r="L374" s="27"/>
      <c r="M374" s="23"/>
    </row>
    <row r="375" spans="1:13" ht="15.75" customHeight="1">
      <c r="A375" s="22">
        <v>12270665</v>
      </c>
      <c r="B375" s="23" t="s">
        <v>6170</v>
      </c>
      <c r="C375" s="23" t="s">
        <v>6171</v>
      </c>
      <c r="D375" s="23" t="s">
        <v>6172</v>
      </c>
      <c r="E375" s="23" t="s">
        <v>4313</v>
      </c>
      <c r="F375" s="23" t="s">
        <v>5267</v>
      </c>
      <c r="G375" s="22">
        <v>2002</v>
      </c>
      <c r="H375" s="24">
        <v>37524</v>
      </c>
      <c r="I375" s="23"/>
      <c r="J375" s="23"/>
      <c r="K375" s="26" t="s">
        <v>4314</v>
      </c>
      <c r="L375" s="27"/>
      <c r="M375" s="27"/>
    </row>
    <row r="376" spans="1:13" ht="15.75" customHeight="1">
      <c r="A376" s="22">
        <v>27060193</v>
      </c>
      <c r="B376" s="23" t="s">
        <v>6173</v>
      </c>
      <c r="C376" s="23" t="s">
        <v>6174</v>
      </c>
      <c r="D376" s="23" t="s">
        <v>6175</v>
      </c>
      <c r="E376" s="23" t="s">
        <v>1600</v>
      </c>
      <c r="F376" s="23" t="s">
        <v>6176</v>
      </c>
      <c r="G376" s="22">
        <v>2016</v>
      </c>
      <c r="H376" s="24">
        <v>42470</v>
      </c>
      <c r="I376" s="23"/>
      <c r="J376" s="23"/>
      <c r="K376" s="26" t="s">
        <v>1601</v>
      </c>
      <c r="L376" s="27"/>
      <c r="M376" s="27"/>
    </row>
    <row r="377" spans="1:13" ht="15.75" customHeight="1">
      <c r="A377" s="22">
        <v>8394407</v>
      </c>
      <c r="B377" s="23" t="s">
        <v>6177</v>
      </c>
      <c r="C377" s="23" t="s">
        <v>6178</v>
      </c>
      <c r="D377" s="23" t="s">
        <v>6179</v>
      </c>
      <c r="E377" s="23" t="s">
        <v>3107</v>
      </c>
      <c r="F377" s="23" t="s">
        <v>5170</v>
      </c>
      <c r="G377" s="22">
        <v>1993</v>
      </c>
      <c r="H377" s="24">
        <v>34213</v>
      </c>
      <c r="I377" s="26" t="s">
        <v>6180</v>
      </c>
      <c r="J377" s="27"/>
      <c r="K377" s="26" t="s">
        <v>3108</v>
      </c>
      <c r="L377" s="27"/>
      <c r="M377" s="23"/>
    </row>
    <row r="378" spans="1:13" ht="15.75" customHeight="1">
      <c r="A378" s="22">
        <v>15152048</v>
      </c>
      <c r="B378" s="23" t="s">
        <v>6181</v>
      </c>
      <c r="C378" s="23" t="s">
        <v>6182</v>
      </c>
      <c r="D378" s="23" t="s">
        <v>6183</v>
      </c>
      <c r="E378" s="23" t="s">
        <v>1876</v>
      </c>
      <c r="F378" s="23" t="s">
        <v>6184</v>
      </c>
      <c r="G378" s="22">
        <v>2004</v>
      </c>
      <c r="H378" s="24">
        <v>38128</v>
      </c>
      <c r="I378" s="26" t="s">
        <v>6185</v>
      </c>
      <c r="J378" s="27"/>
      <c r="K378" s="26" t="s">
        <v>1877</v>
      </c>
      <c r="L378" s="27"/>
      <c r="M378" s="27"/>
    </row>
    <row r="379" spans="1:13" ht="15.75" customHeight="1">
      <c r="A379" s="22">
        <v>20561301</v>
      </c>
      <c r="B379" s="23" t="s">
        <v>6186</v>
      </c>
      <c r="C379" s="23" t="s">
        <v>6187</v>
      </c>
      <c r="D379" s="23" t="s">
        <v>6188</v>
      </c>
      <c r="E379" s="23" t="s">
        <v>2855</v>
      </c>
      <c r="F379" s="23" t="s">
        <v>4974</v>
      </c>
      <c r="G379" s="22">
        <v>2010</v>
      </c>
      <c r="H379" s="24">
        <v>40351</v>
      </c>
      <c r="I379" s="23"/>
      <c r="J379" s="23"/>
      <c r="K379" s="26" t="s">
        <v>2856</v>
      </c>
      <c r="L379" s="27"/>
      <c r="M379" s="27"/>
    </row>
    <row r="380" spans="1:13" ht="15.75" customHeight="1">
      <c r="A380" s="22">
        <v>10026725</v>
      </c>
      <c r="B380" s="23" t="s">
        <v>6189</v>
      </c>
      <c r="C380" s="23" t="s">
        <v>6190</v>
      </c>
      <c r="D380" s="23" t="s">
        <v>6191</v>
      </c>
      <c r="E380" s="23" t="s">
        <v>2070</v>
      </c>
      <c r="F380" s="23" t="s">
        <v>6192</v>
      </c>
      <c r="G380" s="22">
        <v>1999</v>
      </c>
      <c r="H380" s="24">
        <v>36214</v>
      </c>
      <c r="I380" s="23"/>
      <c r="J380" s="23"/>
      <c r="K380" s="23"/>
      <c r="L380" s="23"/>
      <c r="M380" s="23"/>
    </row>
    <row r="381" spans="1:13" ht="15.75" customHeight="1">
      <c r="A381" s="22">
        <v>16300835</v>
      </c>
      <c r="B381" s="23" t="s">
        <v>6193</v>
      </c>
      <c r="C381" s="23" t="s">
        <v>6194</v>
      </c>
      <c r="D381" s="23" t="s">
        <v>6195</v>
      </c>
      <c r="E381" s="23" t="s">
        <v>826</v>
      </c>
      <c r="F381" s="23" t="s">
        <v>5267</v>
      </c>
      <c r="G381" s="22">
        <v>2006</v>
      </c>
      <c r="H381" s="24">
        <v>38679</v>
      </c>
      <c r="I381" s="23"/>
      <c r="J381" s="23"/>
      <c r="K381" s="26" t="s">
        <v>827</v>
      </c>
      <c r="L381" s="27"/>
      <c r="M381" s="27"/>
    </row>
    <row r="382" spans="1:13" ht="15.75" customHeight="1">
      <c r="A382" s="22">
        <v>17516391</v>
      </c>
      <c r="B382" s="23" t="s">
        <v>6196</v>
      </c>
      <c r="C382" s="23" t="s">
        <v>6197</v>
      </c>
      <c r="D382" s="23" t="s">
        <v>6198</v>
      </c>
      <c r="E382" s="23" t="s">
        <v>3624</v>
      </c>
      <c r="F382" s="23" t="s">
        <v>5080</v>
      </c>
      <c r="G382" s="22">
        <v>2007</v>
      </c>
      <c r="H382" s="24">
        <v>39225</v>
      </c>
      <c r="I382" s="23"/>
      <c r="J382" s="23"/>
      <c r="K382" s="26" t="s">
        <v>3625</v>
      </c>
      <c r="L382" s="27"/>
      <c r="M382" s="23"/>
    </row>
    <row r="383" spans="1:13" ht="15.75" customHeight="1">
      <c r="A383" s="22">
        <v>7687301</v>
      </c>
      <c r="B383" s="23" t="s">
        <v>6199</v>
      </c>
      <c r="C383" s="23" t="s">
        <v>6200</v>
      </c>
      <c r="D383" s="23" t="s">
        <v>6201</v>
      </c>
      <c r="E383" s="23" t="s">
        <v>3581</v>
      </c>
      <c r="F383" s="23" t="s">
        <v>4891</v>
      </c>
      <c r="G383" s="22">
        <v>1993</v>
      </c>
      <c r="H383" s="24">
        <v>34182</v>
      </c>
      <c r="I383" s="23" t="s">
        <v>6202</v>
      </c>
      <c r="J383" s="23"/>
      <c r="K383" s="26" t="s">
        <v>3582</v>
      </c>
      <c r="L383" s="27"/>
      <c r="M383" s="27"/>
    </row>
    <row r="384" spans="1:13" ht="15.75" customHeight="1">
      <c r="A384" s="22">
        <v>12794728</v>
      </c>
      <c r="B384" s="23" t="s">
        <v>6203</v>
      </c>
      <c r="C384" s="23" t="s">
        <v>6204</v>
      </c>
      <c r="D384" s="23" t="s">
        <v>6205</v>
      </c>
      <c r="E384" s="23" t="s">
        <v>2861</v>
      </c>
      <c r="F384" s="23" t="s">
        <v>4923</v>
      </c>
      <c r="G384" s="22">
        <v>2003</v>
      </c>
      <c r="H384" s="24">
        <v>37782</v>
      </c>
      <c r="I384" s="23"/>
      <c r="J384" s="23"/>
      <c r="K384" s="26" t="s">
        <v>2862</v>
      </c>
      <c r="L384" s="27"/>
      <c r="M384" s="23"/>
    </row>
    <row r="385" spans="1:13" ht="15.75" customHeight="1">
      <c r="A385" s="22">
        <v>21088083</v>
      </c>
      <c r="B385" s="23" t="s">
        <v>6206</v>
      </c>
      <c r="C385" s="23" t="s">
        <v>6207</v>
      </c>
      <c r="D385" s="23" t="s">
        <v>6208</v>
      </c>
      <c r="E385" s="23" t="s">
        <v>3341</v>
      </c>
      <c r="F385" s="23" t="s">
        <v>6209</v>
      </c>
      <c r="G385" s="22">
        <v>2010</v>
      </c>
      <c r="H385" s="24">
        <v>40502</v>
      </c>
      <c r="I385" s="26" t="s">
        <v>6210</v>
      </c>
      <c r="J385" s="27"/>
      <c r="K385" s="26" t="s">
        <v>3342</v>
      </c>
      <c r="L385" s="27"/>
      <c r="M385" s="23"/>
    </row>
    <row r="386" spans="1:13" ht="15.75" customHeight="1">
      <c r="A386" s="22">
        <v>8750269</v>
      </c>
      <c r="B386" s="23" t="s">
        <v>6211</v>
      </c>
      <c r="C386" s="23" t="s">
        <v>6212</v>
      </c>
      <c r="D386" s="23" t="s">
        <v>6213</v>
      </c>
      <c r="E386" s="23" t="s">
        <v>461</v>
      </c>
      <c r="F386" s="23" t="s">
        <v>4863</v>
      </c>
      <c r="G386" s="22">
        <v>1995</v>
      </c>
      <c r="H386" s="24">
        <v>35034</v>
      </c>
      <c r="I386" s="23"/>
      <c r="J386" s="23"/>
      <c r="K386" s="23"/>
      <c r="L386" s="23"/>
      <c r="M386" s="23"/>
    </row>
    <row r="387" spans="1:13" ht="15.75" customHeight="1">
      <c r="A387" s="22">
        <v>8738179</v>
      </c>
      <c r="B387" s="23" t="s">
        <v>6214</v>
      </c>
      <c r="C387" s="23" t="s">
        <v>6215</v>
      </c>
      <c r="D387" s="23" t="s">
        <v>6216</v>
      </c>
      <c r="E387" s="23" t="s">
        <v>4169</v>
      </c>
      <c r="F387" s="23" t="s">
        <v>5122</v>
      </c>
      <c r="G387" s="22">
        <v>1996</v>
      </c>
      <c r="H387" s="24">
        <v>35156</v>
      </c>
      <c r="I387" s="23"/>
      <c r="J387" s="23"/>
      <c r="K387" s="26" t="s">
        <v>4170</v>
      </c>
      <c r="L387" s="27"/>
      <c r="M387" s="27"/>
    </row>
    <row r="388" spans="1:13" ht="15.75" customHeight="1">
      <c r="A388" s="22">
        <v>9770435</v>
      </c>
      <c r="B388" s="23" t="s">
        <v>6217</v>
      </c>
      <c r="C388" s="23" t="s">
        <v>6218</v>
      </c>
      <c r="D388" s="23" t="s">
        <v>6219</v>
      </c>
      <c r="E388" s="23" t="s">
        <v>2955</v>
      </c>
      <c r="F388" s="23" t="s">
        <v>4950</v>
      </c>
      <c r="G388" s="22">
        <v>1998</v>
      </c>
      <c r="H388" s="24">
        <v>36083</v>
      </c>
      <c r="I388" s="23"/>
      <c r="J388" s="23"/>
      <c r="K388" s="26" t="s">
        <v>2956</v>
      </c>
      <c r="L388" s="27"/>
      <c r="M388" s="23"/>
    </row>
    <row r="389" spans="1:13" ht="15.75" customHeight="1">
      <c r="A389" s="22">
        <v>21843348</v>
      </c>
      <c r="B389" s="23" t="s">
        <v>6220</v>
      </c>
      <c r="C389" s="23" t="s">
        <v>6221</v>
      </c>
      <c r="D389" s="23" t="s">
        <v>6222</v>
      </c>
      <c r="E389" s="23" t="s">
        <v>1742</v>
      </c>
      <c r="F389" s="23" t="s">
        <v>4867</v>
      </c>
      <c r="G389" s="22">
        <v>2011</v>
      </c>
      <c r="H389" s="24">
        <v>40772</v>
      </c>
      <c r="I389" s="26" t="s">
        <v>6223</v>
      </c>
      <c r="J389" s="27"/>
      <c r="K389" s="26" t="s">
        <v>1743</v>
      </c>
      <c r="L389" s="27"/>
      <c r="M389" s="27"/>
    </row>
    <row r="390" spans="1:13" ht="15.75" customHeight="1">
      <c r="A390" s="22">
        <v>7893986</v>
      </c>
      <c r="B390" s="23" t="s">
        <v>6224</v>
      </c>
      <c r="C390" s="23" t="s">
        <v>6225</v>
      </c>
      <c r="D390" s="23" t="s">
        <v>6226</v>
      </c>
      <c r="E390" s="23" t="s">
        <v>1063</v>
      </c>
      <c r="F390" s="23" t="s">
        <v>4954</v>
      </c>
      <c r="G390" s="22">
        <v>1994</v>
      </c>
      <c r="H390" s="24">
        <v>34516</v>
      </c>
      <c r="I390" s="23"/>
      <c r="J390" s="23"/>
      <c r="K390" s="23"/>
      <c r="L390" s="23"/>
      <c r="M390" s="23"/>
    </row>
    <row r="391" spans="1:13" ht="15.75" customHeight="1">
      <c r="A391" s="22">
        <v>8391023</v>
      </c>
      <c r="B391" s="23" t="s">
        <v>6227</v>
      </c>
      <c r="C391" s="23" t="s">
        <v>6228</v>
      </c>
      <c r="D391" s="23" t="s">
        <v>6229</v>
      </c>
      <c r="E391" s="23" t="s">
        <v>112</v>
      </c>
      <c r="F391" s="23" t="s">
        <v>5331</v>
      </c>
      <c r="G391" s="22">
        <v>1993</v>
      </c>
      <c r="H391" s="24">
        <v>34121</v>
      </c>
      <c r="I391" s="23" t="s">
        <v>6230</v>
      </c>
      <c r="J391" s="23"/>
      <c r="K391" s="26" t="s">
        <v>1922</v>
      </c>
      <c r="L391" s="27"/>
      <c r="M391" s="27"/>
    </row>
    <row r="392" spans="1:13" ht="15.75" customHeight="1">
      <c r="A392" s="22">
        <v>11076708</v>
      </c>
      <c r="B392" s="23" t="s">
        <v>6231</v>
      </c>
      <c r="C392" s="23" t="s">
        <v>6232</v>
      </c>
      <c r="D392" s="23" t="s">
        <v>6233</v>
      </c>
      <c r="E392" s="23" t="s">
        <v>786</v>
      </c>
      <c r="F392" s="23" t="s">
        <v>4992</v>
      </c>
      <c r="G392" s="22">
        <v>2001</v>
      </c>
      <c r="H392" s="24">
        <v>36845</v>
      </c>
      <c r="I392" s="23"/>
      <c r="J392" s="23"/>
      <c r="K392" s="26" t="s">
        <v>787</v>
      </c>
      <c r="L392" s="27"/>
      <c r="M392" s="23"/>
    </row>
    <row r="393" spans="1:13" ht="15.75" customHeight="1">
      <c r="A393" s="22">
        <v>8385692</v>
      </c>
      <c r="B393" s="23" t="s">
        <v>6234</v>
      </c>
      <c r="C393" s="23" t="s">
        <v>6235</v>
      </c>
      <c r="D393" s="23" t="s">
        <v>6236</v>
      </c>
      <c r="E393" s="23" t="s">
        <v>2194</v>
      </c>
      <c r="F393" s="23" t="s">
        <v>4966</v>
      </c>
      <c r="G393" s="22">
        <v>1993</v>
      </c>
      <c r="H393" s="24">
        <v>34060</v>
      </c>
      <c r="I393" s="23"/>
      <c r="J393" s="23"/>
      <c r="K393" s="26" t="s">
        <v>2195</v>
      </c>
      <c r="L393" s="27"/>
      <c r="M393" s="27"/>
    </row>
    <row r="394" spans="1:13" ht="15.75" customHeight="1">
      <c r="A394" s="22">
        <v>11593320</v>
      </c>
      <c r="B394" s="23" t="s">
        <v>6237</v>
      </c>
      <c r="C394" s="23" t="s">
        <v>6238</v>
      </c>
      <c r="D394" s="23" t="s">
        <v>6239</v>
      </c>
      <c r="E394" s="23" t="s">
        <v>453</v>
      </c>
      <c r="F394" s="23" t="s">
        <v>4863</v>
      </c>
      <c r="G394" s="22">
        <v>2001</v>
      </c>
      <c r="H394" s="24">
        <v>37175</v>
      </c>
      <c r="I394" s="23"/>
      <c r="J394" s="23"/>
      <c r="K394" s="26" t="s">
        <v>454</v>
      </c>
      <c r="L394" s="27"/>
      <c r="M394" s="23"/>
    </row>
    <row r="395" spans="1:13" ht="15.75" customHeight="1">
      <c r="A395" s="22">
        <v>9258937</v>
      </c>
      <c r="B395" s="23" t="s">
        <v>6240</v>
      </c>
      <c r="C395" s="23" t="s">
        <v>6241</v>
      </c>
      <c r="D395" s="23" t="s">
        <v>6242</v>
      </c>
      <c r="E395" s="23" t="s">
        <v>1570</v>
      </c>
      <c r="F395" s="23" t="s">
        <v>5103</v>
      </c>
      <c r="G395" s="22">
        <v>1997</v>
      </c>
      <c r="H395" s="24">
        <v>35612</v>
      </c>
      <c r="I395" s="23"/>
      <c r="J395" s="23"/>
      <c r="K395" s="23"/>
      <c r="L395" s="23"/>
      <c r="M395" s="23"/>
    </row>
    <row r="396" spans="1:13" ht="15.75" customHeight="1">
      <c r="A396" s="22">
        <v>15469723</v>
      </c>
      <c r="B396" s="23" t="s">
        <v>6243</v>
      </c>
      <c r="C396" s="23" t="s">
        <v>6244</v>
      </c>
      <c r="D396" s="23" t="s">
        <v>6245</v>
      </c>
      <c r="E396" s="23" t="s">
        <v>4615</v>
      </c>
      <c r="F396" s="23" t="s">
        <v>6246</v>
      </c>
      <c r="G396" s="22">
        <v>2004</v>
      </c>
      <c r="H396" s="24">
        <v>38268</v>
      </c>
      <c r="I396" s="23"/>
      <c r="J396" s="23"/>
      <c r="K396" s="26" t="s">
        <v>4616</v>
      </c>
      <c r="L396" s="27"/>
      <c r="M396" s="27"/>
    </row>
    <row r="397" spans="1:13" ht="15.75" customHeight="1">
      <c r="A397" s="22">
        <v>21957287</v>
      </c>
      <c r="B397" s="23" t="s">
        <v>6247</v>
      </c>
      <c r="C397" s="23" t="s">
        <v>6248</v>
      </c>
      <c r="D397" s="23" t="s">
        <v>6249</v>
      </c>
      <c r="E397" s="23" t="s">
        <v>2642</v>
      </c>
      <c r="F397" s="23" t="s">
        <v>4891</v>
      </c>
      <c r="G397" s="22">
        <v>2011</v>
      </c>
      <c r="H397" s="24">
        <v>40816</v>
      </c>
      <c r="I397" s="26" t="s">
        <v>6250</v>
      </c>
      <c r="J397" s="27"/>
      <c r="K397" s="26" t="s">
        <v>2645</v>
      </c>
      <c r="L397" s="27"/>
      <c r="M397" s="23"/>
    </row>
    <row r="398" spans="1:13" ht="15.75" customHeight="1">
      <c r="A398" s="22">
        <v>32439137</v>
      </c>
      <c r="B398" s="23" t="s">
        <v>6251</v>
      </c>
      <c r="C398" s="23" t="s">
        <v>6252</v>
      </c>
      <c r="D398" s="23" t="s">
        <v>6253</v>
      </c>
      <c r="E398" s="23" t="s">
        <v>3073</v>
      </c>
      <c r="F398" s="23" t="s">
        <v>6254</v>
      </c>
      <c r="G398" s="22">
        <v>2021</v>
      </c>
      <c r="H398" s="24">
        <v>43974</v>
      </c>
      <c r="I398" s="23"/>
      <c r="J398" s="23"/>
      <c r="K398" s="26" t="s">
        <v>3074</v>
      </c>
      <c r="L398" s="27"/>
      <c r="M398" s="27"/>
    </row>
    <row r="399" spans="1:13" ht="15.75" customHeight="1">
      <c r="A399" s="22">
        <v>10423733</v>
      </c>
      <c r="B399" s="23" t="s">
        <v>6255</v>
      </c>
      <c r="C399" s="23" t="s">
        <v>6256</v>
      </c>
      <c r="D399" s="23" t="s">
        <v>6257</v>
      </c>
      <c r="E399" s="23" t="s">
        <v>1379</v>
      </c>
      <c r="F399" s="23" t="s">
        <v>5103</v>
      </c>
      <c r="G399" s="22">
        <v>1999</v>
      </c>
      <c r="H399" s="24">
        <v>36370</v>
      </c>
      <c r="I399" s="23"/>
      <c r="J399" s="23"/>
      <c r="K399" s="23"/>
      <c r="L399" s="23"/>
      <c r="M399" s="23"/>
    </row>
    <row r="400" spans="1:13" ht="15.75" customHeight="1">
      <c r="A400" s="22">
        <v>19656346</v>
      </c>
      <c r="B400" s="23" t="s">
        <v>6258</v>
      </c>
      <c r="C400" s="23" t="s">
        <v>6259</v>
      </c>
      <c r="D400" s="23" t="s">
        <v>6260</v>
      </c>
      <c r="E400" s="23" t="s">
        <v>754</v>
      </c>
      <c r="F400" s="23" t="s">
        <v>4974</v>
      </c>
      <c r="G400" s="22">
        <v>2009</v>
      </c>
      <c r="H400" s="24">
        <v>40032</v>
      </c>
      <c r="I400" s="23"/>
      <c r="J400" s="23"/>
      <c r="K400" s="26" t="s">
        <v>3271</v>
      </c>
      <c r="L400" s="27"/>
      <c r="M400" s="27"/>
    </row>
    <row r="401" spans="1:13" ht="15.75" customHeight="1">
      <c r="A401" s="22">
        <v>7831214</v>
      </c>
      <c r="B401" s="23" t="s">
        <v>6261</v>
      </c>
      <c r="C401" s="23" t="s">
        <v>6262</v>
      </c>
      <c r="D401" s="23" t="s">
        <v>6263</v>
      </c>
      <c r="E401" s="23" t="s">
        <v>3769</v>
      </c>
      <c r="F401" s="23" t="s">
        <v>6192</v>
      </c>
      <c r="G401" s="22">
        <v>1994</v>
      </c>
      <c r="H401" s="24">
        <v>34580</v>
      </c>
      <c r="I401" s="23"/>
      <c r="J401" s="23"/>
      <c r="K401" s="23"/>
      <c r="L401" s="23"/>
      <c r="M401" s="23"/>
    </row>
    <row r="402" spans="1:13" ht="15.75" customHeight="1">
      <c r="A402" s="22">
        <v>24478470</v>
      </c>
      <c r="B402" s="23" t="s">
        <v>6264</v>
      </c>
      <c r="C402" s="23" t="s">
        <v>6265</v>
      </c>
      <c r="D402" s="23" t="s">
        <v>6266</v>
      </c>
      <c r="E402" s="23" t="s">
        <v>2632</v>
      </c>
      <c r="F402" s="23" t="s">
        <v>5331</v>
      </c>
      <c r="G402" s="22">
        <v>2014</v>
      </c>
      <c r="H402" s="24">
        <v>41670</v>
      </c>
      <c r="I402" s="26" t="s">
        <v>6267</v>
      </c>
      <c r="J402" s="27"/>
      <c r="K402" s="26" t="s">
        <v>2633</v>
      </c>
      <c r="L402" s="27"/>
      <c r="M402" s="23"/>
    </row>
    <row r="403" spans="1:13" ht="15.75" customHeight="1">
      <c r="A403" s="22">
        <v>21064150</v>
      </c>
      <c r="B403" s="23" t="s">
        <v>6268</v>
      </c>
      <c r="C403" s="23" t="s">
        <v>6269</v>
      </c>
      <c r="D403" s="23" t="s">
        <v>6270</v>
      </c>
      <c r="E403" s="23" t="s">
        <v>4101</v>
      </c>
      <c r="F403" s="23" t="s">
        <v>5652</v>
      </c>
      <c r="G403" s="22">
        <v>2011</v>
      </c>
      <c r="H403" s="24">
        <v>40493</v>
      </c>
      <c r="I403" s="23"/>
      <c r="J403" s="23"/>
      <c r="K403" s="26" t="s">
        <v>4102</v>
      </c>
      <c r="L403" s="27"/>
      <c r="M403" s="23"/>
    </row>
    <row r="404" spans="1:13" ht="15.75" customHeight="1">
      <c r="A404" s="22">
        <v>2156361</v>
      </c>
      <c r="B404" s="23" t="s">
        <v>6271</v>
      </c>
      <c r="C404" s="23" t="s">
        <v>6272</v>
      </c>
      <c r="D404" s="23" t="s">
        <v>6273</v>
      </c>
      <c r="E404" s="23" t="s">
        <v>3466</v>
      </c>
      <c r="F404" s="23" t="s">
        <v>5445</v>
      </c>
      <c r="G404" s="22">
        <v>1990</v>
      </c>
      <c r="H404" s="24">
        <v>32933</v>
      </c>
      <c r="I404" s="23"/>
      <c r="J404" s="23"/>
      <c r="K404" s="26" t="s">
        <v>3471</v>
      </c>
      <c r="L404" s="27"/>
      <c r="M404" s="27"/>
    </row>
    <row r="405" spans="1:13" ht="15.75" customHeight="1">
      <c r="A405" s="22">
        <v>10343615</v>
      </c>
      <c r="B405" s="23" t="s">
        <v>6274</v>
      </c>
      <c r="C405" s="23" t="s">
        <v>6275</v>
      </c>
      <c r="D405" s="23" t="s">
        <v>6276</v>
      </c>
      <c r="E405" s="23" t="s">
        <v>195</v>
      </c>
      <c r="F405" s="23" t="s">
        <v>6277</v>
      </c>
      <c r="G405" s="22">
        <v>1999</v>
      </c>
      <c r="H405" s="24">
        <v>36307</v>
      </c>
      <c r="I405" s="23" t="s">
        <v>6278</v>
      </c>
      <c r="J405" s="23"/>
      <c r="K405" s="26" t="s">
        <v>4643</v>
      </c>
      <c r="L405" s="27"/>
      <c r="M405" s="23"/>
    </row>
    <row r="406" spans="1:13" ht="15.75" customHeight="1">
      <c r="A406" s="22">
        <v>14593901</v>
      </c>
      <c r="B406" s="23" t="s">
        <v>6279</v>
      </c>
      <c r="C406" s="23" t="s">
        <v>6280</v>
      </c>
      <c r="D406" s="23" t="s">
        <v>6281</v>
      </c>
      <c r="E406" s="23" t="s">
        <v>3506</v>
      </c>
      <c r="F406" s="23" t="s">
        <v>6282</v>
      </c>
      <c r="G406" s="22">
        <v>2003</v>
      </c>
      <c r="H406" s="24">
        <v>37930</v>
      </c>
      <c r="I406" s="23"/>
      <c r="J406" s="23"/>
      <c r="K406" s="23"/>
      <c r="L406" s="23"/>
      <c r="M406" s="23"/>
    </row>
    <row r="407" spans="1:13" ht="15.75" customHeight="1">
      <c r="A407" s="22">
        <v>24380721</v>
      </c>
      <c r="B407" s="23" t="s">
        <v>6283</v>
      </c>
      <c r="C407" s="23" t="s">
        <v>6284</v>
      </c>
      <c r="D407" s="23" t="s">
        <v>6285</v>
      </c>
      <c r="E407" s="23" t="s">
        <v>1422</v>
      </c>
      <c r="F407" s="23" t="s">
        <v>4896</v>
      </c>
      <c r="G407" s="22">
        <v>2014</v>
      </c>
      <c r="H407" s="24">
        <v>41641</v>
      </c>
      <c r="I407" s="23"/>
      <c r="J407" s="23"/>
      <c r="K407" s="26" t="s">
        <v>1423</v>
      </c>
      <c r="L407" s="27"/>
      <c r="M407" s="27"/>
    </row>
    <row r="408" spans="1:13" ht="15.75" customHeight="1">
      <c r="A408" s="22">
        <v>18024365</v>
      </c>
      <c r="B408" s="23" t="s">
        <v>6286</v>
      </c>
      <c r="C408" s="23" t="s">
        <v>6287</v>
      </c>
      <c r="D408" s="23" t="s">
        <v>6288</v>
      </c>
      <c r="E408" s="23" t="s">
        <v>2437</v>
      </c>
      <c r="F408" s="23" t="s">
        <v>6289</v>
      </c>
      <c r="G408" s="22">
        <v>2007</v>
      </c>
      <c r="H408" s="24">
        <v>39407</v>
      </c>
      <c r="I408" s="23"/>
      <c r="J408" s="23"/>
      <c r="K408" s="26" t="s">
        <v>2440</v>
      </c>
      <c r="L408" s="27"/>
      <c r="M408" s="23"/>
    </row>
    <row r="409" spans="1:13" ht="15.75" customHeight="1">
      <c r="A409" s="22">
        <v>1677024</v>
      </c>
      <c r="B409" s="23" t="s">
        <v>6290</v>
      </c>
      <c r="C409" s="23" t="s">
        <v>6291</v>
      </c>
      <c r="D409" s="23" t="s">
        <v>6292</v>
      </c>
      <c r="E409" s="23" t="s">
        <v>3041</v>
      </c>
      <c r="F409" s="23" t="s">
        <v>6293</v>
      </c>
      <c r="G409" s="22">
        <v>1991</v>
      </c>
      <c r="H409" s="24">
        <v>33434</v>
      </c>
      <c r="I409" s="23"/>
      <c r="J409" s="23"/>
      <c r="K409" s="23"/>
      <c r="L409" s="23"/>
      <c r="M409" s="23"/>
    </row>
    <row r="410" spans="1:13" ht="15.75" customHeight="1">
      <c r="A410" s="22">
        <v>19920774</v>
      </c>
      <c r="B410" s="23" t="s">
        <v>6294</v>
      </c>
      <c r="C410" s="23" t="s">
        <v>6295</v>
      </c>
      <c r="D410" s="23" t="s">
        <v>6296</v>
      </c>
      <c r="E410" s="23" t="s">
        <v>3603</v>
      </c>
      <c r="F410" s="23" t="s">
        <v>5445</v>
      </c>
      <c r="G410" s="22">
        <v>2009</v>
      </c>
      <c r="H410" s="24">
        <v>40136</v>
      </c>
      <c r="I410" s="23"/>
      <c r="J410" s="23"/>
      <c r="K410" s="26" t="s">
        <v>3604</v>
      </c>
      <c r="L410" s="27"/>
      <c r="M410" s="27"/>
    </row>
    <row r="411" spans="1:13" ht="15.75" customHeight="1">
      <c r="A411" s="22">
        <v>10068608</v>
      </c>
      <c r="B411" s="23" t="s">
        <v>6297</v>
      </c>
      <c r="C411" s="23" t="s">
        <v>6298</v>
      </c>
      <c r="D411" s="23" t="s">
        <v>6299</v>
      </c>
      <c r="E411" s="23" t="s">
        <v>1764</v>
      </c>
      <c r="F411" s="23" t="s">
        <v>4992</v>
      </c>
      <c r="G411" s="22">
        <v>1999</v>
      </c>
      <c r="H411" s="24">
        <v>36228</v>
      </c>
      <c r="I411" s="23"/>
      <c r="J411" s="23"/>
      <c r="K411" s="26" t="s">
        <v>1765</v>
      </c>
      <c r="L411" s="27"/>
      <c r="M411" s="23"/>
    </row>
    <row r="412" spans="1:13" ht="15.75" customHeight="1">
      <c r="A412" s="22">
        <v>19519818</v>
      </c>
      <c r="B412" s="23" t="s">
        <v>6300</v>
      </c>
      <c r="C412" s="23" t="s">
        <v>6301</v>
      </c>
      <c r="D412" s="23" t="s">
        <v>6302</v>
      </c>
      <c r="E412" s="23" t="s">
        <v>273</v>
      </c>
      <c r="F412" s="23" t="s">
        <v>5726</v>
      </c>
      <c r="G412" s="22">
        <v>2009</v>
      </c>
      <c r="H412" s="24">
        <v>39977</v>
      </c>
      <c r="I412" s="23"/>
      <c r="J412" s="23"/>
      <c r="K412" s="26" t="s">
        <v>403</v>
      </c>
      <c r="L412" s="27"/>
      <c r="M412" s="27"/>
    </row>
    <row r="413" spans="1:13" ht="15.75" customHeight="1">
      <c r="A413" s="22">
        <v>7893980</v>
      </c>
      <c r="B413" s="23" t="s">
        <v>6303</v>
      </c>
      <c r="C413" s="23" t="s">
        <v>6304</v>
      </c>
      <c r="D413" s="23" t="s">
        <v>6305</v>
      </c>
      <c r="E413" s="23" t="s">
        <v>2800</v>
      </c>
      <c r="F413" s="23" t="s">
        <v>4954</v>
      </c>
      <c r="G413" s="22">
        <v>1994</v>
      </c>
      <c r="H413" s="24">
        <v>34516</v>
      </c>
      <c r="I413" s="23"/>
      <c r="J413" s="23"/>
      <c r="K413" s="23"/>
      <c r="L413" s="23"/>
      <c r="M413" s="23"/>
    </row>
    <row r="414" spans="1:13" ht="15.75" customHeight="1">
      <c r="A414" s="22">
        <v>8943744</v>
      </c>
      <c r="B414" s="23" t="s">
        <v>6306</v>
      </c>
      <c r="C414" s="23" t="s">
        <v>6307</v>
      </c>
      <c r="D414" s="23" t="s">
        <v>6308</v>
      </c>
      <c r="E414" s="23" t="s">
        <v>2273</v>
      </c>
      <c r="F414" s="23" t="s">
        <v>6277</v>
      </c>
      <c r="G414" s="22">
        <v>1996</v>
      </c>
      <c r="H414" s="24">
        <v>35339</v>
      </c>
      <c r="I414" s="23" t="s">
        <v>6309</v>
      </c>
      <c r="J414" s="23"/>
      <c r="K414" s="26" t="s">
        <v>2274</v>
      </c>
      <c r="L414" s="27"/>
      <c r="M414" s="23"/>
    </row>
    <row r="415" spans="1:13" ht="15.75" customHeight="1">
      <c r="A415" s="22">
        <v>2159541</v>
      </c>
      <c r="B415" s="23" t="s">
        <v>6310</v>
      </c>
      <c r="C415" s="23" t="s">
        <v>6311</v>
      </c>
      <c r="D415" s="23" t="s">
        <v>6312</v>
      </c>
      <c r="E415" s="23" t="s">
        <v>3041</v>
      </c>
      <c r="F415" s="23" t="s">
        <v>4891</v>
      </c>
      <c r="G415" s="22">
        <v>1990</v>
      </c>
      <c r="H415" s="24">
        <v>33025</v>
      </c>
      <c r="I415" s="23" t="s">
        <v>6313</v>
      </c>
      <c r="J415" s="23"/>
      <c r="K415" s="26" t="s">
        <v>3053</v>
      </c>
      <c r="L415" s="27"/>
      <c r="M415" s="27"/>
    </row>
    <row r="416" spans="1:13" ht="15.75" customHeight="1">
      <c r="A416" s="22">
        <v>10913395</v>
      </c>
      <c r="B416" s="23" t="s">
        <v>6314</v>
      </c>
      <c r="C416" s="23" t="s">
        <v>6315</v>
      </c>
      <c r="D416" s="23" t="s">
        <v>6316</v>
      </c>
      <c r="E416" s="23" t="s">
        <v>3732</v>
      </c>
      <c r="F416" s="23" t="s">
        <v>5080</v>
      </c>
      <c r="G416" s="22">
        <v>2000</v>
      </c>
      <c r="H416" s="24">
        <v>36736</v>
      </c>
      <c r="I416" s="23"/>
      <c r="J416" s="23"/>
      <c r="K416" s="26" t="s">
        <v>3733</v>
      </c>
      <c r="L416" s="27"/>
      <c r="M416" s="23"/>
    </row>
    <row r="417" spans="1:13" ht="15.75" customHeight="1">
      <c r="A417" s="22">
        <v>1668969</v>
      </c>
      <c r="B417" s="23" t="s">
        <v>6317</v>
      </c>
      <c r="C417" s="23" t="s">
        <v>6318</v>
      </c>
      <c r="D417" s="23" t="s">
        <v>6319</v>
      </c>
      <c r="E417" s="23" t="s">
        <v>1565</v>
      </c>
      <c r="F417" s="23" t="s">
        <v>6320</v>
      </c>
      <c r="G417" s="22">
        <v>1991</v>
      </c>
      <c r="H417" s="24">
        <v>33239</v>
      </c>
      <c r="I417" s="23"/>
      <c r="J417" s="23"/>
      <c r="K417" s="23"/>
      <c r="L417" s="23"/>
      <c r="M417" s="23"/>
    </row>
    <row r="418" spans="1:13" ht="15.75" customHeight="1">
      <c r="A418" s="22">
        <v>15815044</v>
      </c>
      <c r="B418" s="23" t="s">
        <v>6321</v>
      </c>
      <c r="C418" s="23" t="s">
        <v>6322</v>
      </c>
      <c r="D418" s="23" t="s">
        <v>6323</v>
      </c>
      <c r="E418" s="23" t="s">
        <v>1693</v>
      </c>
      <c r="F418" s="23" t="s">
        <v>5331</v>
      </c>
      <c r="G418" s="22">
        <v>2005</v>
      </c>
      <c r="H418" s="24">
        <v>38451</v>
      </c>
      <c r="I418" s="26" t="s">
        <v>6324</v>
      </c>
      <c r="J418" s="27"/>
      <c r="K418" s="26" t="s">
        <v>1694</v>
      </c>
      <c r="L418" s="27"/>
      <c r="M418" s="27"/>
    </row>
    <row r="419" spans="1:13" ht="15.75" customHeight="1">
      <c r="A419" s="22">
        <v>9705171</v>
      </c>
      <c r="B419" s="23" t="s">
        <v>6325</v>
      </c>
      <c r="C419" s="23" t="s">
        <v>6326</v>
      </c>
      <c r="D419" s="23" t="s">
        <v>6327</v>
      </c>
      <c r="E419" s="23" t="s">
        <v>979</v>
      </c>
      <c r="F419" s="23" t="s">
        <v>5267</v>
      </c>
      <c r="G419" s="22">
        <v>1998</v>
      </c>
      <c r="H419" s="24">
        <v>36022</v>
      </c>
      <c r="I419" s="23"/>
      <c r="J419" s="23"/>
      <c r="K419" s="26" t="s">
        <v>4483</v>
      </c>
      <c r="L419" s="27"/>
      <c r="M419" s="27"/>
    </row>
    <row r="420" spans="1:13" ht="15.75" customHeight="1">
      <c r="A420" s="22">
        <v>25971271</v>
      </c>
      <c r="B420" s="23" t="s">
        <v>6328</v>
      </c>
      <c r="C420" s="23" t="s">
        <v>6329</v>
      </c>
      <c r="D420" s="23" t="s">
        <v>6330</v>
      </c>
      <c r="E420" s="23" t="s">
        <v>3894</v>
      </c>
      <c r="F420" s="23" t="s">
        <v>5047</v>
      </c>
      <c r="G420" s="22">
        <v>2015</v>
      </c>
      <c r="H420" s="24">
        <v>42139</v>
      </c>
      <c r="I420" s="23"/>
      <c r="J420" s="23"/>
      <c r="K420" s="26" t="s">
        <v>3895</v>
      </c>
      <c r="L420" s="27"/>
      <c r="M420" s="23"/>
    </row>
    <row r="421" spans="1:13" ht="15.75" customHeight="1">
      <c r="A421" s="22">
        <v>14556272</v>
      </c>
      <c r="B421" s="23" t="s">
        <v>6331</v>
      </c>
      <c r="C421" s="23" t="s">
        <v>6332</v>
      </c>
      <c r="D421" s="23" t="s">
        <v>6333</v>
      </c>
      <c r="E421" s="23" t="s">
        <v>4082</v>
      </c>
      <c r="F421" s="23" t="s">
        <v>4923</v>
      </c>
      <c r="G421" s="22">
        <v>2003</v>
      </c>
      <c r="H421" s="24">
        <v>37908</v>
      </c>
      <c r="I421" s="23"/>
      <c r="J421" s="23"/>
      <c r="K421" s="26" t="s">
        <v>4083</v>
      </c>
      <c r="L421" s="27"/>
      <c r="M421" s="23"/>
    </row>
    <row r="422" spans="1:13" ht="15.75" customHeight="1">
      <c r="A422" s="22">
        <v>1851812</v>
      </c>
      <c r="B422" s="23" t="s">
        <v>6334</v>
      </c>
      <c r="C422" s="23" t="s">
        <v>6335</v>
      </c>
      <c r="D422" s="23" t="s">
        <v>6336</v>
      </c>
      <c r="E422" s="23" t="s">
        <v>1490</v>
      </c>
      <c r="F422" s="23" t="s">
        <v>4966</v>
      </c>
      <c r="G422" s="22">
        <v>1991</v>
      </c>
      <c r="H422" s="24">
        <v>33359</v>
      </c>
      <c r="I422" s="23"/>
      <c r="J422" s="23"/>
      <c r="K422" s="26" t="s">
        <v>1491</v>
      </c>
      <c r="L422" s="27"/>
      <c r="M422" s="27"/>
    </row>
    <row r="423" spans="1:13" ht="15.75" customHeight="1">
      <c r="A423" s="22">
        <v>10505318</v>
      </c>
      <c r="B423" s="23" t="s">
        <v>6337</v>
      </c>
      <c r="C423" s="23" t="s">
        <v>6338</v>
      </c>
      <c r="D423" s="23" t="s">
        <v>6339</v>
      </c>
      <c r="E423" s="23" t="s">
        <v>3197</v>
      </c>
      <c r="F423" s="23" t="s">
        <v>6340</v>
      </c>
      <c r="G423" s="22">
        <v>1999</v>
      </c>
      <c r="H423" s="24">
        <v>36436</v>
      </c>
      <c r="I423" s="23"/>
      <c r="J423" s="23"/>
      <c r="K423" s="26" t="s">
        <v>3198</v>
      </c>
      <c r="L423" s="27"/>
      <c r="M423" s="27"/>
    </row>
    <row r="424" spans="1:13" ht="15.75" customHeight="1">
      <c r="A424" s="22">
        <v>12767009</v>
      </c>
      <c r="B424" s="23" t="s">
        <v>6341</v>
      </c>
      <c r="C424" s="23" t="s">
        <v>6342</v>
      </c>
      <c r="D424" s="23" t="s">
        <v>6343</v>
      </c>
      <c r="E424" s="23" t="s">
        <v>2513</v>
      </c>
      <c r="F424" s="23" t="s">
        <v>4923</v>
      </c>
      <c r="G424" s="22">
        <v>2003</v>
      </c>
      <c r="H424" s="24">
        <v>37768</v>
      </c>
      <c r="I424" s="23"/>
      <c r="J424" s="23"/>
      <c r="K424" s="26" t="s">
        <v>2518</v>
      </c>
      <c r="L424" s="27"/>
      <c r="M424" s="23"/>
    </row>
    <row r="425" spans="1:13" ht="15.75" customHeight="1">
      <c r="A425" s="22">
        <v>19898212</v>
      </c>
      <c r="B425" s="23" t="s">
        <v>6344</v>
      </c>
      <c r="C425" s="23" t="s">
        <v>6345</v>
      </c>
      <c r="D425" s="23" t="s">
        <v>6346</v>
      </c>
      <c r="E425" s="23" t="s">
        <v>233</v>
      </c>
      <c r="F425" s="23" t="s">
        <v>5445</v>
      </c>
      <c r="G425" s="22">
        <v>2009</v>
      </c>
      <c r="H425" s="24">
        <v>40127</v>
      </c>
      <c r="I425" s="23"/>
      <c r="J425" s="23"/>
      <c r="K425" s="26" t="s">
        <v>2569</v>
      </c>
      <c r="L425" s="27"/>
      <c r="M425" s="27"/>
    </row>
    <row r="426" spans="1:13" ht="15.75" customHeight="1">
      <c r="A426" s="22">
        <v>1693942</v>
      </c>
      <c r="B426" s="23" t="s">
        <v>6347</v>
      </c>
      <c r="C426" s="23" t="s">
        <v>6348</v>
      </c>
      <c r="D426" s="23" t="s">
        <v>6349</v>
      </c>
      <c r="E426" s="23" t="s">
        <v>2700</v>
      </c>
      <c r="F426" s="23" t="s">
        <v>4992</v>
      </c>
      <c r="G426" s="22">
        <v>1990</v>
      </c>
      <c r="H426" s="24">
        <v>33055</v>
      </c>
      <c r="I426" s="23"/>
      <c r="J426" s="23"/>
      <c r="K426" s="26" t="s">
        <v>2701</v>
      </c>
      <c r="L426" s="27"/>
      <c r="M426" s="23"/>
    </row>
    <row r="427" spans="1:13" ht="15.75" customHeight="1">
      <c r="A427" s="22">
        <v>9746806</v>
      </c>
      <c r="B427" s="23" t="s">
        <v>6350</v>
      </c>
      <c r="C427" s="23" t="s">
        <v>6351</v>
      </c>
      <c r="D427" s="23" t="s">
        <v>6352</v>
      </c>
      <c r="E427" s="23" t="s">
        <v>195</v>
      </c>
      <c r="F427" s="23" t="s">
        <v>5343</v>
      </c>
      <c r="G427" s="22">
        <v>1998</v>
      </c>
      <c r="H427" s="24">
        <v>36063</v>
      </c>
      <c r="I427" s="23"/>
      <c r="J427" s="23"/>
      <c r="K427" s="23"/>
      <c r="L427" s="23"/>
      <c r="M427" s="23"/>
    </row>
    <row r="428" spans="1:13" ht="15.75" customHeight="1">
      <c r="A428" s="22">
        <v>12181449</v>
      </c>
      <c r="B428" s="23" t="s">
        <v>6353</v>
      </c>
      <c r="C428" s="23" t="s">
        <v>6354</v>
      </c>
      <c r="D428" s="23" t="s">
        <v>6355</v>
      </c>
      <c r="E428" s="23" t="s">
        <v>1788</v>
      </c>
      <c r="F428" s="23" t="s">
        <v>6356</v>
      </c>
      <c r="G428" s="22">
        <v>2002</v>
      </c>
      <c r="H428" s="24">
        <v>37484</v>
      </c>
      <c r="I428" s="23"/>
      <c r="J428" s="23"/>
      <c r="K428" s="26" t="s">
        <v>1793</v>
      </c>
      <c r="L428" s="27"/>
      <c r="M428" s="23"/>
    </row>
    <row r="429" spans="1:13" ht="15.75" customHeight="1">
      <c r="A429" s="22">
        <v>18952495</v>
      </c>
      <c r="B429" s="23" t="s">
        <v>6357</v>
      </c>
      <c r="C429" s="23" t="s">
        <v>6358</v>
      </c>
      <c r="D429" s="23" t="s">
        <v>6359</v>
      </c>
      <c r="E429" s="23" t="s">
        <v>2507</v>
      </c>
      <c r="F429" s="23" t="s">
        <v>4896</v>
      </c>
      <c r="G429" s="22">
        <v>2009</v>
      </c>
      <c r="H429" s="24">
        <v>39749</v>
      </c>
      <c r="I429" s="23"/>
      <c r="J429" s="23"/>
      <c r="K429" s="26" t="s">
        <v>2508</v>
      </c>
      <c r="L429" s="27"/>
      <c r="M429" s="27"/>
    </row>
    <row r="430" spans="1:13" ht="15.75" customHeight="1">
      <c r="A430" s="22">
        <v>17376932</v>
      </c>
      <c r="B430" s="23" t="s">
        <v>6360</v>
      </c>
      <c r="C430" s="23" t="s">
        <v>6361</v>
      </c>
      <c r="D430" s="23" t="s">
        <v>6362</v>
      </c>
      <c r="E430" s="23" t="s">
        <v>2561</v>
      </c>
      <c r="F430" s="23" t="s">
        <v>4891</v>
      </c>
      <c r="G430" s="22">
        <v>2007</v>
      </c>
      <c r="H430" s="24">
        <v>39164</v>
      </c>
      <c r="I430" s="26" t="s">
        <v>6363</v>
      </c>
      <c r="J430" s="27"/>
      <c r="K430" s="26" t="s">
        <v>2562</v>
      </c>
      <c r="L430" s="27"/>
      <c r="M430" s="23"/>
    </row>
    <row r="431" spans="1:13" ht="15.75" customHeight="1">
      <c r="A431" s="22">
        <v>28638124</v>
      </c>
      <c r="B431" s="23" t="s">
        <v>6364</v>
      </c>
      <c r="C431" s="23" t="s">
        <v>6365</v>
      </c>
      <c r="D431" s="23" t="s">
        <v>6366</v>
      </c>
      <c r="E431" s="23" t="s">
        <v>1487</v>
      </c>
      <c r="F431" s="23" t="s">
        <v>5043</v>
      </c>
      <c r="G431" s="22">
        <v>2017</v>
      </c>
      <c r="H431" s="24">
        <v>42909</v>
      </c>
      <c r="I431" s="26" t="s">
        <v>6367</v>
      </c>
      <c r="J431" s="27"/>
      <c r="K431" s="26" t="s">
        <v>1488</v>
      </c>
      <c r="L431" s="27"/>
      <c r="M431" s="27"/>
    </row>
    <row r="432" spans="1:13" ht="15.75" customHeight="1">
      <c r="A432" s="22">
        <v>8896242</v>
      </c>
      <c r="B432" s="23" t="s">
        <v>6368</v>
      </c>
      <c r="C432" s="23" t="s">
        <v>6369</v>
      </c>
      <c r="D432" s="23" t="s">
        <v>6370</v>
      </c>
      <c r="E432" s="23" t="s">
        <v>1570</v>
      </c>
      <c r="F432" s="23" t="s">
        <v>5122</v>
      </c>
      <c r="G432" s="22">
        <v>1996</v>
      </c>
      <c r="H432" s="24">
        <v>35400</v>
      </c>
      <c r="I432" s="23"/>
      <c r="J432" s="23"/>
      <c r="K432" s="26" t="s">
        <v>1571</v>
      </c>
      <c r="L432" s="27"/>
      <c r="M432" s="27"/>
    </row>
    <row r="433" spans="1:13" ht="15.75" customHeight="1">
      <c r="A433" s="22">
        <v>7606018</v>
      </c>
      <c r="B433" s="23" t="s">
        <v>6371</v>
      </c>
      <c r="C433" s="23" t="s">
        <v>6079</v>
      </c>
      <c r="D433" s="23" t="s">
        <v>6372</v>
      </c>
      <c r="E433" s="23" t="s">
        <v>513</v>
      </c>
      <c r="F433" s="23" t="s">
        <v>5343</v>
      </c>
      <c r="G433" s="22">
        <v>1995</v>
      </c>
      <c r="H433" s="24">
        <v>34895</v>
      </c>
      <c r="I433" s="23"/>
      <c r="J433" s="23"/>
      <c r="K433" s="23"/>
      <c r="L433" s="23"/>
      <c r="M433" s="23"/>
    </row>
    <row r="434" spans="1:13" ht="15.75" customHeight="1">
      <c r="A434" s="22">
        <v>2156005</v>
      </c>
      <c r="B434" s="23" t="s">
        <v>6373</v>
      </c>
      <c r="C434" s="23" t="s">
        <v>6374</v>
      </c>
      <c r="D434" s="23" t="s">
        <v>6375</v>
      </c>
      <c r="E434" s="23" t="s">
        <v>2305</v>
      </c>
      <c r="F434" s="23" t="s">
        <v>4923</v>
      </c>
      <c r="G434" s="22">
        <v>1990</v>
      </c>
      <c r="H434" s="24">
        <v>32905</v>
      </c>
      <c r="I434" s="23"/>
      <c r="J434" s="23"/>
      <c r="K434" s="26" t="s">
        <v>2306</v>
      </c>
      <c r="L434" s="27"/>
      <c r="M434" s="23"/>
    </row>
    <row r="435" spans="1:13" ht="15.75" customHeight="1">
      <c r="A435" s="22">
        <v>11389712</v>
      </c>
      <c r="B435" s="23" t="s">
        <v>6376</v>
      </c>
      <c r="C435" s="23" t="s">
        <v>6377</v>
      </c>
      <c r="D435" s="23" t="s">
        <v>6378</v>
      </c>
      <c r="E435" s="23" t="s">
        <v>2316</v>
      </c>
      <c r="F435" s="23" t="s">
        <v>5243</v>
      </c>
      <c r="G435" s="22">
        <v>2001</v>
      </c>
      <c r="H435" s="24">
        <v>37050</v>
      </c>
      <c r="I435" s="23"/>
      <c r="J435" s="23"/>
      <c r="K435" s="26" t="s">
        <v>2317</v>
      </c>
      <c r="L435" s="27"/>
      <c r="M435" s="27"/>
    </row>
    <row r="436" spans="1:13" ht="15.75" customHeight="1">
      <c r="A436" s="22">
        <v>9639435</v>
      </c>
      <c r="B436" s="23" t="s">
        <v>6379</v>
      </c>
      <c r="C436" s="23" t="s">
        <v>6380</v>
      </c>
      <c r="D436" s="23" t="s">
        <v>6381</v>
      </c>
      <c r="E436" s="23" t="s">
        <v>4706</v>
      </c>
      <c r="F436" s="23" t="s">
        <v>6382</v>
      </c>
      <c r="G436" s="22">
        <v>1998</v>
      </c>
      <c r="H436" s="24">
        <v>35971</v>
      </c>
      <c r="I436" s="23"/>
      <c r="J436" s="23"/>
      <c r="K436" s="26" t="s">
        <v>4707</v>
      </c>
      <c r="L436" s="27"/>
      <c r="M436" s="23"/>
    </row>
    <row r="437" spans="1:13" ht="15.75" customHeight="1">
      <c r="A437" s="22">
        <v>12966551</v>
      </c>
      <c r="B437" s="23" t="s">
        <v>6383</v>
      </c>
      <c r="C437" s="23" t="s">
        <v>6384</v>
      </c>
      <c r="D437" s="23" t="s">
        <v>6385</v>
      </c>
      <c r="E437" s="23" t="s">
        <v>3837</v>
      </c>
      <c r="F437" s="23" t="s">
        <v>4923</v>
      </c>
      <c r="G437" s="22">
        <v>2003</v>
      </c>
      <c r="H437" s="24">
        <v>37875</v>
      </c>
      <c r="I437" s="23"/>
      <c r="J437" s="23"/>
      <c r="K437" s="26" t="s">
        <v>3838</v>
      </c>
      <c r="L437" s="27"/>
      <c r="M437" s="23"/>
    </row>
    <row r="438" spans="1:13" ht="15.75" customHeight="1">
      <c r="A438" s="22">
        <v>1968216</v>
      </c>
      <c r="B438" s="23" t="s">
        <v>6386</v>
      </c>
      <c r="C438" s="23" t="s">
        <v>6387</v>
      </c>
      <c r="D438" s="23" t="s">
        <v>6388</v>
      </c>
      <c r="E438" s="23" t="s">
        <v>4491</v>
      </c>
      <c r="F438" s="23" t="s">
        <v>6147</v>
      </c>
      <c r="G438" s="22">
        <v>1990</v>
      </c>
      <c r="H438" s="24">
        <v>32928</v>
      </c>
      <c r="I438" s="23"/>
      <c r="J438" s="23"/>
      <c r="K438" s="26" t="s">
        <v>4492</v>
      </c>
      <c r="L438" s="27"/>
      <c r="M438" s="27"/>
    </row>
    <row r="439" spans="1:13" ht="15.75" customHeight="1">
      <c r="A439" s="22">
        <v>15164383</v>
      </c>
      <c r="B439" s="23" t="s">
        <v>6389</v>
      </c>
      <c r="C439" s="23" t="s">
        <v>6390</v>
      </c>
      <c r="D439" s="23" t="s">
        <v>6391</v>
      </c>
      <c r="E439" s="23" t="s">
        <v>1300</v>
      </c>
      <c r="F439" s="23" t="s">
        <v>5291</v>
      </c>
      <c r="G439" s="22">
        <v>2004</v>
      </c>
      <c r="H439" s="24">
        <v>38135</v>
      </c>
      <c r="I439" s="23"/>
      <c r="J439" s="23"/>
      <c r="K439" s="26" t="s">
        <v>1301</v>
      </c>
      <c r="L439" s="27"/>
      <c r="M439" s="23"/>
    </row>
    <row r="440" spans="1:13" ht="15.75" customHeight="1">
      <c r="A440" s="22">
        <v>18489054</v>
      </c>
      <c r="B440" s="23" t="s">
        <v>6392</v>
      </c>
      <c r="C440" s="23" t="s">
        <v>6393</v>
      </c>
      <c r="D440" s="23" t="s">
        <v>6394</v>
      </c>
      <c r="E440" s="23" t="s">
        <v>1905</v>
      </c>
      <c r="F440" s="23" t="s">
        <v>6395</v>
      </c>
      <c r="G440" s="22">
        <v>2008</v>
      </c>
      <c r="H440" s="24">
        <v>39613</v>
      </c>
      <c r="I440" s="23"/>
      <c r="J440" s="23"/>
      <c r="K440" s="26" t="s">
        <v>1910</v>
      </c>
      <c r="L440" s="27"/>
      <c r="M440" s="27"/>
    </row>
    <row r="441" spans="1:13" ht="15.75" customHeight="1">
      <c r="A441" s="22">
        <v>8198870</v>
      </c>
      <c r="B441" s="23" t="s">
        <v>6396</v>
      </c>
      <c r="C441" s="23" t="s">
        <v>6397</v>
      </c>
      <c r="D441" s="23" t="s">
        <v>6398</v>
      </c>
      <c r="E441" s="23" t="s">
        <v>3041</v>
      </c>
      <c r="F441" s="23" t="s">
        <v>5433</v>
      </c>
      <c r="G441" s="22">
        <v>1994</v>
      </c>
      <c r="H441" s="24">
        <v>34366</v>
      </c>
      <c r="I441" s="23"/>
      <c r="J441" s="23"/>
      <c r="K441" s="26" t="s">
        <v>3051</v>
      </c>
      <c r="L441" s="27"/>
      <c r="M441" s="23"/>
    </row>
    <row r="442" spans="1:13" ht="15.75" customHeight="1">
      <c r="A442" s="22">
        <v>24803376</v>
      </c>
      <c r="B442" s="23" t="s">
        <v>6399</v>
      </c>
      <c r="C442" s="23" t="s">
        <v>6400</v>
      </c>
      <c r="D442" s="23" t="s">
        <v>6401</v>
      </c>
      <c r="E442" s="23" t="s">
        <v>1961</v>
      </c>
      <c r="F442" s="23" t="s">
        <v>5080</v>
      </c>
      <c r="G442" s="22">
        <v>2014</v>
      </c>
      <c r="H442" s="24">
        <v>41767</v>
      </c>
      <c r="I442" s="23"/>
      <c r="J442" s="23"/>
      <c r="K442" s="26" t="s">
        <v>1962</v>
      </c>
      <c r="L442" s="27"/>
      <c r="M442" s="23"/>
    </row>
    <row r="443" spans="1:13" ht="15.75" customHeight="1">
      <c r="A443" s="22">
        <v>9060695</v>
      </c>
      <c r="B443" s="23" t="s">
        <v>6402</v>
      </c>
      <c r="C443" s="23" t="s">
        <v>6403</v>
      </c>
      <c r="D443" s="23" t="s">
        <v>6404</v>
      </c>
      <c r="E443" s="23" t="s">
        <v>4338</v>
      </c>
      <c r="F443" s="23" t="s">
        <v>4891</v>
      </c>
      <c r="G443" s="22">
        <v>1997</v>
      </c>
      <c r="H443" s="24">
        <v>35521</v>
      </c>
      <c r="I443" s="23" t="s">
        <v>6405</v>
      </c>
      <c r="J443" s="23"/>
      <c r="K443" s="26" t="s">
        <v>4339</v>
      </c>
      <c r="L443" s="27"/>
      <c r="M443" s="27"/>
    </row>
    <row r="444" spans="1:13" ht="15.75" customHeight="1">
      <c r="A444" s="22">
        <v>7907709</v>
      </c>
      <c r="B444" s="23" t="s">
        <v>6406</v>
      </c>
      <c r="C444" s="23" t="s">
        <v>6407</v>
      </c>
      <c r="D444" s="23" t="s">
        <v>6408</v>
      </c>
      <c r="E444" s="23" t="s">
        <v>2194</v>
      </c>
      <c r="F444" s="23" t="s">
        <v>6147</v>
      </c>
      <c r="G444" s="22">
        <v>1994</v>
      </c>
      <c r="H444" s="24">
        <v>34412</v>
      </c>
      <c r="I444" s="23"/>
      <c r="J444" s="23"/>
      <c r="K444" s="26" t="s">
        <v>2197</v>
      </c>
      <c r="L444" s="27"/>
      <c r="M444" s="27"/>
    </row>
    <row r="445" spans="1:13" ht="15.75" customHeight="1">
      <c r="A445" s="22">
        <v>16008754</v>
      </c>
      <c r="B445" s="23" t="s">
        <v>6409</v>
      </c>
      <c r="C445" s="23" t="s">
        <v>6410</v>
      </c>
      <c r="D445" s="23" t="s">
        <v>6411</v>
      </c>
      <c r="E445" s="23" t="s">
        <v>590</v>
      </c>
      <c r="F445" s="23" t="s">
        <v>4900</v>
      </c>
      <c r="G445" s="22">
        <v>2005</v>
      </c>
      <c r="H445" s="24">
        <v>38546</v>
      </c>
      <c r="I445" s="23"/>
      <c r="J445" s="23"/>
      <c r="K445" s="26" t="s">
        <v>591</v>
      </c>
      <c r="L445" s="27"/>
      <c r="M445" s="27"/>
    </row>
    <row r="446" spans="1:13" ht="15.75" customHeight="1">
      <c r="A446" s="22">
        <v>18550745</v>
      </c>
      <c r="B446" s="23" t="s">
        <v>6412</v>
      </c>
      <c r="C446" s="23" t="s">
        <v>6413</v>
      </c>
      <c r="D446" s="23" t="s">
        <v>6414</v>
      </c>
      <c r="E446" s="23" t="s">
        <v>2051</v>
      </c>
      <c r="F446" s="23" t="s">
        <v>5331</v>
      </c>
      <c r="G446" s="22">
        <v>2008</v>
      </c>
      <c r="H446" s="24">
        <v>39613</v>
      </c>
      <c r="I446" s="26" t="s">
        <v>6415</v>
      </c>
      <c r="J446" s="27"/>
      <c r="K446" s="26" t="s">
        <v>2054</v>
      </c>
      <c r="L446" s="27"/>
      <c r="M446" s="23"/>
    </row>
    <row r="447" spans="1:13" ht="15.75" customHeight="1">
      <c r="A447" s="22">
        <v>1311366</v>
      </c>
      <c r="B447" s="23" t="s">
        <v>6416</v>
      </c>
      <c r="C447" s="23" t="s">
        <v>6417</v>
      </c>
      <c r="D447" s="23" t="s">
        <v>6418</v>
      </c>
      <c r="E447" s="23" t="s">
        <v>3466</v>
      </c>
      <c r="F447" s="23" t="s">
        <v>4966</v>
      </c>
      <c r="G447" s="22">
        <v>1992</v>
      </c>
      <c r="H447" s="24">
        <v>33635</v>
      </c>
      <c r="I447" s="23"/>
      <c r="J447" s="23"/>
      <c r="K447" s="26" t="s">
        <v>3469</v>
      </c>
      <c r="L447" s="27"/>
      <c r="M447" s="27"/>
    </row>
    <row r="448" spans="1:13" ht="15.75" customHeight="1">
      <c r="A448" s="22">
        <v>7645258</v>
      </c>
      <c r="B448" s="23" t="s">
        <v>6419</v>
      </c>
      <c r="C448" s="23" t="s">
        <v>6420</v>
      </c>
      <c r="D448" s="23" t="s">
        <v>6421</v>
      </c>
      <c r="E448" s="23" t="s">
        <v>4003</v>
      </c>
      <c r="F448" s="23" t="s">
        <v>4950</v>
      </c>
      <c r="G448" s="22">
        <v>1995</v>
      </c>
      <c r="H448" s="24">
        <v>34931</v>
      </c>
      <c r="I448" s="23"/>
      <c r="J448" s="23"/>
      <c r="K448" s="26" t="s">
        <v>4004</v>
      </c>
      <c r="L448" s="27"/>
      <c r="M448" s="23"/>
    </row>
    <row r="449" spans="1:13" ht="15.75" customHeight="1">
      <c r="A449" s="22">
        <v>25744043</v>
      </c>
      <c r="B449" s="23" t="s">
        <v>6422</v>
      </c>
      <c r="C449" s="23" t="s">
        <v>6423</v>
      </c>
      <c r="D449" s="23" t="s">
        <v>6424</v>
      </c>
      <c r="E449" s="23" t="s">
        <v>2794</v>
      </c>
      <c r="F449" s="23" t="s">
        <v>5047</v>
      </c>
      <c r="G449" s="22">
        <v>2014</v>
      </c>
      <c r="H449" s="24">
        <v>42070</v>
      </c>
      <c r="I449" s="23"/>
      <c r="J449" s="23"/>
      <c r="K449" s="26" t="s">
        <v>2795</v>
      </c>
      <c r="L449" s="27"/>
      <c r="M449" s="27"/>
    </row>
    <row r="450" spans="1:13" ht="15.75" customHeight="1">
      <c r="A450" s="22">
        <v>7626174</v>
      </c>
      <c r="B450" s="23" t="s">
        <v>6425</v>
      </c>
      <c r="C450" s="23" t="s">
        <v>6426</v>
      </c>
      <c r="D450" s="23" t="s">
        <v>6427</v>
      </c>
      <c r="E450" s="23" t="s">
        <v>2422</v>
      </c>
      <c r="F450" s="23" t="s">
        <v>4900</v>
      </c>
      <c r="G450" s="22">
        <v>1995</v>
      </c>
      <c r="H450" s="24">
        <v>34700</v>
      </c>
      <c r="I450" s="23"/>
      <c r="J450" s="23"/>
      <c r="K450" s="26" t="s">
        <v>2423</v>
      </c>
      <c r="L450" s="27"/>
      <c r="M450" s="23"/>
    </row>
    <row r="451" spans="1:13" ht="15.75" customHeight="1">
      <c r="A451" s="22">
        <v>1695370</v>
      </c>
      <c r="B451" s="23" t="s">
        <v>6428</v>
      </c>
      <c r="C451" s="23" t="s">
        <v>6429</v>
      </c>
      <c r="D451" s="23" t="s">
        <v>6430</v>
      </c>
      <c r="E451" s="23" t="s">
        <v>1728</v>
      </c>
      <c r="F451" s="23" t="s">
        <v>6431</v>
      </c>
      <c r="G451" s="22">
        <v>1990</v>
      </c>
      <c r="H451" s="24">
        <v>32874</v>
      </c>
      <c r="I451" s="23"/>
      <c r="J451" s="23"/>
      <c r="K451" s="26" t="s">
        <v>1729</v>
      </c>
      <c r="L451" s="27"/>
      <c r="M451" s="27"/>
    </row>
    <row r="452" spans="1:13" ht="15.75" customHeight="1">
      <c r="A452" s="22">
        <v>17172120</v>
      </c>
      <c r="B452" s="23" t="s">
        <v>6432</v>
      </c>
      <c r="C452" s="23" t="s">
        <v>6149</v>
      </c>
      <c r="D452" s="23" t="s">
        <v>6433</v>
      </c>
      <c r="E452" s="23" t="s">
        <v>177</v>
      </c>
      <c r="F452" s="23" t="s">
        <v>5874</v>
      </c>
      <c r="G452" s="22">
        <v>2006</v>
      </c>
      <c r="H452" s="24">
        <v>39070</v>
      </c>
      <c r="I452" s="23"/>
      <c r="J452" s="23"/>
      <c r="K452" s="23"/>
      <c r="L452" s="23"/>
      <c r="M452" s="23"/>
    </row>
    <row r="453" spans="1:13" ht="15.75" customHeight="1">
      <c r="A453" s="22">
        <v>9603340</v>
      </c>
      <c r="B453" s="23" t="s">
        <v>6434</v>
      </c>
      <c r="C453" s="23" t="s">
        <v>6435</v>
      </c>
      <c r="D453" s="23" t="s">
        <v>6436</v>
      </c>
      <c r="E453" s="23" t="s">
        <v>4494</v>
      </c>
      <c r="F453" s="23" t="s">
        <v>4966</v>
      </c>
      <c r="G453" s="22">
        <v>1998</v>
      </c>
      <c r="H453" s="24">
        <v>35944</v>
      </c>
      <c r="I453" s="23"/>
      <c r="J453" s="23"/>
      <c r="K453" s="26" t="s">
        <v>4495</v>
      </c>
      <c r="L453" s="27"/>
      <c r="M453" s="27"/>
    </row>
    <row r="454" spans="1:13" ht="15.75" customHeight="1">
      <c r="A454" s="22">
        <v>16417932</v>
      </c>
      <c r="B454" s="23" t="s">
        <v>6437</v>
      </c>
      <c r="C454" s="23" t="s">
        <v>6438</v>
      </c>
      <c r="D454" s="23" t="s">
        <v>6439</v>
      </c>
      <c r="E454" s="23" t="s">
        <v>826</v>
      </c>
      <c r="F454" s="23" t="s">
        <v>5267</v>
      </c>
      <c r="G454" s="22">
        <v>2006</v>
      </c>
      <c r="H454" s="24">
        <v>38736</v>
      </c>
      <c r="I454" s="23"/>
      <c r="J454" s="23"/>
      <c r="K454" s="26" t="s">
        <v>829</v>
      </c>
      <c r="L454" s="27"/>
      <c r="M454" s="27"/>
    </row>
    <row r="455" spans="1:13" ht="15.75" customHeight="1">
      <c r="A455" s="22">
        <v>1322964</v>
      </c>
      <c r="B455" s="23" t="s">
        <v>6440</v>
      </c>
      <c r="C455" s="23" t="s">
        <v>6441</v>
      </c>
      <c r="D455" s="23" t="s">
        <v>6442</v>
      </c>
      <c r="E455" s="23" t="s">
        <v>1949</v>
      </c>
      <c r="F455" s="23" t="s">
        <v>4966</v>
      </c>
      <c r="G455" s="22">
        <v>1992</v>
      </c>
      <c r="H455" s="24">
        <v>33817</v>
      </c>
      <c r="I455" s="23"/>
      <c r="J455" s="23"/>
      <c r="K455" s="26" t="s">
        <v>1950</v>
      </c>
      <c r="L455" s="27"/>
      <c r="M455" s="27"/>
    </row>
    <row r="456" spans="1:13" ht="15.75" customHeight="1">
      <c r="A456" s="22">
        <v>2156215</v>
      </c>
      <c r="B456" s="23" t="s">
        <v>6443</v>
      </c>
      <c r="C456" s="23" t="s">
        <v>6444</v>
      </c>
      <c r="D456" s="23" t="s">
        <v>6445</v>
      </c>
      <c r="E456" s="23" t="s">
        <v>4676</v>
      </c>
      <c r="F456" s="23" t="s">
        <v>5982</v>
      </c>
      <c r="G456" s="22">
        <v>1990</v>
      </c>
      <c r="H456" s="24">
        <v>32905</v>
      </c>
      <c r="I456" s="23"/>
      <c r="J456" s="23"/>
      <c r="K456" s="26" t="s">
        <v>4677</v>
      </c>
      <c r="L456" s="27"/>
      <c r="M456" s="27"/>
    </row>
    <row r="457" spans="1:13" ht="15.75" customHeight="1">
      <c r="A457" s="22">
        <v>7638436</v>
      </c>
      <c r="B457" s="23" t="s">
        <v>6446</v>
      </c>
      <c r="C457" s="23" t="s">
        <v>6447</v>
      </c>
      <c r="D457" s="23" t="s">
        <v>6448</v>
      </c>
      <c r="E457" s="23" t="s">
        <v>1651</v>
      </c>
      <c r="F457" s="23" t="s">
        <v>6093</v>
      </c>
      <c r="G457" s="22">
        <v>1995</v>
      </c>
      <c r="H457" s="24">
        <v>34759</v>
      </c>
      <c r="I457" s="23"/>
      <c r="J457" s="23"/>
      <c r="K457" s="26" t="s">
        <v>1652</v>
      </c>
      <c r="L457" s="27"/>
      <c r="M457" s="27"/>
    </row>
    <row r="458" spans="1:13" ht="15.75" customHeight="1">
      <c r="A458" s="22">
        <v>8890036</v>
      </c>
      <c r="B458" s="23" t="s">
        <v>6449</v>
      </c>
      <c r="C458" s="23" t="s">
        <v>6450</v>
      </c>
      <c r="D458" s="23" t="s">
        <v>6451</v>
      </c>
      <c r="E458" s="23" t="s">
        <v>2136</v>
      </c>
      <c r="F458" s="23" t="s">
        <v>4923</v>
      </c>
      <c r="G458" s="22">
        <v>1996</v>
      </c>
      <c r="H458" s="24">
        <v>35309</v>
      </c>
      <c r="I458" s="23"/>
      <c r="J458" s="23"/>
      <c r="K458" s="26" t="s">
        <v>2137</v>
      </c>
      <c r="L458" s="27"/>
      <c r="M458" s="27"/>
    </row>
    <row r="459" spans="1:13" ht="15.75" customHeight="1">
      <c r="A459" s="22">
        <v>9645656</v>
      </c>
      <c r="B459" s="23" t="s">
        <v>6452</v>
      </c>
      <c r="C459" s="23" t="s">
        <v>6453</v>
      </c>
      <c r="D459" s="23" t="s">
        <v>6454</v>
      </c>
      <c r="E459" s="23" t="s">
        <v>2891</v>
      </c>
      <c r="F459" s="23" t="s">
        <v>6455</v>
      </c>
      <c r="G459" s="22">
        <v>1998</v>
      </c>
      <c r="H459" s="24">
        <v>35976</v>
      </c>
      <c r="I459" s="23"/>
      <c r="J459" s="23"/>
      <c r="K459" s="26" t="s">
        <v>2892</v>
      </c>
      <c r="L459" s="27"/>
      <c r="M459" s="27"/>
    </row>
    <row r="460" spans="1:13" ht="15.75" customHeight="1">
      <c r="A460" s="22">
        <v>2573513</v>
      </c>
      <c r="B460" s="23" t="s">
        <v>6456</v>
      </c>
      <c r="C460" s="23" t="s">
        <v>6457</v>
      </c>
      <c r="D460" s="23" t="s">
        <v>6458</v>
      </c>
      <c r="E460" s="23" t="s">
        <v>1975</v>
      </c>
      <c r="F460" s="23" t="s">
        <v>6459</v>
      </c>
      <c r="G460" s="22">
        <v>1989</v>
      </c>
      <c r="H460" s="24">
        <v>32782</v>
      </c>
      <c r="I460" s="23" t="s">
        <v>6460</v>
      </c>
      <c r="J460" s="23"/>
      <c r="K460" s="26" t="s">
        <v>1976</v>
      </c>
      <c r="L460" s="27"/>
      <c r="M460" s="27"/>
    </row>
    <row r="461" spans="1:13" ht="15.75" customHeight="1">
      <c r="A461" s="22">
        <v>7738149</v>
      </c>
      <c r="B461" s="23" t="s">
        <v>6461</v>
      </c>
      <c r="C461" s="23" t="s">
        <v>6462</v>
      </c>
      <c r="D461" s="23" t="s">
        <v>6463</v>
      </c>
      <c r="E461" s="23" t="s">
        <v>2061</v>
      </c>
      <c r="F461" s="23" t="s">
        <v>5267</v>
      </c>
      <c r="G461" s="22">
        <v>1995</v>
      </c>
      <c r="H461" s="24">
        <v>34731</v>
      </c>
      <c r="I461" s="23"/>
      <c r="J461" s="23"/>
      <c r="K461" s="26" t="s">
        <v>2066</v>
      </c>
      <c r="L461" s="27"/>
      <c r="M461" s="27"/>
    </row>
    <row r="462" spans="1:13" ht="15.75" customHeight="1">
      <c r="A462" s="22">
        <v>11753554</v>
      </c>
      <c r="B462" s="23" t="s">
        <v>6464</v>
      </c>
      <c r="C462" s="23" t="s">
        <v>6465</v>
      </c>
      <c r="D462" s="23" t="s">
        <v>6466</v>
      </c>
      <c r="E462" s="23" t="s">
        <v>1205</v>
      </c>
      <c r="F462" s="23" t="s">
        <v>4863</v>
      </c>
      <c r="G462" s="22">
        <v>2001</v>
      </c>
      <c r="H462" s="24">
        <v>37251</v>
      </c>
      <c r="I462" s="23"/>
      <c r="J462" s="23"/>
      <c r="K462" s="26" t="s">
        <v>1206</v>
      </c>
      <c r="L462" s="27"/>
      <c r="M462" s="23"/>
    </row>
    <row r="463" spans="1:13" ht="15.75" customHeight="1">
      <c r="A463" s="22">
        <v>11990701</v>
      </c>
      <c r="B463" s="23" t="s">
        <v>6467</v>
      </c>
      <c r="C463" s="23" t="s">
        <v>6468</v>
      </c>
      <c r="D463" s="23" t="s">
        <v>6469</v>
      </c>
      <c r="E463" s="23" t="s">
        <v>3011</v>
      </c>
      <c r="F463" s="23" t="s">
        <v>5757</v>
      </c>
      <c r="G463" s="22">
        <v>2002</v>
      </c>
      <c r="H463" s="24">
        <v>37383</v>
      </c>
      <c r="I463" s="23"/>
      <c r="J463" s="23"/>
      <c r="K463" s="26" t="s">
        <v>3012</v>
      </c>
      <c r="L463" s="27"/>
      <c r="M463" s="27"/>
    </row>
    <row r="464" spans="1:13" ht="15.75" customHeight="1">
      <c r="A464" s="22">
        <v>12580952</v>
      </c>
      <c r="B464" s="23" t="s">
        <v>6470</v>
      </c>
      <c r="C464" s="23" t="s">
        <v>6471</v>
      </c>
      <c r="D464" s="23" t="s">
        <v>6472</v>
      </c>
      <c r="E464" s="23" t="s">
        <v>1664</v>
      </c>
      <c r="F464" s="23" t="s">
        <v>5211</v>
      </c>
      <c r="G464" s="22">
        <v>2003</v>
      </c>
      <c r="H464" s="24">
        <v>37665</v>
      </c>
      <c r="I464" s="23"/>
      <c r="J464" s="23"/>
      <c r="K464" s="26" t="s">
        <v>1673</v>
      </c>
      <c r="L464" s="27"/>
      <c r="M464" s="27"/>
    </row>
    <row r="465" spans="1:13" ht="15.75" customHeight="1">
      <c r="A465" s="22">
        <v>2161036</v>
      </c>
      <c r="B465" s="23" t="s">
        <v>6473</v>
      </c>
      <c r="C465" s="23" t="s">
        <v>6474</v>
      </c>
      <c r="D465" s="23" t="s">
        <v>6475</v>
      </c>
      <c r="E465" s="23" t="s">
        <v>2700</v>
      </c>
      <c r="F465" s="23" t="s">
        <v>4992</v>
      </c>
      <c r="G465" s="22">
        <v>1990</v>
      </c>
      <c r="H465" s="24">
        <v>33025</v>
      </c>
      <c r="I465" s="23"/>
      <c r="J465" s="23"/>
      <c r="K465" s="26" t="s">
        <v>2705</v>
      </c>
      <c r="L465" s="27"/>
      <c r="M465" s="27"/>
    </row>
    <row r="466" spans="1:13" ht="15.75" customHeight="1">
      <c r="A466" s="22">
        <v>1849169</v>
      </c>
      <c r="B466" s="23" t="s">
        <v>6476</v>
      </c>
      <c r="C466" s="23" t="s">
        <v>6477</v>
      </c>
      <c r="D466" s="23" t="s">
        <v>6478</v>
      </c>
      <c r="E466" s="23" t="s">
        <v>2700</v>
      </c>
      <c r="F466" s="23" t="s">
        <v>4992</v>
      </c>
      <c r="G466" s="22">
        <v>1991</v>
      </c>
      <c r="H466" s="24">
        <v>33329</v>
      </c>
      <c r="I466" s="23"/>
      <c r="J466" s="23"/>
      <c r="K466" s="26" t="s">
        <v>2703</v>
      </c>
      <c r="L466" s="27"/>
      <c r="M466" s="23"/>
    </row>
    <row r="467" spans="1:13" ht="15.75" customHeight="1">
      <c r="A467" s="22">
        <v>17254798</v>
      </c>
      <c r="B467" s="23" t="s">
        <v>6479</v>
      </c>
      <c r="C467" s="23" t="s">
        <v>6480</v>
      </c>
      <c r="D467" s="23" t="s">
        <v>6481</v>
      </c>
      <c r="E467" s="23" t="s">
        <v>2016</v>
      </c>
      <c r="F467" s="23" t="s">
        <v>6482</v>
      </c>
      <c r="G467" s="22">
        <v>2007</v>
      </c>
      <c r="H467" s="24">
        <v>39109</v>
      </c>
      <c r="I467" s="23"/>
      <c r="J467" s="23"/>
      <c r="K467" s="26" t="s">
        <v>2017</v>
      </c>
      <c r="L467" s="27"/>
      <c r="M467" s="27"/>
    </row>
    <row r="468" spans="1:13" ht="15.75" customHeight="1">
      <c r="A468" s="22">
        <v>1654446</v>
      </c>
      <c r="B468" s="23" t="s">
        <v>6483</v>
      </c>
      <c r="C468" s="23" t="s">
        <v>6484</v>
      </c>
      <c r="D468" s="23" t="s">
        <v>6485</v>
      </c>
      <c r="E468" s="23" t="s">
        <v>3139</v>
      </c>
      <c r="F468" s="23" t="s">
        <v>4891</v>
      </c>
      <c r="G468" s="22">
        <v>1991</v>
      </c>
      <c r="H468" s="24">
        <v>33512</v>
      </c>
      <c r="I468" s="23" t="s">
        <v>6486</v>
      </c>
      <c r="J468" s="23"/>
      <c r="K468" s="26" t="s">
        <v>3140</v>
      </c>
      <c r="L468" s="27"/>
      <c r="M468" s="27"/>
    </row>
    <row r="469" spans="1:13" ht="15.75" customHeight="1">
      <c r="A469" s="22">
        <v>18762768</v>
      </c>
      <c r="B469" s="23" t="s">
        <v>6487</v>
      </c>
      <c r="C469" s="23" t="s">
        <v>6488</v>
      </c>
      <c r="D469" s="23" t="s">
        <v>6489</v>
      </c>
      <c r="E469" s="23" t="s">
        <v>780</v>
      </c>
      <c r="F469" s="23" t="s">
        <v>4863</v>
      </c>
      <c r="G469" s="22">
        <v>2009</v>
      </c>
      <c r="H469" s="24">
        <v>39694</v>
      </c>
      <c r="I469" s="23"/>
      <c r="J469" s="23"/>
      <c r="K469" s="26" t="s">
        <v>3362</v>
      </c>
      <c r="L469" s="27"/>
      <c r="M469" s="23"/>
    </row>
    <row r="470" spans="1:13" ht="15.75" customHeight="1">
      <c r="A470" s="22">
        <v>17913577</v>
      </c>
      <c r="B470" s="23" t="s">
        <v>6490</v>
      </c>
      <c r="C470" s="23" t="s">
        <v>6491</v>
      </c>
      <c r="D470" s="23" t="s">
        <v>6492</v>
      </c>
      <c r="E470" s="23" t="s">
        <v>2397</v>
      </c>
      <c r="F470" s="23" t="s">
        <v>4896</v>
      </c>
      <c r="G470" s="22">
        <v>2007</v>
      </c>
      <c r="H470" s="24">
        <v>39360</v>
      </c>
      <c r="I470" s="23"/>
      <c r="J470" s="23"/>
      <c r="K470" s="26" t="s">
        <v>2398</v>
      </c>
      <c r="L470" s="27"/>
      <c r="M470" s="27"/>
    </row>
    <row r="471" spans="1:13" ht="15.75" customHeight="1">
      <c r="A471" s="22">
        <v>15619896</v>
      </c>
      <c r="B471" s="23" t="s">
        <v>6493</v>
      </c>
      <c r="C471" s="23" t="s">
        <v>6494</v>
      </c>
      <c r="D471" s="23" t="s">
        <v>6495</v>
      </c>
      <c r="E471" s="23" t="s">
        <v>2228</v>
      </c>
      <c r="F471" s="23" t="s">
        <v>6496</v>
      </c>
      <c r="G471" s="22">
        <v>1997</v>
      </c>
      <c r="H471" s="24">
        <v>35490</v>
      </c>
      <c r="I471" s="23"/>
      <c r="J471" s="23"/>
      <c r="K471" s="23"/>
      <c r="L471" s="23"/>
      <c r="M471" s="23"/>
    </row>
    <row r="472" spans="1:13" ht="15.75" customHeight="1">
      <c r="A472" s="22">
        <v>16615518</v>
      </c>
      <c r="B472" s="23" t="s">
        <v>6497</v>
      </c>
      <c r="C472" s="23" t="s">
        <v>6498</v>
      </c>
      <c r="D472" s="23" t="s">
        <v>6499</v>
      </c>
      <c r="E472" s="23" t="s">
        <v>4264</v>
      </c>
      <c r="F472" s="23" t="s">
        <v>5031</v>
      </c>
      <c r="G472" s="22">
        <v>2006</v>
      </c>
      <c r="H472" s="24">
        <v>38825</v>
      </c>
      <c r="I472" s="23"/>
      <c r="J472" s="23"/>
      <c r="K472" s="23"/>
      <c r="L472" s="23"/>
      <c r="M472" s="23"/>
    </row>
    <row r="473" spans="1:13" ht="15.75" customHeight="1">
      <c r="A473" s="22">
        <v>12551983</v>
      </c>
      <c r="B473" s="23" t="s">
        <v>6500</v>
      </c>
      <c r="C473" s="23" t="s">
        <v>6501</v>
      </c>
      <c r="D473" s="23" t="s">
        <v>6502</v>
      </c>
      <c r="E473" s="23" t="s">
        <v>757</v>
      </c>
      <c r="F473" s="23" t="s">
        <v>4891</v>
      </c>
      <c r="G473" s="22">
        <v>2003</v>
      </c>
      <c r="H473" s="24">
        <v>37650</v>
      </c>
      <c r="I473" s="23" t="s">
        <v>6503</v>
      </c>
      <c r="J473" s="23"/>
      <c r="K473" s="26" t="s">
        <v>3278</v>
      </c>
      <c r="L473" s="27"/>
      <c r="M473" s="27"/>
    </row>
    <row r="474" spans="1:13" ht="15.75" customHeight="1">
      <c r="A474" s="22">
        <v>16615527</v>
      </c>
      <c r="B474" s="23" t="s">
        <v>6504</v>
      </c>
      <c r="C474" s="23" t="s">
        <v>6505</v>
      </c>
      <c r="D474" s="23" t="s">
        <v>6506</v>
      </c>
      <c r="E474" s="23" t="s">
        <v>2758</v>
      </c>
      <c r="F474" s="23" t="s">
        <v>5031</v>
      </c>
      <c r="G474" s="22">
        <v>2006</v>
      </c>
      <c r="H474" s="24">
        <v>38825</v>
      </c>
      <c r="I474" s="23"/>
      <c r="J474" s="23"/>
      <c r="K474" s="23"/>
      <c r="L474" s="23"/>
      <c r="M474" s="23"/>
    </row>
    <row r="475" spans="1:13" ht="15.75" customHeight="1">
      <c r="A475" s="22">
        <v>8601789</v>
      </c>
      <c r="B475" s="23" t="s">
        <v>6507</v>
      </c>
      <c r="C475" s="23" t="s">
        <v>6508</v>
      </c>
      <c r="D475" s="23" t="s">
        <v>6509</v>
      </c>
      <c r="E475" s="23" t="s">
        <v>2061</v>
      </c>
      <c r="F475" s="23" t="s">
        <v>4966</v>
      </c>
      <c r="G475" s="22">
        <v>1996</v>
      </c>
      <c r="H475" s="24">
        <v>35125</v>
      </c>
      <c r="I475" s="23"/>
      <c r="J475" s="23"/>
      <c r="K475" s="26" t="s">
        <v>2064</v>
      </c>
      <c r="L475" s="27"/>
      <c r="M475" s="27"/>
    </row>
    <row r="476" spans="1:13" ht="15.75" customHeight="1">
      <c r="A476" s="22">
        <v>2158189</v>
      </c>
      <c r="B476" s="23" t="s">
        <v>6510</v>
      </c>
      <c r="C476" s="23" t="s">
        <v>6511</v>
      </c>
      <c r="D476" s="23" t="s">
        <v>6512</v>
      </c>
      <c r="E476" s="23" t="s">
        <v>3779</v>
      </c>
      <c r="F476" s="23" t="s">
        <v>4950</v>
      </c>
      <c r="G476" s="22">
        <v>1990</v>
      </c>
      <c r="H476" s="24">
        <v>32964</v>
      </c>
      <c r="I476" s="23"/>
      <c r="J476" s="23"/>
      <c r="K476" s="26" t="s">
        <v>3782</v>
      </c>
      <c r="L476" s="27"/>
      <c r="M476" s="27"/>
    </row>
    <row r="477" spans="1:13" ht="15.75" customHeight="1">
      <c r="A477" s="22">
        <v>25571778</v>
      </c>
      <c r="B477" s="23" t="s">
        <v>6513</v>
      </c>
      <c r="C477" s="23" t="s">
        <v>6514</v>
      </c>
      <c r="D477" s="23" t="s">
        <v>6515</v>
      </c>
      <c r="E477" s="23" t="s">
        <v>4508</v>
      </c>
      <c r="F477" s="23" t="s">
        <v>4974</v>
      </c>
      <c r="G477" s="22">
        <v>2015</v>
      </c>
      <c r="H477" s="24">
        <v>42014</v>
      </c>
      <c r="I477" s="23"/>
      <c r="J477" s="23"/>
      <c r="K477" s="26" t="s">
        <v>4509</v>
      </c>
      <c r="L477" s="27"/>
      <c r="M477" s="23"/>
    </row>
    <row r="478" spans="1:13" ht="15.75" customHeight="1">
      <c r="A478" s="22">
        <v>12491213</v>
      </c>
      <c r="B478" s="23" t="s">
        <v>6516</v>
      </c>
      <c r="C478" s="23" t="s">
        <v>6517</v>
      </c>
      <c r="D478" s="23" t="s">
        <v>6518</v>
      </c>
      <c r="E478" s="23" t="s">
        <v>1172</v>
      </c>
      <c r="F478" s="23" t="s">
        <v>5080</v>
      </c>
      <c r="G478" s="22">
        <v>2003</v>
      </c>
      <c r="H478" s="24">
        <v>37610</v>
      </c>
      <c r="I478" s="23"/>
      <c r="J478" s="23"/>
      <c r="K478" s="26" t="s">
        <v>1173</v>
      </c>
      <c r="L478" s="27"/>
      <c r="M478" s="23"/>
    </row>
    <row r="479" spans="1:13" ht="15.75" customHeight="1">
      <c r="A479" s="22">
        <v>1963027</v>
      </c>
      <c r="B479" s="23" t="s">
        <v>6519</v>
      </c>
      <c r="C479" s="23" t="s">
        <v>6520</v>
      </c>
      <c r="D479" s="23" t="s">
        <v>6521</v>
      </c>
      <c r="E479" s="23" t="s">
        <v>2094</v>
      </c>
      <c r="F479" s="23" t="s">
        <v>6522</v>
      </c>
      <c r="G479" s="22">
        <v>1990</v>
      </c>
      <c r="H479" s="24">
        <v>32874</v>
      </c>
      <c r="I479" s="23"/>
      <c r="J479" s="23"/>
      <c r="K479" s="26" t="s">
        <v>2096</v>
      </c>
      <c r="L479" s="27"/>
      <c r="M479" s="27"/>
    </row>
    <row r="480" spans="1:13" ht="15.75" customHeight="1">
      <c r="A480" s="22">
        <v>29898877</v>
      </c>
      <c r="B480" s="23" t="s">
        <v>6523</v>
      </c>
      <c r="C480" s="23" t="s">
        <v>6524</v>
      </c>
      <c r="D480" s="23" t="s">
        <v>6525</v>
      </c>
      <c r="E480" s="23" t="s">
        <v>3627</v>
      </c>
      <c r="F480" s="23" t="s">
        <v>4833</v>
      </c>
      <c r="G480" s="22">
        <v>2018</v>
      </c>
      <c r="H480" s="24">
        <v>43266</v>
      </c>
      <c r="I480" s="26" t="s">
        <v>6526</v>
      </c>
      <c r="J480" s="27"/>
      <c r="K480" s="26" t="s">
        <v>3628</v>
      </c>
      <c r="L480" s="27"/>
      <c r="M480" s="27"/>
    </row>
    <row r="481" spans="1:13" ht="15.75" customHeight="1">
      <c r="A481" s="22">
        <v>16030042</v>
      </c>
      <c r="B481" s="23" t="s">
        <v>6527</v>
      </c>
      <c r="C481" s="23" t="s">
        <v>6528</v>
      </c>
      <c r="D481" s="23" t="s">
        <v>6529</v>
      </c>
      <c r="E481" s="23" t="s">
        <v>1832</v>
      </c>
      <c r="F481" s="23" t="s">
        <v>6530</v>
      </c>
      <c r="G481" s="22">
        <v>2005</v>
      </c>
      <c r="H481" s="24">
        <v>38554</v>
      </c>
      <c r="I481" s="23"/>
      <c r="J481" s="23"/>
      <c r="K481" s="26" t="s">
        <v>1833</v>
      </c>
      <c r="L481" s="27"/>
      <c r="M481" s="23"/>
    </row>
    <row r="482" spans="1:13" ht="15.75" customHeight="1">
      <c r="A482" s="22">
        <v>9603179</v>
      </c>
      <c r="B482" s="23" t="s">
        <v>6531</v>
      </c>
      <c r="C482" s="23" t="s">
        <v>6532</v>
      </c>
      <c r="D482" s="23" t="s">
        <v>6533</v>
      </c>
      <c r="E482" s="23" t="s">
        <v>195</v>
      </c>
      <c r="F482" s="23" t="s">
        <v>5445</v>
      </c>
      <c r="G482" s="22">
        <v>1998</v>
      </c>
      <c r="H482" s="24">
        <v>35944</v>
      </c>
      <c r="I482" s="23"/>
      <c r="J482" s="23"/>
      <c r="K482" s="26" t="s">
        <v>4641</v>
      </c>
      <c r="L482" s="27"/>
      <c r="M482" s="27"/>
    </row>
    <row r="483" spans="1:13" ht="15.75" customHeight="1">
      <c r="A483" s="22">
        <v>2574324</v>
      </c>
      <c r="B483" s="23" t="s">
        <v>6534</v>
      </c>
      <c r="C483" s="23" t="s">
        <v>6535</v>
      </c>
      <c r="D483" s="23" t="s">
        <v>6536</v>
      </c>
      <c r="E483" s="23" t="s">
        <v>465</v>
      </c>
      <c r="F483" s="23" t="s">
        <v>6147</v>
      </c>
      <c r="G483" s="22">
        <v>1989</v>
      </c>
      <c r="H483" s="24">
        <v>32851</v>
      </c>
      <c r="I483" s="23"/>
      <c r="J483" s="23"/>
      <c r="K483" s="26" t="s">
        <v>1219</v>
      </c>
      <c r="L483" s="27"/>
      <c r="M483" s="27"/>
    </row>
    <row r="484" spans="1:13" ht="15.75" customHeight="1">
      <c r="A484" s="22">
        <v>12525662</v>
      </c>
      <c r="B484" s="23" t="s">
        <v>6537</v>
      </c>
      <c r="C484" s="23" t="s">
        <v>6538</v>
      </c>
      <c r="D484" s="23" t="s">
        <v>6539</v>
      </c>
      <c r="E484" s="23" t="s">
        <v>2758</v>
      </c>
      <c r="F484" s="23" t="s">
        <v>4891</v>
      </c>
      <c r="G484" s="22">
        <v>2003</v>
      </c>
      <c r="H484" s="24">
        <v>37636</v>
      </c>
      <c r="I484" s="23" t="s">
        <v>6540</v>
      </c>
      <c r="J484" s="23"/>
      <c r="K484" s="26" t="s">
        <v>2761</v>
      </c>
      <c r="L484" s="27"/>
      <c r="M484" s="27"/>
    </row>
    <row r="485" spans="1:13" ht="15.75" customHeight="1">
      <c r="A485" s="22">
        <v>11497221</v>
      </c>
      <c r="B485" s="23" t="s">
        <v>6541</v>
      </c>
      <c r="C485" s="23" t="s">
        <v>6542</v>
      </c>
      <c r="D485" s="23" t="s">
        <v>6543</v>
      </c>
      <c r="E485" s="23" t="s">
        <v>4426</v>
      </c>
      <c r="F485" s="23" t="s">
        <v>5163</v>
      </c>
      <c r="G485" s="22">
        <v>2001</v>
      </c>
      <c r="H485" s="24">
        <v>37114</v>
      </c>
      <c r="I485" s="23"/>
      <c r="J485" s="23"/>
      <c r="K485" s="26" t="s">
        <v>4427</v>
      </c>
      <c r="L485" s="27"/>
      <c r="M485" s="27"/>
    </row>
    <row r="486" spans="1:13" ht="15.75" customHeight="1">
      <c r="A486" s="22">
        <v>11317413</v>
      </c>
      <c r="B486" s="23" t="s">
        <v>6544</v>
      </c>
      <c r="C486" s="23" t="s">
        <v>6079</v>
      </c>
      <c r="D486" s="23" t="s">
        <v>6545</v>
      </c>
      <c r="E486" s="23" t="s">
        <v>513</v>
      </c>
      <c r="F486" s="23" t="s">
        <v>6546</v>
      </c>
      <c r="G486" s="22">
        <v>2000</v>
      </c>
      <c r="H486" s="24">
        <v>37006</v>
      </c>
      <c r="I486" s="23"/>
      <c r="J486" s="23"/>
      <c r="K486" s="23"/>
      <c r="L486" s="23"/>
      <c r="M486" s="23"/>
    </row>
    <row r="487" spans="1:13" ht="15.75" customHeight="1">
      <c r="A487" s="22">
        <v>1846645</v>
      </c>
      <c r="B487" s="23" t="s">
        <v>6547</v>
      </c>
      <c r="C487" s="23" t="s">
        <v>6548</v>
      </c>
      <c r="D487" s="23" t="s">
        <v>6549</v>
      </c>
      <c r="E487" s="23" t="s">
        <v>3995</v>
      </c>
      <c r="F487" s="23" t="s">
        <v>4966</v>
      </c>
      <c r="G487" s="22">
        <v>1991</v>
      </c>
      <c r="H487" s="24">
        <v>33239</v>
      </c>
      <c r="I487" s="23"/>
      <c r="J487" s="23"/>
      <c r="K487" s="26" t="s">
        <v>3996</v>
      </c>
      <c r="L487" s="27"/>
      <c r="M487" s="27"/>
    </row>
    <row r="488" spans="1:13" ht="15.75" customHeight="1">
      <c r="A488" s="22">
        <v>11454544</v>
      </c>
      <c r="B488" s="23" t="s">
        <v>6550</v>
      </c>
      <c r="C488" s="23" t="s">
        <v>6551</v>
      </c>
      <c r="D488" s="23" t="s">
        <v>6552</v>
      </c>
      <c r="E488" s="23" t="s">
        <v>593</v>
      </c>
      <c r="F488" s="23" t="s">
        <v>6289</v>
      </c>
      <c r="G488" s="22">
        <v>2001</v>
      </c>
      <c r="H488" s="24">
        <v>37089</v>
      </c>
      <c r="I488" s="23"/>
      <c r="J488" s="23"/>
      <c r="K488" s="23"/>
      <c r="L488" s="23"/>
      <c r="M488" s="23"/>
    </row>
    <row r="489" spans="1:13" ht="15.75" customHeight="1">
      <c r="A489" s="22">
        <v>9752764</v>
      </c>
      <c r="B489" s="23" t="s">
        <v>6553</v>
      </c>
      <c r="C489" s="23" t="s">
        <v>5086</v>
      </c>
      <c r="D489" s="23" t="s">
        <v>6554</v>
      </c>
      <c r="E489" s="23" t="s">
        <v>4527</v>
      </c>
      <c r="F489" s="23" t="s">
        <v>5072</v>
      </c>
      <c r="G489" s="22">
        <v>1998</v>
      </c>
      <c r="H489" s="24">
        <v>36068</v>
      </c>
      <c r="I489" s="23"/>
      <c r="J489" s="23"/>
      <c r="K489" s="26" t="s">
        <v>4529</v>
      </c>
      <c r="L489" s="27"/>
      <c r="M489" s="23"/>
    </row>
    <row r="490" spans="1:13" ht="15.75" customHeight="1">
      <c r="A490" s="22">
        <v>26596368</v>
      </c>
      <c r="B490" s="23" t="s">
        <v>6555</v>
      </c>
      <c r="C490" s="23" t="s">
        <v>6556</v>
      </c>
      <c r="D490" s="23" t="s">
        <v>6557</v>
      </c>
      <c r="E490" s="23" t="s">
        <v>1208</v>
      </c>
      <c r="F490" s="23" t="s">
        <v>6558</v>
      </c>
      <c r="G490" s="22">
        <v>2016</v>
      </c>
      <c r="H490" s="24">
        <v>42333</v>
      </c>
      <c r="I490" s="23"/>
      <c r="J490" s="23"/>
      <c r="K490" s="26" t="s">
        <v>1209</v>
      </c>
      <c r="L490" s="27"/>
      <c r="M490" s="27"/>
    </row>
    <row r="491" spans="1:13" ht="15.75" customHeight="1">
      <c r="A491" s="22">
        <v>16960791</v>
      </c>
      <c r="B491" s="23" t="s">
        <v>6559</v>
      </c>
      <c r="C491" s="23" t="s">
        <v>6560</v>
      </c>
      <c r="D491" s="23" t="s">
        <v>6561</v>
      </c>
      <c r="E491" s="23" t="s">
        <v>501</v>
      </c>
      <c r="F491" s="23" t="s">
        <v>4992</v>
      </c>
      <c r="G491" s="22">
        <v>2006</v>
      </c>
      <c r="H491" s="24">
        <v>38969</v>
      </c>
      <c r="I491" s="23"/>
      <c r="J491" s="23"/>
      <c r="K491" s="26" t="s">
        <v>1401</v>
      </c>
      <c r="L491" s="27"/>
      <c r="M491" s="23"/>
    </row>
    <row r="492" spans="1:13" ht="15.75" customHeight="1">
      <c r="A492" s="22">
        <v>20053335</v>
      </c>
      <c r="B492" s="23" t="s">
        <v>6562</v>
      </c>
      <c r="C492" s="23" t="s">
        <v>6563</v>
      </c>
      <c r="D492" s="23" t="s">
        <v>6564</v>
      </c>
      <c r="E492" s="23" t="s">
        <v>554</v>
      </c>
      <c r="F492" s="23" t="s">
        <v>5076</v>
      </c>
      <c r="G492" s="22">
        <v>2010</v>
      </c>
      <c r="H492" s="24">
        <v>40186</v>
      </c>
      <c r="I492" s="23"/>
      <c r="J492" s="23"/>
      <c r="K492" s="26" t="s">
        <v>1812</v>
      </c>
      <c r="L492" s="27"/>
      <c r="M492" s="27"/>
    </row>
    <row r="493" spans="1:13" ht="15.75" customHeight="1">
      <c r="A493" s="22">
        <v>7893985</v>
      </c>
      <c r="B493" s="23" t="s">
        <v>6565</v>
      </c>
      <c r="C493" s="23" t="s">
        <v>6566</v>
      </c>
      <c r="D493" s="23" t="s">
        <v>6567</v>
      </c>
      <c r="E493" s="23" t="s">
        <v>1063</v>
      </c>
      <c r="F493" s="23" t="s">
        <v>4954</v>
      </c>
      <c r="G493" s="22">
        <v>1994</v>
      </c>
      <c r="H493" s="24">
        <v>34516</v>
      </c>
      <c r="I493" s="23"/>
      <c r="J493" s="23"/>
      <c r="K493" s="23"/>
      <c r="L493" s="23"/>
      <c r="M493" s="23"/>
    </row>
    <row r="494" spans="1:13" ht="15.75" customHeight="1">
      <c r="A494" s="22">
        <v>10678076</v>
      </c>
      <c r="B494" s="23" t="s">
        <v>6568</v>
      </c>
      <c r="C494" s="23" t="s">
        <v>6569</v>
      </c>
      <c r="D494" s="23" t="s">
        <v>6570</v>
      </c>
      <c r="E494" s="23" t="s">
        <v>4564</v>
      </c>
      <c r="F494" s="23" t="s">
        <v>6571</v>
      </c>
      <c r="G494" s="22">
        <v>1997</v>
      </c>
      <c r="H494" s="24">
        <v>35643</v>
      </c>
      <c r="I494" s="23"/>
      <c r="J494" s="23"/>
      <c r="K494" s="23"/>
      <c r="L494" s="23"/>
      <c r="M494" s="23"/>
    </row>
    <row r="495" spans="1:13" ht="15.75" customHeight="1">
      <c r="A495" s="22">
        <v>7939295</v>
      </c>
      <c r="B495" s="23" t="s">
        <v>6572</v>
      </c>
      <c r="C495" s="23" t="s">
        <v>6573</v>
      </c>
      <c r="D495" s="23" t="s">
        <v>6574</v>
      </c>
      <c r="E495" s="23" t="s">
        <v>1118</v>
      </c>
      <c r="F495" s="23" t="s">
        <v>6575</v>
      </c>
      <c r="G495" s="22">
        <v>1994</v>
      </c>
      <c r="H495" s="24">
        <v>34425</v>
      </c>
      <c r="I495" s="23"/>
      <c r="J495" s="23"/>
      <c r="K495" s="23"/>
      <c r="L495" s="23"/>
      <c r="M495" s="23"/>
    </row>
    <row r="496" spans="1:13" ht="15.75" customHeight="1">
      <c r="A496" s="22">
        <v>8397264</v>
      </c>
      <c r="B496" s="23" t="s">
        <v>6576</v>
      </c>
      <c r="C496" s="23" t="s">
        <v>6577</v>
      </c>
      <c r="D496" s="23" t="s">
        <v>6578</v>
      </c>
      <c r="E496" s="23" t="s">
        <v>3036</v>
      </c>
      <c r="F496" s="23" t="s">
        <v>4992</v>
      </c>
      <c r="G496" s="22">
        <v>1993</v>
      </c>
      <c r="H496" s="24">
        <v>34243</v>
      </c>
      <c r="I496" s="23"/>
      <c r="J496" s="23"/>
      <c r="K496" s="26" t="s">
        <v>3039</v>
      </c>
      <c r="L496" s="27"/>
      <c r="M496" s="27"/>
    </row>
    <row r="497" spans="1:13" ht="15.75" customHeight="1">
      <c r="A497" s="22">
        <v>19920771</v>
      </c>
      <c r="B497" s="23" t="s">
        <v>6579</v>
      </c>
      <c r="C497" s="23" t="s">
        <v>6580</v>
      </c>
      <c r="D497" s="23" t="s">
        <v>6581</v>
      </c>
      <c r="E497" s="23" t="s">
        <v>1253</v>
      </c>
      <c r="F497" s="23" t="s">
        <v>5445</v>
      </c>
      <c r="G497" s="22">
        <v>2009</v>
      </c>
      <c r="H497" s="24">
        <v>40136</v>
      </c>
      <c r="I497" s="23"/>
      <c r="J497" s="23"/>
      <c r="K497" s="26" t="s">
        <v>1254</v>
      </c>
      <c r="L497" s="27"/>
      <c r="M497" s="27"/>
    </row>
    <row r="498" spans="1:13" ht="15.75" customHeight="1">
      <c r="A498" s="22">
        <v>2173796</v>
      </c>
      <c r="B498" s="23" t="s">
        <v>6582</v>
      </c>
      <c r="C498" s="23" t="s">
        <v>6583</v>
      </c>
      <c r="D498" s="23" t="s">
        <v>6584</v>
      </c>
      <c r="E498" s="23" t="s">
        <v>3779</v>
      </c>
      <c r="F498" s="23" t="s">
        <v>4891</v>
      </c>
      <c r="G498" s="22">
        <v>1990</v>
      </c>
      <c r="H498" s="24">
        <v>33208</v>
      </c>
      <c r="I498" s="23" t="s">
        <v>6585</v>
      </c>
      <c r="J498" s="23"/>
      <c r="K498" s="26" t="s">
        <v>3780</v>
      </c>
      <c r="L498" s="27"/>
      <c r="M498" s="27"/>
    </row>
    <row r="499" spans="1:13" ht="15.75" customHeight="1">
      <c r="A499" s="22">
        <v>17704794</v>
      </c>
      <c r="B499" s="23" t="s">
        <v>6586</v>
      </c>
      <c r="C499" s="23" t="s">
        <v>6587</v>
      </c>
      <c r="D499" s="23" t="s">
        <v>6588</v>
      </c>
      <c r="E499" s="23" t="s">
        <v>2437</v>
      </c>
      <c r="F499" s="23" t="s">
        <v>4863</v>
      </c>
      <c r="G499" s="22">
        <v>2007</v>
      </c>
      <c r="H499" s="24">
        <v>39315</v>
      </c>
      <c r="I499" s="23"/>
      <c r="J499" s="23"/>
      <c r="K499" s="26" t="s">
        <v>2438</v>
      </c>
      <c r="L499" s="27"/>
      <c r="M499" s="23"/>
    </row>
    <row r="500" spans="1:13" ht="15.75" customHeight="1">
      <c r="A500" s="22">
        <v>8232500</v>
      </c>
      <c r="B500" s="23" t="s">
        <v>6589</v>
      </c>
      <c r="C500" s="23" t="s">
        <v>6590</v>
      </c>
      <c r="D500" s="23" t="s">
        <v>6591</v>
      </c>
      <c r="E500" s="23" t="s">
        <v>3923</v>
      </c>
      <c r="F500" s="23" t="s">
        <v>5377</v>
      </c>
      <c r="G500" s="22">
        <v>1993</v>
      </c>
      <c r="H500" s="24">
        <v>34312</v>
      </c>
      <c r="I500" s="23"/>
      <c r="J500" s="23"/>
      <c r="K500" s="23"/>
      <c r="L500" s="23"/>
      <c r="M500" s="23"/>
    </row>
    <row r="501" spans="1:13" ht="15.75" customHeight="1">
      <c r="A501" s="22">
        <v>11505524</v>
      </c>
      <c r="B501" s="23" t="s">
        <v>6592</v>
      </c>
      <c r="C501" s="23" t="s">
        <v>6593</v>
      </c>
      <c r="D501" s="23" t="s">
        <v>6594</v>
      </c>
      <c r="E501" s="23" t="s">
        <v>3450</v>
      </c>
      <c r="F501" s="23" t="s">
        <v>5047</v>
      </c>
      <c r="G501" s="22">
        <v>2001</v>
      </c>
      <c r="H501" s="24">
        <v>37120</v>
      </c>
      <c r="I501" s="23"/>
      <c r="J501" s="23"/>
      <c r="K501" s="23"/>
      <c r="L501" s="23"/>
      <c r="M501" s="23"/>
    </row>
    <row r="502" spans="1:13" ht="15.75" customHeight="1">
      <c r="A502" s="22">
        <v>7742449</v>
      </c>
      <c r="B502" s="23" t="s">
        <v>6595</v>
      </c>
      <c r="C502" s="23" t="s">
        <v>6596</v>
      </c>
      <c r="D502" s="23" t="s">
        <v>6597</v>
      </c>
      <c r="E502" s="23" t="s">
        <v>2724</v>
      </c>
      <c r="F502" s="23" t="s">
        <v>5080</v>
      </c>
      <c r="G502" s="22">
        <v>1995</v>
      </c>
      <c r="H502" s="24">
        <v>34731</v>
      </c>
      <c r="I502" s="23"/>
      <c r="J502" s="23"/>
      <c r="K502" s="26" t="s">
        <v>2731</v>
      </c>
      <c r="L502" s="27"/>
      <c r="M502" s="23"/>
    </row>
    <row r="503" spans="1:13" ht="15.75" customHeight="1">
      <c r="A503" s="22">
        <v>9811708</v>
      </c>
      <c r="B503" s="23" t="s">
        <v>6598</v>
      </c>
      <c r="C503" s="23" t="s">
        <v>6599</v>
      </c>
      <c r="D503" s="23" t="s">
        <v>6600</v>
      </c>
      <c r="E503" s="23" t="s">
        <v>1508</v>
      </c>
      <c r="F503" s="23" t="s">
        <v>4891</v>
      </c>
      <c r="G503" s="22">
        <v>1998</v>
      </c>
      <c r="H503" s="24">
        <v>36112</v>
      </c>
      <c r="I503" s="23" t="s">
        <v>6601</v>
      </c>
      <c r="J503" s="23"/>
      <c r="K503" s="26" t="s">
        <v>1509</v>
      </c>
      <c r="L503" s="27"/>
      <c r="M503" s="27"/>
    </row>
    <row r="504" spans="1:13" ht="15.75" customHeight="1">
      <c r="A504" s="22">
        <v>1353104</v>
      </c>
      <c r="B504" s="23" t="s">
        <v>6602</v>
      </c>
      <c r="C504" s="23" t="s">
        <v>6603</v>
      </c>
      <c r="D504" s="23" t="s">
        <v>6604</v>
      </c>
      <c r="E504" s="23" t="s">
        <v>1502</v>
      </c>
      <c r="F504" s="23" t="s">
        <v>4992</v>
      </c>
      <c r="G504" s="22">
        <v>1992</v>
      </c>
      <c r="H504" s="24">
        <v>33817</v>
      </c>
      <c r="I504" s="23"/>
      <c r="J504" s="23"/>
      <c r="K504" s="26" t="s">
        <v>1503</v>
      </c>
      <c r="L504" s="27"/>
      <c r="M504" s="23"/>
    </row>
    <row r="505" spans="1:13" ht="15.75" customHeight="1">
      <c r="A505" s="22">
        <v>19100443</v>
      </c>
      <c r="B505" s="23" t="s">
        <v>6605</v>
      </c>
      <c r="C505" s="23" t="s">
        <v>6606</v>
      </c>
      <c r="D505" s="23" t="s">
        <v>6607</v>
      </c>
      <c r="E505" s="23" t="s">
        <v>3481</v>
      </c>
      <c r="F505" s="23" t="s">
        <v>5696</v>
      </c>
      <c r="G505" s="22">
        <v>2008</v>
      </c>
      <c r="H505" s="24">
        <v>39805</v>
      </c>
      <c r="I505" s="23"/>
      <c r="J505" s="23"/>
      <c r="K505" s="26" t="s">
        <v>3482</v>
      </c>
      <c r="L505" s="27"/>
      <c r="M505" s="27"/>
    </row>
    <row r="506" spans="1:13" ht="15.75" customHeight="1">
      <c r="A506" s="22">
        <v>10233397</v>
      </c>
      <c r="B506" s="23" t="s">
        <v>6608</v>
      </c>
      <c r="C506" s="23" t="s">
        <v>6609</v>
      </c>
      <c r="D506" s="23" t="s">
        <v>6610</v>
      </c>
      <c r="E506" s="23" t="s">
        <v>254</v>
      </c>
      <c r="F506" s="23" t="s">
        <v>5211</v>
      </c>
      <c r="G506" s="22">
        <v>1999</v>
      </c>
      <c r="H506" s="24">
        <v>36288</v>
      </c>
      <c r="I506" s="23"/>
      <c r="J506" s="23"/>
      <c r="K506" s="23"/>
      <c r="L506" s="23"/>
      <c r="M506" s="23"/>
    </row>
    <row r="507" spans="1:13" ht="15.75" customHeight="1">
      <c r="A507" s="22">
        <v>1332051</v>
      </c>
      <c r="B507" s="23" t="s">
        <v>6611</v>
      </c>
      <c r="C507" s="23" t="s">
        <v>6612</v>
      </c>
      <c r="D507" s="23" t="s">
        <v>6613</v>
      </c>
      <c r="E507" s="23" t="s">
        <v>1314</v>
      </c>
      <c r="F507" s="23" t="s">
        <v>5783</v>
      </c>
      <c r="G507" s="22">
        <v>1992</v>
      </c>
      <c r="H507" s="24">
        <v>33919</v>
      </c>
      <c r="I507" s="23" t="s">
        <v>6614</v>
      </c>
      <c r="J507" s="23"/>
      <c r="K507" s="26" t="s">
        <v>1315</v>
      </c>
      <c r="L507" s="27"/>
      <c r="M507" s="27"/>
    </row>
    <row r="508" spans="1:13" ht="15.75" customHeight="1">
      <c r="A508" s="22">
        <v>24099308</v>
      </c>
      <c r="B508" s="23" t="s">
        <v>6615</v>
      </c>
      <c r="C508" s="23" t="s">
        <v>6616</v>
      </c>
      <c r="D508" s="23" t="s">
        <v>6617</v>
      </c>
      <c r="E508" s="23" t="s">
        <v>2265</v>
      </c>
      <c r="F508" s="23" t="s">
        <v>6618</v>
      </c>
      <c r="G508" s="22">
        <v>2013</v>
      </c>
      <c r="H508" s="24">
        <v>41556</v>
      </c>
      <c r="I508" s="23"/>
      <c r="J508" s="23"/>
      <c r="K508" s="26" t="s">
        <v>2266</v>
      </c>
      <c r="L508" s="27"/>
      <c r="M508" s="27"/>
    </row>
    <row r="509" spans="1:13" ht="15.75" customHeight="1">
      <c r="A509" s="22">
        <v>1846942</v>
      </c>
      <c r="B509" s="23" t="s">
        <v>6619</v>
      </c>
      <c r="C509" s="23" t="s">
        <v>6620</v>
      </c>
      <c r="D509" s="23" t="s">
        <v>6621</v>
      </c>
      <c r="E509" s="23" t="s">
        <v>465</v>
      </c>
      <c r="F509" s="23" t="s">
        <v>5377</v>
      </c>
      <c r="G509" s="22">
        <v>1991</v>
      </c>
      <c r="H509" s="24">
        <v>33297</v>
      </c>
      <c r="I509" s="23"/>
      <c r="J509" s="23"/>
      <c r="K509" s="26" t="s">
        <v>466</v>
      </c>
      <c r="L509" s="27"/>
      <c r="M509" s="27"/>
    </row>
    <row r="510" spans="1:13" ht="15.75" customHeight="1">
      <c r="A510" s="22">
        <v>30773083</v>
      </c>
      <c r="B510" s="23" t="s">
        <v>6622</v>
      </c>
      <c r="C510" s="23" t="s">
        <v>6623</v>
      </c>
      <c r="D510" s="23" t="s">
        <v>6624</v>
      </c>
      <c r="E510" s="23" t="s">
        <v>887</v>
      </c>
      <c r="F510" s="23" t="s">
        <v>5099</v>
      </c>
      <c r="G510" s="22">
        <v>2019</v>
      </c>
      <c r="H510" s="24">
        <v>43515</v>
      </c>
      <c r="I510" s="23"/>
      <c r="J510" s="23"/>
      <c r="K510" s="26" t="s">
        <v>888</v>
      </c>
      <c r="L510" s="27"/>
      <c r="M510" s="27"/>
    </row>
    <row r="511" spans="1:13" ht="15.75" customHeight="1">
      <c r="A511" s="22">
        <v>18424026</v>
      </c>
      <c r="B511" s="23" t="s">
        <v>6625</v>
      </c>
      <c r="C511" s="23" t="s">
        <v>6626</v>
      </c>
      <c r="D511" s="23" t="s">
        <v>6627</v>
      </c>
      <c r="E511" s="23" t="s">
        <v>1167</v>
      </c>
      <c r="F511" s="23" t="s">
        <v>6628</v>
      </c>
      <c r="G511" s="22">
        <v>2008</v>
      </c>
      <c r="H511" s="24">
        <v>39560</v>
      </c>
      <c r="I511" s="23"/>
      <c r="J511" s="23"/>
      <c r="K511" s="26" t="s">
        <v>1168</v>
      </c>
      <c r="L511" s="27"/>
      <c r="M511" s="27"/>
    </row>
    <row r="512" spans="1:13" ht="15.75" customHeight="1">
      <c r="A512" s="22">
        <v>19496184</v>
      </c>
      <c r="B512" s="23" t="s">
        <v>6629</v>
      </c>
      <c r="C512" s="23" t="s">
        <v>6630</v>
      </c>
      <c r="D512" s="23" t="s">
        <v>6631</v>
      </c>
      <c r="E512" s="23" t="s">
        <v>1057</v>
      </c>
      <c r="F512" s="23" t="s">
        <v>6632</v>
      </c>
      <c r="G512" s="22">
        <v>2009</v>
      </c>
      <c r="H512" s="24">
        <v>39969</v>
      </c>
      <c r="I512" s="26" t="s">
        <v>6633</v>
      </c>
      <c r="J512" s="27"/>
      <c r="K512" s="26" t="s">
        <v>1058</v>
      </c>
      <c r="L512" s="27"/>
      <c r="M512" s="23"/>
    </row>
    <row r="513" spans="1:13" ht="15.75" customHeight="1">
      <c r="A513" s="22">
        <v>8151767</v>
      </c>
      <c r="B513" s="23" t="s">
        <v>6634</v>
      </c>
      <c r="C513" s="23" t="s">
        <v>6635</v>
      </c>
      <c r="D513" s="23" t="s">
        <v>6636</v>
      </c>
      <c r="E513" s="23" t="s">
        <v>1115</v>
      </c>
      <c r="F513" s="23" t="s">
        <v>4891</v>
      </c>
      <c r="G513" s="22">
        <v>1994</v>
      </c>
      <c r="H513" s="24">
        <v>34455</v>
      </c>
      <c r="I513" s="23" t="s">
        <v>6637</v>
      </c>
      <c r="J513" s="23"/>
      <c r="K513" s="26" t="s">
        <v>1116</v>
      </c>
      <c r="L513" s="27"/>
      <c r="M513" s="27"/>
    </row>
    <row r="514" spans="1:13" ht="15.75" customHeight="1">
      <c r="A514" s="22">
        <v>28782564</v>
      </c>
      <c r="B514" s="23" t="s">
        <v>6638</v>
      </c>
      <c r="C514" s="23" t="s">
        <v>5615</v>
      </c>
      <c r="D514" s="23" t="s">
        <v>6639</v>
      </c>
      <c r="E514" s="23" t="s">
        <v>1905</v>
      </c>
      <c r="F514" s="23" t="s">
        <v>5051</v>
      </c>
      <c r="G514" s="22">
        <v>2018</v>
      </c>
      <c r="H514" s="24">
        <v>42955</v>
      </c>
      <c r="I514" s="23"/>
      <c r="J514" s="23"/>
      <c r="K514" s="26" t="s">
        <v>1906</v>
      </c>
      <c r="L514" s="27"/>
      <c r="M514" s="27"/>
    </row>
    <row r="515" spans="1:13" ht="15.75" customHeight="1">
      <c r="A515" s="22">
        <v>30102463</v>
      </c>
      <c r="B515" s="23" t="s">
        <v>6640</v>
      </c>
      <c r="C515" s="23" t="s">
        <v>6641</v>
      </c>
      <c r="D515" s="23" t="s">
        <v>6642</v>
      </c>
      <c r="E515" s="23" t="s">
        <v>151</v>
      </c>
      <c r="F515" s="23" t="s">
        <v>5726</v>
      </c>
      <c r="G515" s="22">
        <v>2019</v>
      </c>
      <c r="H515" s="24">
        <v>43326</v>
      </c>
      <c r="I515" s="23"/>
      <c r="J515" s="23"/>
      <c r="K515" s="26" t="s">
        <v>3424</v>
      </c>
      <c r="L515" s="27"/>
      <c r="M515" s="23"/>
    </row>
    <row r="516" spans="1:13" ht="15.75" customHeight="1">
      <c r="A516" s="22">
        <v>26809130</v>
      </c>
      <c r="B516" s="23" t="s">
        <v>6643</v>
      </c>
      <c r="C516" s="23" t="s">
        <v>6644</v>
      </c>
      <c r="D516" s="23" t="s">
        <v>6645</v>
      </c>
      <c r="E516" s="23" t="s">
        <v>567</v>
      </c>
      <c r="F516" s="23" t="s">
        <v>4896</v>
      </c>
      <c r="G516" s="22">
        <v>2016</v>
      </c>
      <c r="H516" s="24">
        <v>42395</v>
      </c>
      <c r="I516" s="23"/>
      <c r="J516" s="23"/>
      <c r="K516" s="26" t="s">
        <v>570</v>
      </c>
      <c r="L516" s="27"/>
      <c r="M516" s="27"/>
    </row>
    <row r="517" spans="1:13" ht="15.75" customHeight="1">
      <c r="A517" s="22">
        <v>20487413</v>
      </c>
      <c r="B517" s="23" t="s">
        <v>6646</v>
      </c>
      <c r="C517" s="23" t="s">
        <v>6647</v>
      </c>
      <c r="D517" s="23" t="s">
        <v>6648</v>
      </c>
      <c r="E517" s="23" t="s">
        <v>973</v>
      </c>
      <c r="F517" s="23" t="s">
        <v>4974</v>
      </c>
      <c r="G517" s="22">
        <v>2010</v>
      </c>
      <c r="H517" s="24">
        <v>40320</v>
      </c>
      <c r="I517" s="23"/>
      <c r="J517" s="23"/>
      <c r="K517" s="26" t="s">
        <v>4469</v>
      </c>
      <c r="L517" s="27"/>
      <c r="M517" s="27"/>
    </row>
    <row r="518" spans="1:13" ht="15.75" customHeight="1">
      <c r="A518" s="22">
        <v>35802798</v>
      </c>
      <c r="B518" s="23" t="s">
        <v>6649</v>
      </c>
      <c r="C518" s="23" t="s">
        <v>6650</v>
      </c>
      <c r="D518" s="23" t="s">
        <v>6651</v>
      </c>
      <c r="E518" s="23" t="s">
        <v>1499</v>
      </c>
      <c r="F518" s="23" t="s">
        <v>5291</v>
      </c>
      <c r="G518" s="22">
        <v>2022</v>
      </c>
      <c r="H518" s="24">
        <v>44750</v>
      </c>
      <c r="I518" s="26" t="s">
        <v>6652</v>
      </c>
      <c r="J518" s="27"/>
      <c r="K518" s="26" t="s">
        <v>1500</v>
      </c>
      <c r="L518" s="27"/>
      <c r="M518" s="23"/>
    </row>
    <row r="519" spans="1:13" ht="15.75" customHeight="1">
      <c r="A519" s="22">
        <v>7893974</v>
      </c>
      <c r="B519" s="23" t="s">
        <v>6653</v>
      </c>
      <c r="C519" s="23" t="s">
        <v>6654</v>
      </c>
      <c r="D519" s="23" t="s">
        <v>6655</v>
      </c>
      <c r="E519" s="23" t="s">
        <v>2800</v>
      </c>
      <c r="F519" s="23" t="s">
        <v>4954</v>
      </c>
      <c r="G519" s="22">
        <v>1994</v>
      </c>
      <c r="H519" s="24">
        <v>34516</v>
      </c>
      <c r="I519" s="23"/>
      <c r="J519" s="23"/>
      <c r="K519" s="23"/>
      <c r="L519" s="23"/>
      <c r="M519" s="23"/>
    </row>
    <row r="520" spans="1:13" ht="15.75" customHeight="1">
      <c r="A520" s="22">
        <v>16956672</v>
      </c>
      <c r="B520" s="23" t="s">
        <v>6656</v>
      </c>
      <c r="C520" s="23" t="s">
        <v>6657</v>
      </c>
      <c r="D520" s="23" t="s">
        <v>6658</v>
      </c>
      <c r="E520" s="23" t="s">
        <v>866</v>
      </c>
      <c r="F520" s="23" t="s">
        <v>5267</v>
      </c>
      <c r="G520" s="22">
        <v>2006</v>
      </c>
      <c r="H520" s="24">
        <v>38968</v>
      </c>
      <c r="I520" s="23"/>
      <c r="J520" s="23"/>
      <c r="K520" s="26" t="s">
        <v>867</v>
      </c>
      <c r="L520" s="27"/>
      <c r="M520" s="27"/>
    </row>
    <row r="521" spans="1:13" ht="15.75" customHeight="1">
      <c r="A521" s="22">
        <v>9847336</v>
      </c>
      <c r="B521" s="23" t="s">
        <v>6659</v>
      </c>
      <c r="C521" s="23" t="s">
        <v>6660</v>
      </c>
      <c r="D521" s="23" t="s">
        <v>6661</v>
      </c>
      <c r="E521" s="23" t="s">
        <v>3182</v>
      </c>
      <c r="F521" s="23" t="s">
        <v>4891</v>
      </c>
      <c r="G521" s="22">
        <v>1999</v>
      </c>
      <c r="H521" s="24">
        <v>36145</v>
      </c>
      <c r="I521" s="23" t="s">
        <v>6662</v>
      </c>
      <c r="J521" s="23"/>
      <c r="K521" s="26" t="s">
        <v>3183</v>
      </c>
      <c r="L521" s="27"/>
      <c r="M521" s="27"/>
    </row>
    <row r="522" spans="1:13" ht="15.75" customHeight="1">
      <c r="A522" s="22">
        <v>18762769</v>
      </c>
      <c r="B522" s="23" t="s">
        <v>6663</v>
      </c>
      <c r="C522" s="23" t="s">
        <v>6664</v>
      </c>
      <c r="D522" s="23" t="s">
        <v>6665</v>
      </c>
      <c r="E522" s="23" t="s">
        <v>3316</v>
      </c>
      <c r="F522" s="23" t="s">
        <v>4863</v>
      </c>
      <c r="G522" s="22">
        <v>2009</v>
      </c>
      <c r="H522" s="24">
        <v>39694</v>
      </c>
      <c r="I522" s="23"/>
      <c r="J522" s="23"/>
      <c r="K522" s="26" t="s">
        <v>3317</v>
      </c>
      <c r="L522" s="27"/>
      <c r="M522" s="23"/>
    </row>
    <row r="523" spans="1:13" ht="15.75" customHeight="1">
      <c r="A523" s="22">
        <v>12858410</v>
      </c>
      <c r="B523" s="23" t="s">
        <v>6666</v>
      </c>
      <c r="C523" s="23" t="s">
        <v>6667</v>
      </c>
      <c r="D523" s="23" t="s">
        <v>6668</v>
      </c>
      <c r="E523" s="23" t="s">
        <v>195</v>
      </c>
      <c r="F523" s="23" t="s">
        <v>4923</v>
      </c>
      <c r="G523" s="22">
        <v>2003</v>
      </c>
      <c r="H523" s="24">
        <v>37817</v>
      </c>
      <c r="I523" s="23"/>
      <c r="J523" s="23"/>
      <c r="K523" s="26" t="s">
        <v>4645</v>
      </c>
      <c r="L523" s="27"/>
      <c r="M523" s="23"/>
    </row>
    <row r="524" spans="1:13" ht="15.75" customHeight="1">
      <c r="A524" s="22">
        <v>10554818</v>
      </c>
      <c r="B524" s="23" t="s">
        <v>6669</v>
      </c>
      <c r="C524" s="23" t="s">
        <v>6670</v>
      </c>
      <c r="D524" s="23" t="s">
        <v>6671</v>
      </c>
      <c r="E524" s="23" t="s">
        <v>2580</v>
      </c>
      <c r="F524" s="23" t="s">
        <v>5211</v>
      </c>
      <c r="G524" s="22">
        <v>1999</v>
      </c>
      <c r="H524" s="24">
        <v>36475</v>
      </c>
      <c r="I524" s="23"/>
      <c r="J524" s="23"/>
      <c r="K524" s="26" t="s">
        <v>2581</v>
      </c>
      <c r="L524" s="27"/>
      <c r="M524" s="27"/>
    </row>
    <row r="525" spans="1:13" ht="15.75" customHeight="1">
      <c r="A525" s="22">
        <v>7745310</v>
      </c>
      <c r="B525" s="23" t="s">
        <v>6672</v>
      </c>
      <c r="C525" s="23" t="s">
        <v>6673</v>
      </c>
      <c r="D525" s="23" t="s">
        <v>6674</v>
      </c>
      <c r="E525" s="23" t="s">
        <v>3842</v>
      </c>
      <c r="F525" s="23" t="s">
        <v>6675</v>
      </c>
      <c r="G525" s="22">
        <v>1995</v>
      </c>
      <c r="H525" s="24">
        <v>34759</v>
      </c>
      <c r="I525" s="23"/>
      <c r="J525" s="23"/>
      <c r="K525" s="26" t="s">
        <v>3843</v>
      </c>
      <c r="L525" s="27"/>
      <c r="M525" s="27"/>
    </row>
    <row r="526" spans="1:13" ht="15.75" customHeight="1">
      <c r="A526" s="22">
        <v>21219662</v>
      </c>
      <c r="B526" s="23" t="s">
        <v>6676</v>
      </c>
      <c r="C526" s="23" t="s">
        <v>6677</v>
      </c>
      <c r="D526" s="23" t="s">
        <v>6678</v>
      </c>
      <c r="E526" s="23" t="s">
        <v>3150</v>
      </c>
      <c r="F526" s="23" t="s">
        <v>4867</v>
      </c>
      <c r="G526" s="22">
        <v>2011</v>
      </c>
      <c r="H526" s="24">
        <v>40555</v>
      </c>
      <c r="I526" s="26" t="s">
        <v>6679</v>
      </c>
      <c r="J526" s="27"/>
      <c r="K526" s="26" t="s">
        <v>3151</v>
      </c>
      <c r="L526" s="27"/>
      <c r="M526" s="23"/>
    </row>
    <row r="527" spans="1:13" ht="15.75" customHeight="1">
      <c r="A527" s="22">
        <v>17922393</v>
      </c>
      <c r="B527" s="23" t="s">
        <v>6680</v>
      </c>
      <c r="C527" s="23" t="s">
        <v>6681</v>
      </c>
      <c r="D527" s="23" t="s">
        <v>6682</v>
      </c>
      <c r="E527" s="23" t="s">
        <v>1543</v>
      </c>
      <c r="F527" s="23" t="s">
        <v>4992</v>
      </c>
      <c r="G527" s="22">
        <v>2007</v>
      </c>
      <c r="H527" s="24">
        <v>39364</v>
      </c>
      <c r="I527" s="23"/>
      <c r="J527" s="23"/>
      <c r="K527" s="26" t="s">
        <v>1548</v>
      </c>
      <c r="L527" s="27"/>
      <c r="M527" s="23"/>
    </row>
    <row r="528" spans="1:13" ht="15.75" customHeight="1">
      <c r="A528" s="22">
        <v>22278837</v>
      </c>
      <c r="B528" s="23" t="s">
        <v>6683</v>
      </c>
      <c r="C528" s="23" t="s">
        <v>6684</v>
      </c>
      <c r="D528" s="23" t="s">
        <v>6685</v>
      </c>
      <c r="E528" s="23" t="s">
        <v>2360</v>
      </c>
      <c r="F528" s="23" t="s">
        <v>5331</v>
      </c>
      <c r="G528" s="22">
        <v>2012</v>
      </c>
      <c r="H528" s="24">
        <v>40935</v>
      </c>
      <c r="I528" s="26" t="s">
        <v>6686</v>
      </c>
      <c r="J528" s="27"/>
      <c r="K528" s="26" t="s">
        <v>2361</v>
      </c>
      <c r="L528" s="27"/>
      <c r="M528" s="23"/>
    </row>
    <row r="529" spans="1:13" ht="15.75" customHeight="1">
      <c r="A529" s="22">
        <v>8232499</v>
      </c>
      <c r="B529" s="23" t="s">
        <v>6589</v>
      </c>
      <c r="C529" s="23" t="s">
        <v>6687</v>
      </c>
      <c r="D529" s="23" t="s">
        <v>6591</v>
      </c>
      <c r="E529" s="23" t="s">
        <v>461</v>
      </c>
      <c r="F529" s="23" t="s">
        <v>5377</v>
      </c>
      <c r="G529" s="22">
        <v>1993</v>
      </c>
      <c r="H529" s="24">
        <v>34312</v>
      </c>
      <c r="I529" s="23"/>
      <c r="J529" s="23"/>
      <c r="K529" s="23"/>
      <c r="L529" s="23"/>
      <c r="M529" s="23"/>
    </row>
    <row r="530" spans="1:13" ht="15.75" customHeight="1">
      <c r="A530" s="22">
        <v>11486597</v>
      </c>
      <c r="B530" s="23" t="s">
        <v>6688</v>
      </c>
      <c r="C530" s="23" t="s">
        <v>6689</v>
      </c>
      <c r="D530" s="23" t="s">
        <v>6690</v>
      </c>
      <c r="E530" s="23" t="s">
        <v>195</v>
      </c>
      <c r="F530" s="23" t="s">
        <v>6691</v>
      </c>
      <c r="G530" s="22">
        <v>2001</v>
      </c>
      <c r="H530" s="24">
        <v>37110</v>
      </c>
      <c r="I530" s="23"/>
      <c r="J530" s="23"/>
      <c r="K530" s="23"/>
      <c r="L530" s="23"/>
      <c r="M530" s="23"/>
    </row>
    <row r="531" spans="1:13" ht="15.75" customHeight="1">
      <c r="A531" s="22">
        <v>7803807</v>
      </c>
      <c r="B531" s="23" t="s">
        <v>6692</v>
      </c>
      <c r="C531" s="23" t="s">
        <v>6693</v>
      </c>
      <c r="D531" s="23" t="s">
        <v>6694</v>
      </c>
      <c r="E531" s="23" t="s">
        <v>3666</v>
      </c>
      <c r="F531" s="23" t="s">
        <v>5343</v>
      </c>
      <c r="G531" s="22">
        <v>1995</v>
      </c>
      <c r="H531" s="24">
        <v>34700</v>
      </c>
      <c r="I531" s="23"/>
      <c r="J531" s="23"/>
      <c r="K531" s="23"/>
      <c r="L531" s="23"/>
      <c r="M531" s="23"/>
    </row>
    <row r="532" spans="1:13" ht="15.75" customHeight="1">
      <c r="A532" s="22">
        <v>8652850</v>
      </c>
      <c r="B532" s="23" t="s">
        <v>6695</v>
      </c>
      <c r="C532" s="23" t="s">
        <v>6696</v>
      </c>
      <c r="D532" s="23" t="s">
        <v>6697</v>
      </c>
      <c r="E532" s="23" t="s">
        <v>235</v>
      </c>
      <c r="F532" s="23" t="s">
        <v>5343</v>
      </c>
      <c r="G532" s="22">
        <v>1996</v>
      </c>
      <c r="H532" s="24">
        <v>35231</v>
      </c>
      <c r="I532" s="23"/>
      <c r="J532" s="23"/>
      <c r="K532" s="23"/>
      <c r="L532" s="23"/>
      <c r="M532" s="23"/>
    </row>
    <row r="533" spans="1:13" ht="15.75" customHeight="1">
      <c r="A533" s="22">
        <v>35035452</v>
      </c>
      <c r="B533" s="23" t="s">
        <v>6698</v>
      </c>
      <c r="C533" s="23" t="s">
        <v>6699</v>
      </c>
      <c r="D533" s="23" t="s">
        <v>6700</v>
      </c>
      <c r="E533" s="23" t="s">
        <v>1152</v>
      </c>
      <c r="F533" s="23" t="s">
        <v>6701</v>
      </c>
      <c r="G533" s="22">
        <v>2022</v>
      </c>
      <c r="H533" s="24">
        <v>44578</v>
      </c>
      <c r="I533" s="26" t="s">
        <v>6702</v>
      </c>
      <c r="J533" s="27"/>
      <c r="K533" s="26" t="s">
        <v>1153</v>
      </c>
      <c r="L533" s="27"/>
      <c r="M533" s="23"/>
    </row>
    <row r="534" spans="1:13" ht="15.75" customHeight="1">
      <c r="A534" s="22">
        <v>18329730</v>
      </c>
      <c r="B534" s="23" t="s">
        <v>6703</v>
      </c>
      <c r="C534" s="23" t="s">
        <v>6704</v>
      </c>
      <c r="D534" s="23" t="s">
        <v>6705</v>
      </c>
      <c r="E534" s="23" t="s">
        <v>1822</v>
      </c>
      <c r="F534" s="23" t="s">
        <v>5267</v>
      </c>
      <c r="G534" s="22">
        <v>2008</v>
      </c>
      <c r="H534" s="24">
        <v>39518</v>
      </c>
      <c r="I534" s="23"/>
      <c r="J534" s="23"/>
      <c r="K534" s="26" t="s">
        <v>1823</v>
      </c>
      <c r="L534" s="27"/>
      <c r="M534" s="27"/>
    </row>
    <row r="535" spans="1:13" ht="15.75" customHeight="1">
      <c r="A535" s="22">
        <v>16586395</v>
      </c>
      <c r="B535" s="23" t="s">
        <v>6706</v>
      </c>
      <c r="C535" s="23" t="s">
        <v>6707</v>
      </c>
      <c r="D535" s="23" t="s">
        <v>6708</v>
      </c>
      <c r="E535" s="23" t="s">
        <v>3511</v>
      </c>
      <c r="F535" s="23" t="s">
        <v>5080</v>
      </c>
      <c r="G535" s="22">
        <v>2006</v>
      </c>
      <c r="H535" s="24">
        <v>38813</v>
      </c>
      <c r="I535" s="23"/>
      <c r="J535" s="23"/>
      <c r="K535" s="26" t="s">
        <v>3512</v>
      </c>
      <c r="L535" s="27"/>
      <c r="M535" s="23"/>
    </row>
    <row r="536" spans="1:13" ht="15.75" customHeight="1">
      <c r="A536" s="22">
        <v>33217174</v>
      </c>
      <c r="B536" s="23" t="s">
        <v>6709</v>
      </c>
      <c r="C536" s="23" t="s">
        <v>6710</v>
      </c>
      <c r="D536" s="23" t="s">
        <v>6711</v>
      </c>
      <c r="E536" s="23" t="s">
        <v>151</v>
      </c>
      <c r="F536" s="23" t="s">
        <v>4974</v>
      </c>
      <c r="G536" s="22">
        <v>2021</v>
      </c>
      <c r="H536" s="24">
        <v>44155</v>
      </c>
      <c r="I536" s="23"/>
      <c r="J536" s="23"/>
      <c r="K536" s="26" t="s">
        <v>794</v>
      </c>
      <c r="L536" s="27"/>
      <c r="M536" s="23"/>
    </row>
    <row r="537" spans="1:13" ht="15.75" customHeight="1">
      <c r="A537" s="22">
        <v>7931158</v>
      </c>
      <c r="B537" s="23" t="s">
        <v>6712</v>
      </c>
      <c r="C537" s="23" t="s">
        <v>6713</v>
      </c>
      <c r="D537" s="23" t="s">
        <v>6714</v>
      </c>
      <c r="E537" s="23" t="s">
        <v>2061</v>
      </c>
      <c r="F537" s="23" t="s">
        <v>4966</v>
      </c>
      <c r="G537" s="22">
        <v>1994</v>
      </c>
      <c r="H537" s="24">
        <v>34608</v>
      </c>
      <c r="I537" s="23"/>
      <c r="J537" s="23"/>
      <c r="K537" s="26" t="s">
        <v>2068</v>
      </c>
      <c r="L537" s="27"/>
      <c r="M537" s="27"/>
    </row>
    <row r="538" spans="1:13" ht="15.75" customHeight="1">
      <c r="A538" s="22">
        <v>10482064</v>
      </c>
      <c r="B538" s="23" t="s">
        <v>6715</v>
      </c>
      <c r="C538" s="23" t="s">
        <v>6716</v>
      </c>
      <c r="D538" s="23" t="s">
        <v>6717</v>
      </c>
      <c r="E538" s="23" t="s">
        <v>1782</v>
      </c>
      <c r="F538" s="23" t="s">
        <v>6718</v>
      </c>
      <c r="G538" s="22">
        <v>1999</v>
      </c>
      <c r="H538" s="24">
        <v>36414</v>
      </c>
      <c r="I538" s="23"/>
      <c r="J538" s="23"/>
      <c r="K538" s="26" t="s">
        <v>1783</v>
      </c>
      <c r="L538" s="27"/>
      <c r="M538" s="27"/>
    </row>
    <row r="539" spans="1:13" ht="15.75" customHeight="1">
      <c r="A539" s="22">
        <v>30523283</v>
      </c>
      <c r="B539" s="23" t="s">
        <v>6719</v>
      </c>
      <c r="C539" s="23" t="s">
        <v>6720</v>
      </c>
      <c r="D539" s="23" t="s">
        <v>6721</v>
      </c>
      <c r="E539" s="23" t="s">
        <v>3758</v>
      </c>
      <c r="F539" s="23" t="s">
        <v>5043</v>
      </c>
      <c r="G539" s="22">
        <v>2018</v>
      </c>
      <c r="H539" s="24">
        <v>43442</v>
      </c>
      <c r="I539" s="26" t="s">
        <v>6722</v>
      </c>
      <c r="J539" s="27"/>
      <c r="K539" s="26" t="s">
        <v>3761</v>
      </c>
      <c r="L539" s="27"/>
      <c r="M539" s="27"/>
    </row>
    <row r="540" spans="1:13" ht="15.75" customHeight="1">
      <c r="A540" s="22">
        <v>21593170</v>
      </c>
      <c r="B540" s="23" t="s">
        <v>6723</v>
      </c>
      <c r="C540" s="23" t="s">
        <v>6724</v>
      </c>
      <c r="D540" s="23" t="s">
        <v>6725</v>
      </c>
      <c r="E540" s="23" t="s">
        <v>3978</v>
      </c>
      <c r="F540" s="23" t="s">
        <v>4891</v>
      </c>
      <c r="G540" s="22">
        <v>2011</v>
      </c>
      <c r="H540" s="24">
        <v>40683</v>
      </c>
      <c r="I540" s="26" t="s">
        <v>6726</v>
      </c>
      <c r="J540" s="27"/>
      <c r="K540" s="26" t="s">
        <v>3979</v>
      </c>
      <c r="L540" s="27"/>
      <c r="M540" s="23"/>
    </row>
    <row r="541" spans="1:13" ht="15.75" customHeight="1">
      <c r="A541" s="22">
        <v>30988380</v>
      </c>
      <c r="B541" s="23" t="s">
        <v>6727</v>
      </c>
      <c r="C541" s="23" t="s">
        <v>6728</v>
      </c>
      <c r="D541" s="23" t="s">
        <v>6729</v>
      </c>
      <c r="E541" s="23" t="s">
        <v>3413</v>
      </c>
      <c r="F541" s="23" t="s">
        <v>4863</v>
      </c>
      <c r="G541" s="22">
        <v>2020</v>
      </c>
      <c r="H541" s="24">
        <v>43572</v>
      </c>
      <c r="I541" s="23"/>
      <c r="J541" s="23"/>
      <c r="K541" s="26" t="s">
        <v>3414</v>
      </c>
      <c r="L541" s="27"/>
      <c r="M541" s="27"/>
    </row>
    <row r="542" spans="1:13" ht="15.75" customHeight="1">
      <c r="A542" s="22">
        <v>12089260</v>
      </c>
      <c r="B542" s="23" t="s">
        <v>6730</v>
      </c>
      <c r="C542" s="23" t="s">
        <v>6731</v>
      </c>
      <c r="D542" s="23" t="s">
        <v>6732</v>
      </c>
      <c r="E542" s="23" t="s">
        <v>1690</v>
      </c>
      <c r="F542" s="23" t="s">
        <v>5331</v>
      </c>
      <c r="G542" s="22">
        <v>2002</v>
      </c>
      <c r="H542" s="24">
        <v>37436</v>
      </c>
      <c r="I542" s="23" t="s">
        <v>6733</v>
      </c>
      <c r="J542" s="23"/>
      <c r="K542" s="26" t="s">
        <v>1691</v>
      </c>
      <c r="L542" s="27"/>
      <c r="M542" s="27"/>
    </row>
    <row r="543" spans="1:13" ht="15.75" customHeight="1">
      <c r="A543" s="22">
        <v>12182383</v>
      </c>
      <c r="B543" s="23" t="s">
        <v>6734</v>
      </c>
      <c r="C543" s="23" t="s">
        <v>6735</v>
      </c>
      <c r="D543" s="23" t="s">
        <v>6736</v>
      </c>
      <c r="E543" s="23" t="s">
        <v>2532</v>
      </c>
      <c r="F543" s="23" t="s">
        <v>5982</v>
      </c>
      <c r="G543" s="22">
        <v>2002</v>
      </c>
      <c r="H543" s="24">
        <v>37485</v>
      </c>
      <c r="I543" s="23"/>
      <c r="J543" s="23"/>
      <c r="K543" s="26" t="s">
        <v>2533</v>
      </c>
      <c r="L543" s="27"/>
      <c r="M543" s="27"/>
    </row>
    <row r="544" spans="1:13" ht="15.75" customHeight="1">
      <c r="A544" s="22">
        <v>32925539</v>
      </c>
      <c r="B544" s="23" t="s">
        <v>6737</v>
      </c>
      <c r="C544" s="23" t="s">
        <v>6738</v>
      </c>
      <c r="D544" s="23" t="s">
        <v>6739</v>
      </c>
      <c r="E544" s="23" t="s">
        <v>1713</v>
      </c>
      <c r="F544" s="23" t="s">
        <v>5982</v>
      </c>
      <c r="G544" s="22">
        <v>2020</v>
      </c>
      <c r="H544" s="24">
        <v>44088</v>
      </c>
      <c r="I544" s="23"/>
      <c r="J544" s="23"/>
      <c r="K544" s="26" t="s">
        <v>1714</v>
      </c>
      <c r="L544" s="27"/>
      <c r="M544" s="27"/>
    </row>
    <row r="545" spans="1:13" ht="15.75" customHeight="1">
      <c r="A545" s="22">
        <v>11902311</v>
      </c>
      <c r="B545" s="23" t="s">
        <v>6740</v>
      </c>
      <c r="C545" s="23" t="s">
        <v>6741</v>
      </c>
      <c r="D545" s="23" t="s">
        <v>6742</v>
      </c>
      <c r="E545" s="23" t="s">
        <v>1530</v>
      </c>
      <c r="F545" s="23" t="s">
        <v>5757</v>
      </c>
      <c r="G545" s="22">
        <v>2001</v>
      </c>
      <c r="H545" s="24">
        <v>37336</v>
      </c>
      <c r="I545" s="23"/>
      <c r="J545" s="23"/>
      <c r="K545" s="26" t="s">
        <v>1531</v>
      </c>
      <c r="L545" s="27"/>
      <c r="M545" s="27"/>
    </row>
    <row r="546" spans="1:13" ht="15.75" customHeight="1">
      <c r="A546" s="22">
        <v>32224590</v>
      </c>
      <c r="B546" s="23" t="s">
        <v>6743</v>
      </c>
      <c r="C546" s="23" t="s">
        <v>6744</v>
      </c>
      <c r="D546" s="23" t="s">
        <v>6745</v>
      </c>
      <c r="E546" s="23" t="s">
        <v>3851</v>
      </c>
      <c r="F546" s="23" t="s">
        <v>5047</v>
      </c>
      <c r="G546" s="22">
        <v>2020</v>
      </c>
      <c r="H546" s="24">
        <v>43922</v>
      </c>
      <c r="I546" s="23"/>
      <c r="J546" s="23"/>
      <c r="K546" s="26" t="s">
        <v>3852</v>
      </c>
      <c r="L546" s="27"/>
      <c r="M546" s="23"/>
    </row>
    <row r="547" spans="1:13" ht="15.75" customHeight="1">
      <c r="A547" s="22">
        <v>10228019</v>
      </c>
      <c r="B547" s="23" t="s">
        <v>6746</v>
      </c>
      <c r="C547" s="23" t="s">
        <v>6747</v>
      </c>
      <c r="D547" s="23" t="s">
        <v>6748</v>
      </c>
      <c r="E547" s="23" t="s">
        <v>4579</v>
      </c>
      <c r="F547" s="23" t="s">
        <v>6293</v>
      </c>
      <c r="G547" s="22">
        <v>1999</v>
      </c>
      <c r="H547" s="24">
        <v>36285</v>
      </c>
      <c r="I547" s="23"/>
      <c r="J547" s="23"/>
      <c r="K547" s="23"/>
      <c r="L547" s="23"/>
      <c r="M547" s="23"/>
    </row>
    <row r="548" spans="1:13" ht="15.75" customHeight="1">
      <c r="A548" s="22">
        <v>9815234</v>
      </c>
      <c r="B548" s="23" t="s">
        <v>6749</v>
      </c>
      <c r="C548" s="23" t="s">
        <v>6750</v>
      </c>
      <c r="D548" s="23" t="s">
        <v>6751</v>
      </c>
      <c r="E548" s="23" t="s">
        <v>1857</v>
      </c>
      <c r="F548" s="23" t="s">
        <v>4992</v>
      </c>
      <c r="G548" s="22">
        <v>1998</v>
      </c>
      <c r="H548" s="24">
        <v>36116</v>
      </c>
      <c r="I548" s="23"/>
      <c r="J548" s="23"/>
      <c r="K548" s="26" t="s">
        <v>1860</v>
      </c>
      <c r="L548" s="27"/>
      <c r="M548" s="23"/>
    </row>
    <row r="549" spans="1:13" ht="15.75" customHeight="1">
      <c r="A549" s="22">
        <v>22820131</v>
      </c>
      <c r="B549" s="23" t="s">
        <v>6752</v>
      </c>
      <c r="C549" s="23" t="s">
        <v>6753</v>
      </c>
      <c r="D549" s="23" t="s">
        <v>6754</v>
      </c>
      <c r="E549" s="23" t="s">
        <v>206</v>
      </c>
      <c r="F549" s="23" t="s">
        <v>5584</v>
      </c>
      <c r="G549" s="22">
        <v>2012</v>
      </c>
      <c r="H549" s="24">
        <v>41114</v>
      </c>
      <c r="I549" s="23"/>
      <c r="J549" s="23"/>
      <c r="K549" s="26" t="s">
        <v>322</v>
      </c>
      <c r="L549" s="27"/>
      <c r="M549" s="27"/>
    </row>
    <row r="550" spans="1:13" ht="15.75" customHeight="1">
      <c r="A550" s="22">
        <v>8703244</v>
      </c>
      <c r="B550" s="23" t="s">
        <v>6755</v>
      </c>
      <c r="C550" s="23" t="s">
        <v>6756</v>
      </c>
      <c r="D550" s="23" t="s">
        <v>6757</v>
      </c>
      <c r="E550" s="23" t="s">
        <v>2777</v>
      </c>
      <c r="F550" s="23" t="s">
        <v>6758</v>
      </c>
      <c r="G550" s="22">
        <v>1995</v>
      </c>
      <c r="H550" s="24">
        <v>35034</v>
      </c>
      <c r="I550" s="23"/>
      <c r="J550" s="23"/>
      <c r="K550" s="23"/>
      <c r="L550" s="23"/>
      <c r="M550" s="23"/>
    </row>
    <row r="551" spans="1:13" ht="15.75" customHeight="1">
      <c r="A551" s="22">
        <v>7844362</v>
      </c>
      <c r="B551" s="23" t="s">
        <v>6759</v>
      </c>
      <c r="C551" s="23" t="s">
        <v>6760</v>
      </c>
      <c r="D551" s="23" t="s">
        <v>6761</v>
      </c>
      <c r="E551" s="23" t="s">
        <v>280</v>
      </c>
      <c r="F551" s="23" t="s">
        <v>4992</v>
      </c>
      <c r="G551" s="22">
        <v>1995</v>
      </c>
      <c r="H551" s="24">
        <v>34731</v>
      </c>
      <c r="I551" s="23"/>
      <c r="J551" s="23"/>
      <c r="K551" s="26" t="s">
        <v>411</v>
      </c>
      <c r="L551" s="27"/>
      <c r="M551" s="23"/>
    </row>
    <row r="552" spans="1:13" ht="15.75" customHeight="1">
      <c r="A552" s="22">
        <v>1329241</v>
      </c>
      <c r="B552" s="23" t="s">
        <v>6762</v>
      </c>
      <c r="C552" s="23" t="s">
        <v>6763</v>
      </c>
      <c r="D552" s="23" t="s">
        <v>6764</v>
      </c>
      <c r="E552" s="23" t="s">
        <v>3190</v>
      </c>
      <c r="F552" s="23" t="s">
        <v>6765</v>
      </c>
      <c r="G552" s="22">
        <v>1992</v>
      </c>
      <c r="H552" s="24">
        <v>33695</v>
      </c>
      <c r="I552" s="23"/>
      <c r="J552" s="23"/>
      <c r="K552" s="23"/>
      <c r="L552" s="23"/>
      <c r="M552" s="23"/>
    </row>
    <row r="553" spans="1:13" ht="15.75" customHeight="1">
      <c r="A553" s="22">
        <v>1975142</v>
      </c>
      <c r="B553" s="23" t="s">
        <v>6766</v>
      </c>
      <c r="C553" s="23" t="s">
        <v>6767</v>
      </c>
      <c r="D553" s="23" t="s">
        <v>6768</v>
      </c>
      <c r="E553" s="23" t="s">
        <v>2937</v>
      </c>
      <c r="F553" s="23" t="s">
        <v>4950</v>
      </c>
      <c r="G553" s="22">
        <v>1990</v>
      </c>
      <c r="H553" s="24">
        <v>33117</v>
      </c>
      <c r="I553" s="23"/>
      <c r="J553" s="23"/>
      <c r="K553" s="26" t="s">
        <v>2938</v>
      </c>
      <c r="L553" s="27"/>
      <c r="M553" s="27"/>
    </row>
    <row r="554" spans="1:13" ht="15.75" customHeight="1">
      <c r="A554" s="22">
        <v>8783159</v>
      </c>
      <c r="B554" s="23" t="s">
        <v>6769</v>
      </c>
      <c r="C554" s="23" t="s">
        <v>6770</v>
      </c>
      <c r="D554" s="23" t="s">
        <v>6771</v>
      </c>
      <c r="E554" s="23" t="s">
        <v>4621</v>
      </c>
      <c r="F554" s="23" t="s">
        <v>5267</v>
      </c>
      <c r="G554" s="22">
        <v>1996</v>
      </c>
      <c r="H554" s="24">
        <v>35181</v>
      </c>
      <c r="I554" s="23"/>
      <c r="J554" s="23"/>
      <c r="K554" s="26" t="s">
        <v>4626</v>
      </c>
      <c r="L554" s="27"/>
      <c r="M554" s="27"/>
    </row>
    <row r="555" spans="1:13" ht="15.75" customHeight="1">
      <c r="A555" s="22">
        <v>29454651</v>
      </c>
      <c r="B555" s="23" t="s">
        <v>6772</v>
      </c>
      <c r="C555" s="23" t="s">
        <v>6773</v>
      </c>
      <c r="D555" s="23" t="s">
        <v>6774</v>
      </c>
      <c r="E555" s="23" t="s">
        <v>151</v>
      </c>
      <c r="F555" s="23" t="s">
        <v>5076</v>
      </c>
      <c r="G555" s="22">
        <v>2018</v>
      </c>
      <c r="H555" s="24">
        <v>43150</v>
      </c>
      <c r="I555" s="23"/>
      <c r="J555" s="23"/>
      <c r="K555" s="26" t="s">
        <v>395</v>
      </c>
      <c r="L555" s="27"/>
      <c r="M555" s="27"/>
    </row>
    <row r="556" spans="1:13" ht="15.75" customHeight="1">
      <c r="A556" s="22">
        <v>11213075</v>
      </c>
      <c r="B556" s="23" t="s">
        <v>6775</v>
      </c>
      <c r="C556" s="23" t="s">
        <v>6776</v>
      </c>
      <c r="D556" s="23" t="s">
        <v>6777</v>
      </c>
      <c r="E556" s="23" t="s">
        <v>3813</v>
      </c>
      <c r="F556" s="23" t="s">
        <v>5445</v>
      </c>
      <c r="G556" s="22">
        <v>2001</v>
      </c>
      <c r="H556" s="24">
        <v>36946</v>
      </c>
      <c r="I556" s="23"/>
      <c r="J556" s="23"/>
      <c r="K556" s="26" t="s">
        <v>3814</v>
      </c>
      <c r="L556" s="27"/>
      <c r="M556" s="27"/>
    </row>
    <row r="557" spans="1:13" ht="15.75" customHeight="1">
      <c r="A557" s="22">
        <v>7915373</v>
      </c>
      <c r="B557" s="23" t="s">
        <v>6778</v>
      </c>
      <c r="C557" s="23" t="s">
        <v>6779</v>
      </c>
      <c r="D557" s="23" t="s">
        <v>6780</v>
      </c>
      <c r="E557" s="23" t="s">
        <v>3200</v>
      </c>
      <c r="F557" s="23" t="s">
        <v>6147</v>
      </c>
      <c r="G557" s="22">
        <v>1994</v>
      </c>
      <c r="H557" s="24">
        <v>34580</v>
      </c>
      <c r="I557" s="23"/>
      <c r="J557" s="23"/>
      <c r="K557" s="26" t="s">
        <v>3201</v>
      </c>
      <c r="L557" s="27"/>
      <c r="M557" s="27"/>
    </row>
    <row r="558" spans="1:13" ht="15.75" customHeight="1">
      <c r="A558" s="22">
        <v>30048732</v>
      </c>
      <c r="B558" s="23" t="s">
        <v>6781</v>
      </c>
      <c r="C558" s="23" t="s">
        <v>6782</v>
      </c>
      <c r="D558" s="23" t="s">
        <v>6783</v>
      </c>
      <c r="E558" s="23" t="s">
        <v>842</v>
      </c>
      <c r="F558" s="23" t="s">
        <v>5076</v>
      </c>
      <c r="G558" s="22">
        <v>2018</v>
      </c>
      <c r="H558" s="24">
        <v>43308</v>
      </c>
      <c r="I558" s="23"/>
      <c r="J558" s="23"/>
      <c r="K558" s="26" t="s">
        <v>3677</v>
      </c>
      <c r="L558" s="27"/>
      <c r="M558" s="27"/>
    </row>
    <row r="559" spans="1:13" ht="15.75" customHeight="1">
      <c r="A559" s="22">
        <v>25243920</v>
      </c>
      <c r="B559" s="23" t="s">
        <v>6784</v>
      </c>
      <c r="C559" s="23" t="s">
        <v>6785</v>
      </c>
      <c r="D559" s="23" t="s">
        <v>6786</v>
      </c>
      <c r="E559" s="23" t="s">
        <v>2471</v>
      </c>
      <c r="F559" s="23" t="s">
        <v>5567</v>
      </c>
      <c r="G559" s="22">
        <v>2014</v>
      </c>
      <c r="H559" s="24">
        <v>41905</v>
      </c>
      <c r="I559" s="23"/>
      <c r="J559" s="23"/>
      <c r="K559" s="26" t="s">
        <v>2474</v>
      </c>
      <c r="L559" s="27"/>
      <c r="M559" s="23"/>
    </row>
    <row r="560" spans="1:13" ht="15.75" customHeight="1">
      <c r="A560" s="22">
        <v>7751716</v>
      </c>
      <c r="B560" s="23" t="s">
        <v>6787</v>
      </c>
      <c r="C560" s="23" t="s">
        <v>6788</v>
      </c>
      <c r="D560" s="23" t="s">
        <v>6789</v>
      </c>
      <c r="E560" s="23" t="s">
        <v>1411</v>
      </c>
      <c r="F560" s="23" t="s">
        <v>4992</v>
      </c>
      <c r="G560" s="22">
        <v>1995</v>
      </c>
      <c r="H560" s="24">
        <v>34820</v>
      </c>
      <c r="I560" s="23"/>
      <c r="J560" s="23"/>
      <c r="K560" s="26" t="s">
        <v>1412</v>
      </c>
      <c r="L560" s="27"/>
      <c r="M560" s="27"/>
    </row>
    <row r="561" spans="1:13" ht="15.75" customHeight="1">
      <c r="A561" s="22">
        <v>7893978</v>
      </c>
      <c r="B561" s="23" t="s">
        <v>6790</v>
      </c>
      <c r="C561" s="23" t="s">
        <v>6791</v>
      </c>
      <c r="D561" s="23" t="s">
        <v>6792</v>
      </c>
      <c r="E561" s="23" t="s">
        <v>3789</v>
      </c>
      <c r="F561" s="23" t="s">
        <v>4954</v>
      </c>
      <c r="G561" s="22">
        <v>1994</v>
      </c>
      <c r="H561" s="24">
        <v>34516</v>
      </c>
      <c r="I561" s="23"/>
      <c r="J561" s="23"/>
      <c r="K561" s="23"/>
      <c r="L561" s="23"/>
      <c r="M561" s="23"/>
    </row>
    <row r="562" spans="1:13" ht="15.75" customHeight="1">
      <c r="A562" s="22">
        <v>16140273</v>
      </c>
      <c r="B562" s="23" t="s">
        <v>6793</v>
      </c>
      <c r="C562" s="23" t="s">
        <v>6794</v>
      </c>
      <c r="D562" s="23" t="s">
        <v>6795</v>
      </c>
      <c r="E562" s="23" t="s">
        <v>4164</v>
      </c>
      <c r="F562" s="23" t="s">
        <v>5945</v>
      </c>
      <c r="G562" s="22">
        <v>2005</v>
      </c>
      <c r="H562" s="24">
        <v>38601</v>
      </c>
      <c r="I562" s="23"/>
      <c r="J562" s="23"/>
      <c r="K562" s="26" t="s">
        <v>4165</v>
      </c>
      <c r="L562" s="27"/>
      <c r="M562" s="27"/>
    </row>
    <row r="563" spans="1:13" ht="15.75" customHeight="1">
      <c r="A563" s="22">
        <v>30846739</v>
      </c>
      <c r="B563" s="23" t="s">
        <v>6796</v>
      </c>
      <c r="C563" s="23" t="s">
        <v>6797</v>
      </c>
      <c r="D563" s="23" t="s">
        <v>6798</v>
      </c>
      <c r="E563" s="23" t="s">
        <v>769</v>
      </c>
      <c r="F563" s="23" t="s">
        <v>5043</v>
      </c>
      <c r="G563" s="22">
        <v>2019</v>
      </c>
      <c r="H563" s="24">
        <v>43533</v>
      </c>
      <c r="I563" s="26" t="s">
        <v>6799</v>
      </c>
      <c r="J563" s="27"/>
      <c r="K563" s="26" t="s">
        <v>3324</v>
      </c>
      <c r="L563" s="27"/>
      <c r="M563" s="27"/>
    </row>
    <row r="564" spans="1:13" ht="15.75" customHeight="1">
      <c r="A564" s="22">
        <v>20592533</v>
      </c>
      <c r="B564" s="23" t="s">
        <v>6800</v>
      </c>
      <c r="C564" s="23" t="s">
        <v>6801</v>
      </c>
      <c r="D564" s="23" t="s">
        <v>6802</v>
      </c>
      <c r="E564" s="23" t="s">
        <v>2826</v>
      </c>
      <c r="F564" s="23" t="s">
        <v>5035</v>
      </c>
      <c r="G564" s="22">
        <v>2010</v>
      </c>
      <c r="H564" s="24">
        <v>40361</v>
      </c>
      <c r="I564" s="23"/>
      <c r="J564" s="23"/>
      <c r="K564" s="26" t="s">
        <v>2827</v>
      </c>
      <c r="L564" s="27"/>
      <c r="M564" s="27"/>
    </row>
    <row r="565" spans="1:13" ht="15.75" customHeight="1">
      <c r="A565" s="22">
        <v>12971497</v>
      </c>
      <c r="B565" s="23" t="s">
        <v>6803</v>
      </c>
      <c r="C565" s="23" t="s">
        <v>6804</v>
      </c>
      <c r="D565" s="23" t="s">
        <v>6805</v>
      </c>
      <c r="E565" s="23" t="s">
        <v>1328</v>
      </c>
      <c r="F565" s="23" t="s">
        <v>6806</v>
      </c>
      <c r="G565" s="22">
        <v>2002</v>
      </c>
      <c r="H565" s="24">
        <v>37880</v>
      </c>
      <c r="I565" s="23"/>
      <c r="J565" s="23"/>
      <c r="K565" s="23"/>
      <c r="L565" s="23"/>
      <c r="M565" s="23"/>
    </row>
    <row r="566" spans="1:13" ht="15.75" customHeight="1">
      <c r="A566" s="22">
        <v>15625542</v>
      </c>
      <c r="B566" s="23" t="s">
        <v>6807</v>
      </c>
      <c r="C566" s="23" t="s">
        <v>6808</v>
      </c>
      <c r="D566" s="23" t="s">
        <v>6809</v>
      </c>
      <c r="E566" s="23" t="s">
        <v>4471</v>
      </c>
      <c r="F566" s="23" t="s">
        <v>5076</v>
      </c>
      <c r="G566" s="22">
        <v>2005</v>
      </c>
      <c r="H566" s="24">
        <v>38352</v>
      </c>
      <c r="I566" s="23"/>
      <c r="J566" s="23"/>
      <c r="K566" s="26" t="s">
        <v>4472</v>
      </c>
      <c r="L566" s="27"/>
      <c r="M566" s="27"/>
    </row>
    <row r="567" spans="1:13" ht="15.75" customHeight="1">
      <c r="A567" s="22">
        <v>10954574</v>
      </c>
      <c r="B567" s="23" t="s">
        <v>6810</v>
      </c>
      <c r="C567" s="23" t="s">
        <v>6811</v>
      </c>
      <c r="D567" s="23" t="s">
        <v>6812</v>
      </c>
      <c r="E567" s="23" t="s">
        <v>2169</v>
      </c>
      <c r="F567" s="23" t="s">
        <v>4891</v>
      </c>
      <c r="G567" s="22">
        <v>2000</v>
      </c>
      <c r="H567" s="24">
        <v>36761</v>
      </c>
      <c r="I567" s="23" t="s">
        <v>6813</v>
      </c>
      <c r="J567" s="23"/>
      <c r="K567" s="26" t="s">
        <v>2172</v>
      </c>
      <c r="L567" s="27"/>
      <c r="M567" s="27"/>
    </row>
    <row r="568" spans="1:13" ht="15.75" customHeight="1">
      <c r="A568" s="22">
        <v>21883755</v>
      </c>
      <c r="B568" s="23" t="s">
        <v>6814</v>
      </c>
      <c r="C568" s="23" t="s">
        <v>6815</v>
      </c>
      <c r="D568" s="23" t="s">
        <v>6816</v>
      </c>
      <c r="E568" s="23" t="s">
        <v>2072</v>
      </c>
      <c r="F568" s="23" t="s">
        <v>4974</v>
      </c>
      <c r="G568" s="22">
        <v>2011</v>
      </c>
      <c r="H568" s="24">
        <v>40789</v>
      </c>
      <c r="I568" s="23"/>
      <c r="J568" s="23"/>
      <c r="K568" s="26" t="s">
        <v>2073</v>
      </c>
      <c r="L568" s="27"/>
      <c r="M568" s="27"/>
    </row>
    <row r="569" spans="1:13" ht="15.75" customHeight="1">
      <c r="A569" s="22">
        <v>8122364</v>
      </c>
      <c r="B569" s="23" t="s">
        <v>6817</v>
      </c>
      <c r="C569" s="23" t="s">
        <v>6818</v>
      </c>
      <c r="D569" s="23" t="s">
        <v>6819</v>
      </c>
      <c r="E569" s="23" t="s">
        <v>4711</v>
      </c>
      <c r="F569" s="23" t="s">
        <v>4950</v>
      </c>
      <c r="G569" s="22">
        <v>1994</v>
      </c>
      <c r="H569" s="24">
        <v>34394</v>
      </c>
      <c r="I569" s="23"/>
      <c r="J569" s="23"/>
      <c r="K569" s="26" t="s">
        <v>4712</v>
      </c>
      <c r="L569" s="27"/>
      <c r="M569" s="23"/>
    </row>
    <row r="570" spans="1:13" ht="15.75" customHeight="1">
      <c r="A570" s="22">
        <v>34600133</v>
      </c>
      <c r="B570" s="23" t="s">
        <v>6820</v>
      </c>
      <c r="C570" s="23" t="s">
        <v>6821</v>
      </c>
      <c r="D570" s="23" t="s">
        <v>6822</v>
      </c>
      <c r="E570" s="23" t="s">
        <v>613</v>
      </c>
      <c r="F570" s="23" t="s">
        <v>6176</v>
      </c>
      <c r="G570" s="22">
        <v>2021</v>
      </c>
      <c r="H570" s="24">
        <v>44471</v>
      </c>
      <c r="I570" s="23"/>
      <c r="J570" s="23"/>
      <c r="K570" s="26" t="s">
        <v>2278</v>
      </c>
      <c r="L570" s="27"/>
      <c r="M570" s="27"/>
    </row>
    <row r="571" spans="1:13" ht="15.75" customHeight="1">
      <c r="A571" s="22">
        <v>1309285</v>
      </c>
      <c r="B571" s="23" t="s">
        <v>6823</v>
      </c>
      <c r="C571" s="23" t="s">
        <v>6824</v>
      </c>
      <c r="D571" s="23" t="s">
        <v>6825</v>
      </c>
      <c r="E571" s="23" t="s">
        <v>1454</v>
      </c>
      <c r="F571" s="23" t="s">
        <v>5957</v>
      </c>
      <c r="G571" s="22">
        <v>1992</v>
      </c>
      <c r="H571" s="24">
        <v>33618</v>
      </c>
      <c r="I571" s="23"/>
      <c r="J571" s="23"/>
      <c r="K571" s="26" t="s">
        <v>1455</v>
      </c>
      <c r="L571" s="27"/>
      <c r="M571" s="27"/>
    </row>
    <row r="572" spans="1:13" ht="15.75" customHeight="1">
      <c r="A572" s="22">
        <v>8904436</v>
      </c>
      <c r="B572" s="23" t="s">
        <v>6826</v>
      </c>
      <c r="C572" s="23" t="s">
        <v>6827</v>
      </c>
      <c r="D572" s="23" t="s">
        <v>6828</v>
      </c>
      <c r="E572" s="23" t="s">
        <v>4061</v>
      </c>
      <c r="F572" s="23" t="s">
        <v>5331</v>
      </c>
      <c r="G572" s="22">
        <v>1996</v>
      </c>
      <c r="H572" s="24">
        <v>35125</v>
      </c>
      <c r="I572" s="23" t="s">
        <v>6829</v>
      </c>
      <c r="J572" s="23"/>
      <c r="K572" s="26" t="s">
        <v>4062</v>
      </c>
      <c r="L572" s="27"/>
      <c r="M572" s="27"/>
    </row>
    <row r="573" spans="1:13" ht="15.75" customHeight="1">
      <c r="A573" s="22">
        <v>19422536</v>
      </c>
      <c r="B573" s="23" t="s">
        <v>6830</v>
      </c>
      <c r="C573" s="23" t="s">
        <v>6831</v>
      </c>
      <c r="D573" s="23" t="s">
        <v>6832</v>
      </c>
      <c r="E573" s="23" t="s">
        <v>3983</v>
      </c>
      <c r="F573" s="23" t="s">
        <v>6833</v>
      </c>
      <c r="G573" s="22">
        <v>2010</v>
      </c>
      <c r="H573" s="24">
        <v>39942</v>
      </c>
      <c r="I573" s="23"/>
      <c r="J573" s="23"/>
      <c r="K573" s="26" t="s">
        <v>3984</v>
      </c>
      <c r="L573" s="27"/>
      <c r="M573" s="27"/>
    </row>
    <row r="574" spans="1:13" ht="15.75" customHeight="1">
      <c r="A574" s="22">
        <v>27535049</v>
      </c>
      <c r="B574" s="23" t="s">
        <v>6834</v>
      </c>
      <c r="C574" s="23" t="s">
        <v>6835</v>
      </c>
      <c r="D574" s="23" t="s">
        <v>6836</v>
      </c>
      <c r="E574" s="23" t="s">
        <v>3927</v>
      </c>
      <c r="F574" s="23" t="s">
        <v>4891</v>
      </c>
      <c r="G574" s="22">
        <v>2016</v>
      </c>
      <c r="H574" s="24">
        <v>42601</v>
      </c>
      <c r="I574" s="26" t="s">
        <v>6837</v>
      </c>
      <c r="J574" s="27"/>
      <c r="K574" s="26" t="s">
        <v>3928</v>
      </c>
      <c r="L574" s="27"/>
      <c r="M574" s="23"/>
    </row>
    <row r="575" spans="1:13" ht="15.75" customHeight="1">
      <c r="A575" s="22">
        <v>12857897</v>
      </c>
      <c r="B575" s="23" t="s">
        <v>6838</v>
      </c>
      <c r="C575" s="23" t="s">
        <v>6839</v>
      </c>
      <c r="D575" s="23" t="s">
        <v>6840</v>
      </c>
      <c r="E575" s="23" t="s">
        <v>2221</v>
      </c>
      <c r="F575" s="23" t="s">
        <v>4891</v>
      </c>
      <c r="G575" s="22">
        <v>2003</v>
      </c>
      <c r="H575" s="24">
        <v>37817</v>
      </c>
      <c r="I575" s="23" t="s">
        <v>6841</v>
      </c>
      <c r="J575" s="23"/>
      <c r="K575" s="26" t="s">
        <v>2222</v>
      </c>
      <c r="L575" s="27"/>
      <c r="M575" s="27"/>
    </row>
    <row r="576" spans="1:13" ht="15.75" customHeight="1">
      <c r="A576" s="22">
        <v>8002785</v>
      </c>
      <c r="B576" s="23" t="s">
        <v>6842</v>
      </c>
      <c r="C576" s="23" t="s">
        <v>6843</v>
      </c>
      <c r="D576" s="23" t="s">
        <v>6844</v>
      </c>
      <c r="E576" s="23" t="s">
        <v>4519</v>
      </c>
      <c r="F576" s="23" t="s">
        <v>5186</v>
      </c>
      <c r="G576" s="22">
        <v>1994</v>
      </c>
      <c r="H576" s="24">
        <v>34335</v>
      </c>
      <c r="I576" s="23"/>
      <c r="J576" s="23"/>
      <c r="K576" s="26" t="s">
        <v>4520</v>
      </c>
      <c r="L576" s="27"/>
      <c r="M576" s="23"/>
    </row>
    <row r="577" spans="1:13" ht="15.75" customHeight="1">
      <c r="A577" s="22">
        <v>30130603</v>
      </c>
      <c r="B577" s="23" t="s">
        <v>6845</v>
      </c>
      <c r="C577" s="23" t="s">
        <v>6846</v>
      </c>
      <c r="D577" s="23" t="s">
        <v>6847</v>
      </c>
      <c r="E577" s="23" t="s">
        <v>1967</v>
      </c>
      <c r="F577" s="23" t="s">
        <v>5122</v>
      </c>
      <c r="G577" s="22">
        <v>2018</v>
      </c>
      <c r="H577" s="24">
        <v>43334</v>
      </c>
      <c r="I577" s="23"/>
      <c r="J577" s="23"/>
      <c r="K577" s="26" t="s">
        <v>1968</v>
      </c>
      <c r="L577" s="27"/>
      <c r="M577" s="27"/>
    </row>
    <row r="578" spans="1:13" ht="15.75" customHeight="1">
      <c r="A578" s="22">
        <v>17050202</v>
      </c>
      <c r="B578" s="23" t="s">
        <v>6848</v>
      </c>
      <c r="C578" s="23" t="s">
        <v>6149</v>
      </c>
      <c r="D578" s="23" t="s">
        <v>6849</v>
      </c>
      <c r="E578" s="23" t="s">
        <v>177</v>
      </c>
      <c r="F578" s="23" t="s">
        <v>4927</v>
      </c>
      <c r="G578" s="22">
        <v>2006</v>
      </c>
      <c r="H578" s="24">
        <v>39010</v>
      </c>
      <c r="I578" s="23"/>
      <c r="J578" s="23"/>
      <c r="K578" s="26" t="s">
        <v>958</v>
      </c>
      <c r="L578" s="27"/>
      <c r="M578" s="23"/>
    </row>
    <row r="579" spans="1:13" ht="15.75" customHeight="1">
      <c r="A579" s="22">
        <v>24198406</v>
      </c>
      <c r="B579" s="23" t="s">
        <v>6850</v>
      </c>
      <c r="C579" s="23" t="s">
        <v>6851</v>
      </c>
      <c r="D579" s="23" t="s">
        <v>6852</v>
      </c>
      <c r="E579" s="23" t="s">
        <v>4414</v>
      </c>
      <c r="F579" s="23" t="s">
        <v>4891</v>
      </c>
      <c r="G579" s="22">
        <v>2014</v>
      </c>
      <c r="H579" s="24">
        <v>41586</v>
      </c>
      <c r="I579" s="26" t="s">
        <v>6853</v>
      </c>
      <c r="J579" s="27"/>
      <c r="K579" s="26" t="s">
        <v>4415</v>
      </c>
      <c r="L579" s="27"/>
      <c r="M579" s="23"/>
    </row>
    <row r="580" spans="1:13" ht="15.75" customHeight="1">
      <c r="A580" s="22">
        <v>11122137</v>
      </c>
      <c r="B580" s="23" t="s">
        <v>6854</v>
      </c>
      <c r="C580" s="23" t="s">
        <v>6855</v>
      </c>
      <c r="D580" s="23" t="s">
        <v>6856</v>
      </c>
      <c r="E580" s="23" t="s">
        <v>249</v>
      </c>
      <c r="F580" s="23" t="s">
        <v>5211</v>
      </c>
      <c r="G580" s="22">
        <v>2000</v>
      </c>
      <c r="H580" s="24">
        <v>36881</v>
      </c>
      <c r="I580" s="23"/>
      <c r="J580" s="23"/>
      <c r="K580" s="23"/>
      <c r="L580" s="23"/>
      <c r="M580" s="23"/>
    </row>
    <row r="581" spans="1:13" ht="15.75" customHeight="1">
      <c r="A581" s="22">
        <v>29939480</v>
      </c>
      <c r="B581" s="23" t="s">
        <v>6857</v>
      </c>
      <c r="C581" s="23" t="s">
        <v>6858</v>
      </c>
      <c r="D581" s="23" t="s">
        <v>6859</v>
      </c>
      <c r="E581" s="23" t="s">
        <v>1978</v>
      </c>
      <c r="F581" s="23" t="s">
        <v>5726</v>
      </c>
      <c r="G581" s="22">
        <v>2019</v>
      </c>
      <c r="H581" s="24">
        <v>43277</v>
      </c>
      <c r="I581" s="23"/>
      <c r="J581" s="23"/>
      <c r="K581" s="26" t="s">
        <v>1979</v>
      </c>
      <c r="L581" s="27"/>
      <c r="M581" s="23"/>
    </row>
    <row r="582" spans="1:13" ht="15.75" customHeight="1">
      <c r="A582" s="22">
        <v>17148094</v>
      </c>
      <c r="B582" s="23" t="s">
        <v>6860</v>
      </c>
      <c r="C582" s="23" t="s">
        <v>6861</v>
      </c>
      <c r="D582" s="23" t="s">
        <v>6862</v>
      </c>
      <c r="E582" s="23" t="s">
        <v>2815</v>
      </c>
      <c r="F582" s="23" t="s">
        <v>6718</v>
      </c>
      <c r="G582" s="22">
        <v>2006</v>
      </c>
      <c r="H582" s="24">
        <v>39058</v>
      </c>
      <c r="I582" s="23"/>
      <c r="J582" s="23"/>
      <c r="K582" s="26" t="s">
        <v>2816</v>
      </c>
      <c r="L582" s="27"/>
      <c r="M582" s="27"/>
    </row>
    <row r="583" spans="1:13" ht="15.75" customHeight="1">
      <c r="A583" s="22">
        <v>9465670</v>
      </c>
      <c r="B583" s="23" t="s">
        <v>6863</v>
      </c>
      <c r="C583" s="23" t="s">
        <v>6505</v>
      </c>
      <c r="D583" s="23" t="s">
        <v>6864</v>
      </c>
      <c r="E583" s="23" t="s">
        <v>2758</v>
      </c>
      <c r="F583" s="23" t="s">
        <v>5031</v>
      </c>
      <c r="G583" s="22">
        <v>1998</v>
      </c>
      <c r="H583" s="24">
        <v>35844</v>
      </c>
      <c r="I583" s="23"/>
      <c r="J583" s="23"/>
      <c r="K583" s="23"/>
      <c r="L583" s="23"/>
      <c r="M583" s="23"/>
    </row>
    <row r="584" spans="1:13" ht="15.75" customHeight="1">
      <c r="A584" s="22">
        <v>15078955</v>
      </c>
      <c r="B584" s="23" t="s">
        <v>6865</v>
      </c>
      <c r="C584" s="23" t="s">
        <v>6866</v>
      </c>
      <c r="D584" s="23" t="s">
        <v>6867</v>
      </c>
      <c r="E584" s="23" t="s">
        <v>1381</v>
      </c>
      <c r="F584" s="23" t="s">
        <v>4891</v>
      </c>
      <c r="G584" s="22">
        <v>2004</v>
      </c>
      <c r="H584" s="24">
        <v>38091</v>
      </c>
      <c r="I584" s="23" t="s">
        <v>6868</v>
      </c>
      <c r="J584" s="23"/>
      <c r="K584" s="26" t="s">
        <v>1384</v>
      </c>
      <c r="L584" s="27"/>
      <c r="M584" s="27"/>
    </row>
    <row r="585" spans="1:13" ht="15.75" customHeight="1">
      <c r="A585" s="22">
        <v>9460935</v>
      </c>
      <c r="B585" s="23" t="s">
        <v>6869</v>
      </c>
      <c r="C585" s="23" t="s">
        <v>6870</v>
      </c>
      <c r="D585" s="23" t="s">
        <v>6871</v>
      </c>
      <c r="E585" s="23" t="s">
        <v>4579</v>
      </c>
      <c r="F585" s="23" t="s">
        <v>4966</v>
      </c>
      <c r="G585" s="22">
        <v>1998</v>
      </c>
      <c r="H585" s="24">
        <v>35840</v>
      </c>
      <c r="I585" s="23"/>
      <c r="J585" s="23"/>
      <c r="K585" s="26" t="s">
        <v>4582</v>
      </c>
      <c r="L585" s="27"/>
      <c r="M585" s="27"/>
    </row>
    <row r="586" spans="1:13" ht="15.75" customHeight="1">
      <c r="A586" s="22">
        <v>28241767</v>
      </c>
      <c r="B586" s="23" t="s">
        <v>6872</v>
      </c>
      <c r="C586" s="23" t="s">
        <v>6873</v>
      </c>
      <c r="D586" s="23" t="s">
        <v>6874</v>
      </c>
      <c r="E586" s="23" t="s">
        <v>2039</v>
      </c>
      <c r="F586" s="23" t="s">
        <v>4867</v>
      </c>
      <c r="G586" s="22">
        <v>2017</v>
      </c>
      <c r="H586" s="24">
        <v>42795</v>
      </c>
      <c r="I586" s="26" t="s">
        <v>6875</v>
      </c>
      <c r="J586" s="27"/>
      <c r="K586" s="26" t="s">
        <v>2040</v>
      </c>
      <c r="L586" s="27"/>
      <c r="M586" s="27"/>
    </row>
    <row r="587" spans="1:13" ht="15.75" customHeight="1">
      <c r="A587" s="22">
        <v>8824992</v>
      </c>
      <c r="B587" s="23" t="s">
        <v>6876</v>
      </c>
      <c r="C587" s="23" t="s">
        <v>6073</v>
      </c>
      <c r="D587" s="23" t="s">
        <v>6877</v>
      </c>
      <c r="E587" s="23" t="s">
        <v>2724</v>
      </c>
      <c r="F587" s="23" t="s">
        <v>5080</v>
      </c>
      <c r="G587" s="22">
        <v>1996</v>
      </c>
      <c r="H587" s="24">
        <v>35065</v>
      </c>
      <c r="I587" s="23"/>
      <c r="J587" s="23"/>
      <c r="K587" s="26" t="s">
        <v>2733</v>
      </c>
      <c r="L587" s="27"/>
      <c r="M587" s="23"/>
    </row>
    <row r="588" spans="1:13" ht="15.75" customHeight="1">
      <c r="A588" s="22">
        <v>17013421</v>
      </c>
      <c r="B588" s="23" t="s">
        <v>6878</v>
      </c>
      <c r="C588" s="23" t="s">
        <v>6879</v>
      </c>
      <c r="D588" s="23" t="s">
        <v>6880</v>
      </c>
      <c r="E588" s="23" t="s">
        <v>2553</v>
      </c>
      <c r="F588" s="23" t="s">
        <v>4863</v>
      </c>
      <c r="G588" s="22">
        <v>2006</v>
      </c>
      <c r="H588" s="24">
        <v>38993</v>
      </c>
      <c r="I588" s="23"/>
      <c r="J588" s="23"/>
      <c r="K588" s="26" t="s">
        <v>2554</v>
      </c>
      <c r="L588" s="27"/>
      <c r="M588" s="23"/>
    </row>
    <row r="589" spans="1:13" ht="15.75" customHeight="1">
      <c r="A589" s="22">
        <v>11887330</v>
      </c>
      <c r="B589" s="23" t="s">
        <v>6881</v>
      </c>
      <c r="C589" s="23" t="s">
        <v>6882</v>
      </c>
      <c r="D589" s="23" t="s">
        <v>6883</v>
      </c>
      <c r="E589" s="23" t="s">
        <v>2800</v>
      </c>
      <c r="F589" s="23" t="s">
        <v>4954</v>
      </c>
      <c r="G589" s="22">
        <v>2001</v>
      </c>
      <c r="H589" s="24">
        <v>37328</v>
      </c>
      <c r="I589" s="23"/>
      <c r="J589" s="23"/>
      <c r="K589" s="23"/>
      <c r="L589" s="23"/>
      <c r="M589" s="23"/>
    </row>
    <row r="590" spans="1:13" ht="15.75" customHeight="1">
      <c r="A590" s="22">
        <v>9094650</v>
      </c>
      <c r="B590" s="23" t="s">
        <v>6884</v>
      </c>
      <c r="C590" s="23" t="s">
        <v>6885</v>
      </c>
      <c r="D590" s="23" t="s">
        <v>6886</v>
      </c>
      <c r="E590" s="23" t="s">
        <v>2501</v>
      </c>
      <c r="F590" s="23" t="s">
        <v>4891</v>
      </c>
      <c r="G590" s="22">
        <v>1997</v>
      </c>
      <c r="H590" s="24">
        <v>35551</v>
      </c>
      <c r="I590" s="23" t="s">
        <v>6887</v>
      </c>
      <c r="J590" s="23"/>
      <c r="K590" s="26" t="s">
        <v>2502</v>
      </c>
      <c r="L590" s="27"/>
      <c r="M590" s="27"/>
    </row>
    <row r="591" spans="1:13" ht="15.75" customHeight="1">
      <c r="A591" s="22">
        <v>26921738</v>
      </c>
      <c r="B591" s="23" t="s">
        <v>6888</v>
      </c>
      <c r="C591" s="23" t="s">
        <v>6889</v>
      </c>
      <c r="D591" s="23" t="s">
        <v>6890</v>
      </c>
      <c r="E591" s="23" t="s">
        <v>221</v>
      </c>
      <c r="F591" s="23" t="s">
        <v>4896</v>
      </c>
      <c r="G591" s="22">
        <v>2016</v>
      </c>
      <c r="H591" s="24">
        <v>42428</v>
      </c>
      <c r="I591" s="23" t="s">
        <v>6891</v>
      </c>
      <c r="J591" s="23" t="s">
        <v>6892</v>
      </c>
      <c r="K591" s="26" t="s">
        <v>630</v>
      </c>
      <c r="L591" s="27"/>
      <c r="M591" s="27"/>
    </row>
    <row r="592" spans="1:13" ht="15.75" customHeight="1">
      <c r="A592" s="22">
        <v>21808857</v>
      </c>
      <c r="B592" s="23" t="s">
        <v>6893</v>
      </c>
      <c r="C592" s="23" t="s">
        <v>6894</v>
      </c>
      <c r="D592" s="23" t="s">
        <v>6895</v>
      </c>
      <c r="E592" s="23" t="s">
        <v>1722</v>
      </c>
      <c r="F592" s="23" t="s">
        <v>6896</v>
      </c>
      <c r="G592" s="22">
        <v>2011</v>
      </c>
      <c r="H592" s="24">
        <v>40758</v>
      </c>
      <c r="I592" s="26" t="s">
        <v>6897</v>
      </c>
      <c r="J592" s="27"/>
      <c r="K592" s="26" t="s">
        <v>1723</v>
      </c>
      <c r="L592" s="27"/>
      <c r="M592" s="27"/>
    </row>
    <row r="593" spans="1:13" ht="15.75" customHeight="1">
      <c r="A593" s="22">
        <v>10555208</v>
      </c>
      <c r="B593" s="23" t="s">
        <v>6898</v>
      </c>
      <c r="C593" s="23" t="s">
        <v>6899</v>
      </c>
      <c r="D593" s="23" t="s">
        <v>6900</v>
      </c>
      <c r="E593" s="23" t="s">
        <v>3721</v>
      </c>
      <c r="F593" s="23" t="s">
        <v>5103</v>
      </c>
      <c r="G593" s="22">
        <v>1999</v>
      </c>
      <c r="H593" s="24">
        <v>36475</v>
      </c>
      <c r="I593" s="23"/>
      <c r="J593" s="23"/>
      <c r="K593" s="23"/>
      <c r="L593" s="23"/>
      <c r="M593" s="23"/>
    </row>
    <row r="594" spans="1:13" ht="15.75" customHeight="1">
      <c r="A594" s="22">
        <v>18367292</v>
      </c>
      <c r="B594" s="23" t="s">
        <v>6901</v>
      </c>
      <c r="C594" s="23" t="s">
        <v>6902</v>
      </c>
      <c r="D594" s="23" t="s">
        <v>6903</v>
      </c>
      <c r="E594" s="23" t="s">
        <v>692</v>
      </c>
      <c r="F594" s="23" t="s">
        <v>6395</v>
      </c>
      <c r="G594" s="22">
        <v>2008</v>
      </c>
      <c r="H594" s="24">
        <v>39535</v>
      </c>
      <c r="I594" s="23"/>
      <c r="J594" s="23"/>
      <c r="K594" s="26" t="s">
        <v>693</v>
      </c>
      <c r="L594" s="27"/>
      <c r="M594" s="27"/>
    </row>
    <row r="595" spans="1:13" ht="15.75" customHeight="1">
      <c r="A595" s="22">
        <v>28179532</v>
      </c>
      <c r="B595" s="23" t="s">
        <v>6904</v>
      </c>
      <c r="C595" s="23" t="s">
        <v>6905</v>
      </c>
      <c r="D595" s="23" t="s">
        <v>6906</v>
      </c>
      <c r="E595" s="23" t="s">
        <v>3532</v>
      </c>
      <c r="F595" s="23" t="s">
        <v>4891</v>
      </c>
      <c r="G595" s="22">
        <v>2017</v>
      </c>
      <c r="H595" s="24">
        <v>42776</v>
      </c>
      <c r="I595" s="26" t="s">
        <v>6907</v>
      </c>
      <c r="J595" s="27"/>
      <c r="K595" s="26" t="s">
        <v>3533</v>
      </c>
      <c r="L595" s="27"/>
      <c r="M595" s="23"/>
    </row>
    <row r="596" spans="1:13" ht="15.75" customHeight="1">
      <c r="A596" s="22">
        <v>18695666</v>
      </c>
      <c r="B596" s="23" t="s">
        <v>6908</v>
      </c>
      <c r="C596" s="23" t="s">
        <v>6020</v>
      </c>
      <c r="D596" s="23" t="s">
        <v>6909</v>
      </c>
      <c r="E596" s="23" t="s">
        <v>177</v>
      </c>
      <c r="F596" s="23" t="s">
        <v>4863</v>
      </c>
      <c r="G596" s="22">
        <v>2008</v>
      </c>
      <c r="H596" s="24">
        <v>39673</v>
      </c>
      <c r="I596" s="23"/>
      <c r="J596" s="23"/>
      <c r="K596" s="26" t="s">
        <v>956</v>
      </c>
      <c r="L596" s="27"/>
      <c r="M596" s="23"/>
    </row>
    <row r="597" spans="1:13" ht="15.75" customHeight="1">
      <c r="A597" s="22">
        <v>11196603</v>
      </c>
      <c r="B597" s="23" t="s">
        <v>6910</v>
      </c>
      <c r="C597" s="23" t="s">
        <v>6911</v>
      </c>
      <c r="D597" s="23" t="s">
        <v>6912</v>
      </c>
      <c r="E597" s="23" t="s">
        <v>3738</v>
      </c>
      <c r="F597" s="23" t="s">
        <v>6913</v>
      </c>
      <c r="G597" s="22">
        <v>2000</v>
      </c>
      <c r="H597" s="24">
        <v>36946</v>
      </c>
      <c r="I597" s="23"/>
      <c r="J597" s="23"/>
      <c r="K597" s="26" t="s">
        <v>3739</v>
      </c>
      <c r="L597" s="27"/>
      <c r="M597" s="27"/>
    </row>
    <row r="598" spans="1:13" ht="15.75" customHeight="1">
      <c r="A598" s="22">
        <v>1331312</v>
      </c>
      <c r="B598" s="23" t="s">
        <v>6914</v>
      </c>
      <c r="C598" s="23" t="s">
        <v>6915</v>
      </c>
      <c r="D598" s="23" t="s">
        <v>6916</v>
      </c>
      <c r="E598" s="23" t="s">
        <v>195</v>
      </c>
      <c r="F598" s="23" t="s">
        <v>4923</v>
      </c>
      <c r="G598" s="22">
        <v>1992</v>
      </c>
      <c r="H598" s="24">
        <v>33786</v>
      </c>
      <c r="I598" s="23"/>
      <c r="J598" s="23"/>
      <c r="K598" s="26" t="s">
        <v>4648</v>
      </c>
      <c r="L598" s="27"/>
      <c r="M598" s="23"/>
    </row>
    <row r="599" spans="1:13" ht="15.75" customHeight="1">
      <c r="A599" s="22">
        <v>8525536</v>
      </c>
      <c r="B599" s="23" t="s">
        <v>6917</v>
      </c>
      <c r="C599" s="23" t="s">
        <v>6918</v>
      </c>
      <c r="D599" s="23" t="s">
        <v>6919</v>
      </c>
      <c r="E599" s="23" t="s">
        <v>4017</v>
      </c>
      <c r="F599" s="23" t="s">
        <v>5445</v>
      </c>
      <c r="G599" s="22">
        <v>1995</v>
      </c>
      <c r="H599" s="24">
        <v>35048</v>
      </c>
      <c r="I599" s="23"/>
      <c r="J599" s="23"/>
      <c r="K599" s="23"/>
      <c r="L599" s="23"/>
      <c r="M599" s="23"/>
    </row>
    <row r="600" spans="1:13" ht="15.75" customHeight="1">
      <c r="A600" s="22">
        <v>17921853</v>
      </c>
      <c r="B600" s="23" t="s">
        <v>6920</v>
      </c>
      <c r="C600" s="23" t="s">
        <v>6921</v>
      </c>
      <c r="D600" s="23" t="s">
        <v>6922</v>
      </c>
      <c r="E600" s="23" t="s">
        <v>4133</v>
      </c>
      <c r="F600" s="23" t="s">
        <v>5757</v>
      </c>
      <c r="G600" s="22">
        <v>2007</v>
      </c>
      <c r="H600" s="24">
        <v>39364</v>
      </c>
      <c r="I600" s="23"/>
      <c r="J600" s="23"/>
      <c r="K600" s="26" t="s">
        <v>4134</v>
      </c>
      <c r="L600" s="27"/>
      <c r="M600" s="27"/>
    </row>
    <row r="601" spans="1:13" ht="15.75" customHeight="1">
      <c r="A601" s="22">
        <v>15129646</v>
      </c>
      <c r="B601" s="23" t="s">
        <v>6923</v>
      </c>
      <c r="C601" s="23" t="s">
        <v>6924</v>
      </c>
      <c r="D601" s="23" t="s">
        <v>6925</v>
      </c>
      <c r="E601" s="23" t="s">
        <v>2126</v>
      </c>
      <c r="F601" s="23" t="s">
        <v>6926</v>
      </c>
      <c r="G601" s="22">
        <v>2003</v>
      </c>
      <c r="H601" s="24">
        <v>38115</v>
      </c>
      <c r="I601" s="23"/>
      <c r="J601" s="23"/>
      <c r="K601" s="23"/>
      <c r="L601" s="23"/>
      <c r="M601" s="23"/>
    </row>
    <row r="602" spans="1:13" ht="15.75" customHeight="1">
      <c r="A602" s="22">
        <v>10489348</v>
      </c>
      <c r="B602" s="23" t="s">
        <v>6927</v>
      </c>
      <c r="C602" s="23" t="s">
        <v>6928</v>
      </c>
      <c r="D602" s="23" t="s">
        <v>6929</v>
      </c>
      <c r="E602" s="23" t="s">
        <v>2091</v>
      </c>
      <c r="F602" s="23" t="s">
        <v>4950</v>
      </c>
      <c r="G602" s="22">
        <v>1999</v>
      </c>
      <c r="H602" s="24">
        <v>36421</v>
      </c>
      <c r="I602" s="23"/>
      <c r="J602" s="23"/>
      <c r="K602" s="26" t="s">
        <v>2092</v>
      </c>
      <c r="L602" s="27"/>
      <c r="M602" s="23"/>
    </row>
    <row r="603" spans="1:13" ht="15.75" customHeight="1">
      <c r="A603" s="22">
        <v>17366067</v>
      </c>
      <c r="B603" s="23" t="s">
        <v>6930</v>
      </c>
      <c r="C603" s="23" t="s">
        <v>6931</v>
      </c>
      <c r="D603" s="23" t="s">
        <v>6932</v>
      </c>
      <c r="E603" s="23" t="s">
        <v>754</v>
      </c>
      <c r="F603" s="23" t="s">
        <v>6718</v>
      </c>
      <c r="G603" s="22">
        <v>2007</v>
      </c>
      <c r="H603" s="24">
        <v>39158</v>
      </c>
      <c r="I603" s="23"/>
      <c r="J603" s="23"/>
      <c r="K603" s="26" t="s">
        <v>3273</v>
      </c>
      <c r="L603" s="27"/>
      <c r="M603" s="27"/>
    </row>
    <row r="604" spans="1:13" ht="15.75" customHeight="1">
      <c r="A604" s="22">
        <v>21604575</v>
      </c>
      <c r="B604" s="23" t="s">
        <v>6933</v>
      </c>
      <c r="C604" s="23" t="s">
        <v>6934</v>
      </c>
      <c r="D604" s="23" t="s">
        <v>6935</v>
      </c>
      <c r="E604" s="23" t="s">
        <v>3065</v>
      </c>
      <c r="F604" s="23" t="s">
        <v>6496</v>
      </c>
      <c r="G604" s="22">
        <v>2010</v>
      </c>
      <c r="H604" s="24">
        <v>40688</v>
      </c>
      <c r="I604" s="23"/>
      <c r="J604" s="23"/>
      <c r="K604" s="23"/>
      <c r="L604" s="23"/>
      <c r="M604" s="23"/>
    </row>
    <row r="605" spans="1:13" ht="15.75" customHeight="1">
      <c r="A605" s="22">
        <v>11168749</v>
      </c>
      <c r="B605" s="23" t="s">
        <v>6936</v>
      </c>
      <c r="C605" s="23" t="s">
        <v>6937</v>
      </c>
      <c r="D605" s="23" t="s">
        <v>6938</v>
      </c>
      <c r="E605" s="23" t="s">
        <v>2671</v>
      </c>
      <c r="F605" s="23" t="s">
        <v>6939</v>
      </c>
      <c r="G605" s="22">
        <v>2001</v>
      </c>
      <c r="H605" s="24">
        <v>36935</v>
      </c>
      <c r="I605" s="23"/>
      <c r="J605" s="23"/>
      <c r="K605" s="26" t="s">
        <v>2672</v>
      </c>
      <c r="L605" s="27"/>
      <c r="M605" s="27"/>
    </row>
    <row r="606" spans="1:13" ht="15.75" customHeight="1">
      <c r="A606" s="22">
        <v>23723198</v>
      </c>
      <c r="B606" s="23" t="s">
        <v>6940</v>
      </c>
      <c r="C606" s="23" t="s">
        <v>6941</v>
      </c>
      <c r="D606" s="23" t="s">
        <v>6942</v>
      </c>
      <c r="E606" s="23" t="s">
        <v>151</v>
      </c>
      <c r="F606" s="23" t="s">
        <v>5080</v>
      </c>
      <c r="G606" s="22">
        <v>2013</v>
      </c>
      <c r="H606" s="24">
        <v>41426</v>
      </c>
      <c r="I606" s="23"/>
      <c r="J606" s="23"/>
      <c r="K606" s="26" t="s">
        <v>796</v>
      </c>
      <c r="L606" s="27"/>
      <c r="M606" s="23"/>
    </row>
    <row r="607" spans="1:13" ht="15.75" customHeight="1">
      <c r="A607" s="22">
        <v>29985560</v>
      </c>
      <c r="B607" s="23" t="s">
        <v>6943</v>
      </c>
      <c r="C607" s="23" t="s">
        <v>6944</v>
      </c>
      <c r="D607" s="23" t="s">
        <v>6945</v>
      </c>
      <c r="E607" s="23" t="s">
        <v>1372</v>
      </c>
      <c r="F607" s="23" t="s">
        <v>5726</v>
      </c>
      <c r="G607" s="22">
        <v>2019</v>
      </c>
      <c r="H607" s="24">
        <v>43291</v>
      </c>
      <c r="I607" s="23"/>
      <c r="J607" s="23"/>
      <c r="K607" s="26" t="s">
        <v>1377</v>
      </c>
      <c r="L607" s="27"/>
      <c r="M607" s="23"/>
    </row>
    <row r="608" spans="1:13" ht="15.75" customHeight="1">
      <c r="A608" s="22">
        <v>33326670</v>
      </c>
      <c r="B608" s="23" t="s">
        <v>6946</v>
      </c>
      <c r="C608" s="23" t="s">
        <v>6947</v>
      </c>
      <c r="D608" s="23" t="s">
        <v>6948</v>
      </c>
      <c r="E608" s="23" t="s">
        <v>131</v>
      </c>
      <c r="F608" s="23" t="s">
        <v>4974</v>
      </c>
      <c r="G608" s="22">
        <v>2021</v>
      </c>
      <c r="H608" s="24">
        <v>44181</v>
      </c>
      <c r="I608" s="23"/>
      <c r="J608" s="23"/>
      <c r="K608" s="26" t="s">
        <v>346</v>
      </c>
      <c r="L608" s="27"/>
      <c r="M608" s="23"/>
    </row>
    <row r="609" spans="1:13" ht="15.75" customHeight="1">
      <c r="A609" s="22">
        <v>18564986</v>
      </c>
      <c r="B609" s="23" t="s">
        <v>6949</v>
      </c>
      <c r="C609" s="23" t="s">
        <v>6950</v>
      </c>
      <c r="D609" s="23" t="s">
        <v>6951</v>
      </c>
      <c r="E609" s="23" t="s">
        <v>2339</v>
      </c>
      <c r="F609" s="23" t="s">
        <v>4900</v>
      </c>
      <c r="G609" s="22">
        <v>2008</v>
      </c>
      <c r="H609" s="24">
        <v>39620</v>
      </c>
      <c r="I609" s="23"/>
      <c r="J609" s="23"/>
      <c r="K609" s="26" t="s">
        <v>2340</v>
      </c>
      <c r="L609" s="27"/>
      <c r="M609" s="27"/>
    </row>
    <row r="610" spans="1:13" ht="15.75" customHeight="1">
      <c r="A610" s="22">
        <v>7911490</v>
      </c>
      <c r="B610" s="23" t="s">
        <v>6952</v>
      </c>
      <c r="C610" s="23" t="s">
        <v>6953</v>
      </c>
      <c r="D610" s="23" t="s">
        <v>6954</v>
      </c>
      <c r="E610" s="23" t="s">
        <v>2117</v>
      </c>
      <c r="F610" s="23" t="s">
        <v>6293</v>
      </c>
      <c r="G610" s="22">
        <v>1994</v>
      </c>
      <c r="H610" s="24">
        <v>34500</v>
      </c>
      <c r="I610" s="23"/>
      <c r="J610" s="23"/>
      <c r="K610" s="23"/>
      <c r="L610" s="23"/>
      <c r="M610" s="23"/>
    </row>
    <row r="611" spans="1:13" ht="15.75" customHeight="1">
      <c r="A611" s="22">
        <v>29390152</v>
      </c>
      <c r="B611" s="23" t="s">
        <v>6955</v>
      </c>
      <c r="C611" s="23" t="s">
        <v>6956</v>
      </c>
      <c r="D611" s="23" t="s">
        <v>6957</v>
      </c>
      <c r="E611" s="23" t="s">
        <v>4151</v>
      </c>
      <c r="F611" s="23" t="s">
        <v>6958</v>
      </c>
      <c r="G611" s="22">
        <v>2018</v>
      </c>
      <c r="H611" s="24">
        <v>43133</v>
      </c>
      <c r="I611" s="23"/>
      <c r="J611" s="23"/>
      <c r="K611" s="26" t="s">
        <v>4152</v>
      </c>
      <c r="L611" s="27"/>
      <c r="M611" s="23"/>
    </row>
    <row r="612" spans="1:13" ht="15.75" customHeight="1">
      <c r="A612" s="22">
        <v>26525035</v>
      </c>
      <c r="B612" s="23" t="s">
        <v>6959</v>
      </c>
      <c r="C612" s="23" t="s">
        <v>6960</v>
      </c>
      <c r="D612" s="23" t="s">
        <v>6961</v>
      </c>
      <c r="E612" s="23" t="s">
        <v>2376</v>
      </c>
      <c r="F612" s="23" t="s">
        <v>5211</v>
      </c>
      <c r="G612" s="22">
        <v>2016</v>
      </c>
      <c r="H612" s="24">
        <v>42312</v>
      </c>
      <c r="I612" s="23"/>
      <c r="J612" s="23"/>
      <c r="K612" s="26" t="s">
        <v>2377</v>
      </c>
      <c r="L612" s="27"/>
      <c r="M612" s="23"/>
    </row>
    <row r="613" spans="1:13" ht="15.75" customHeight="1">
      <c r="A613" s="22">
        <v>32782352</v>
      </c>
      <c r="B613" s="23" t="s">
        <v>6962</v>
      </c>
      <c r="C613" s="23" t="s">
        <v>6963</v>
      </c>
      <c r="D613" s="23" t="s">
        <v>6964</v>
      </c>
      <c r="E613" s="23" t="s">
        <v>237</v>
      </c>
      <c r="F613" s="23" t="s">
        <v>4863</v>
      </c>
      <c r="G613" s="22">
        <v>2021</v>
      </c>
      <c r="H613" s="24">
        <v>44056</v>
      </c>
      <c r="I613" s="23"/>
      <c r="J613" s="23"/>
      <c r="K613" s="26" t="s">
        <v>373</v>
      </c>
      <c r="L613" s="27"/>
      <c r="M613" s="27"/>
    </row>
    <row r="614" spans="1:13" ht="15.75" customHeight="1">
      <c r="A614" s="22">
        <v>19522223</v>
      </c>
      <c r="B614" s="23" t="s">
        <v>6965</v>
      </c>
      <c r="C614" s="23" t="s">
        <v>6966</v>
      </c>
      <c r="D614" s="23" t="s">
        <v>6967</v>
      </c>
      <c r="E614" s="23" t="s">
        <v>567</v>
      </c>
      <c r="F614" s="23" t="s">
        <v>6968</v>
      </c>
      <c r="G614" s="22">
        <v>2009</v>
      </c>
      <c r="H614" s="24">
        <v>39980</v>
      </c>
      <c r="I614" s="23"/>
      <c r="J614" s="23"/>
      <c r="K614" s="23"/>
      <c r="L614" s="23"/>
      <c r="M614" s="23"/>
    </row>
    <row r="615" spans="1:13" ht="15.75" customHeight="1">
      <c r="A615" s="22">
        <v>2178187</v>
      </c>
      <c r="B615" s="23" t="s">
        <v>6969</v>
      </c>
      <c r="C615" s="23" t="s">
        <v>6970</v>
      </c>
      <c r="D615" s="23" t="s">
        <v>6971</v>
      </c>
      <c r="E615" s="23" t="s">
        <v>3020</v>
      </c>
      <c r="F615" s="23" t="s">
        <v>6972</v>
      </c>
      <c r="G615" s="22">
        <v>1990</v>
      </c>
      <c r="H615" s="24">
        <v>32874</v>
      </c>
      <c r="I615" s="23"/>
      <c r="J615" s="23"/>
      <c r="K615" s="26" t="s">
        <v>3023</v>
      </c>
      <c r="L615" s="27"/>
      <c r="M615" s="23"/>
    </row>
    <row r="616" spans="1:13" ht="15.75" customHeight="1">
      <c r="A616" s="22">
        <v>17376882</v>
      </c>
      <c r="B616" s="23" t="s">
        <v>6973</v>
      </c>
      <c r="C616" s="23" t="s">
        <v>6974</v>
      </c>
      <c r="D616" s="23" t="s">
        <v>6975</v>
      </c>
      <c r="E616" s="23" t="s">
        <v>4383</v>
      </c>
      <c r="F616" s="23" t="s">
        <v>5331</v>
      </c>
      <c r="G616" s="22">
        <v>2007</v>
      </c>
      <c r="H616" s="24">
        <v>39164</v>
      </c>
      <c r="I616" s="26" t="s">
        <v>6976</v>
      </c>
      <c r="J616" s="27"/>
      <c r="K616" s="26" t="s">
        <v>4384</v>
      </c>
      <c r="L616" s="27"/>
      <c r="M616" s="23"/>
    </row>
    <row r="617" spans="1:13" ht="15.75" customHeight="1">
      <c r="A617" s="22">
        <v>20714035</v>
      </c>
      <c r="B617" s="23" t="s">
        <v>6977</v>
      </c>
      <c r="C617" s="23" t="s">
        <v>6689</v>
      </c>
      <c r="D617" s="23" t="s">
        <v>6978</v>
      </c>
      <c r="E617" s="23" t="s">
        <v>195</v>
      </c>
      <c r="F617" s="23" t="s">
        <v>4970</v>
      </c>
      <c r="G617" s="22">
        <v>2010</v>
      </c>
      <c r="H617" s="24">
        <v>40408</v>
      </c>
      <c r="I617" s="23"/>
      <c r="J617" s="23"/>
      <c r="K617" s="23"/>
      <c r="L617" s="23"/>
      <c r="M617" s="23"/>
    </row>
    <row r="618" spans="1:13" ht="15.75" customHeight="1">
      <c r="A618" s="22">
        <v>16647570</v>
      </c>
      <c r="B618" s="23" t="s">
        <v>6979</v>
      </c>
      <c r="C618" s="23" t="s">
        <v>6980</v>
      </c>
      <c r="D618" s="23" t="s">
        <v>6981</v>
      </c>
      <c r="E618" s="23" t="s">
        <v>3376</v>
      </c>
      <c r="F618" s="23" t="s">
        <v>6982</v>
      </c>
      <c r="G618" s="22">
        <v>2006</v>
      </c>
      <c r="H618" s="24">
        <v>38839</v>
      </c>
      <c r="I618" s="23"/>
      <c r="J618" s="23"/>
      <c r="K618" s="26" t="s">
        <v>3377</v>
      </c>
      <c r="L618" s="27"/>
      <c r="M618" s="27"/>
    </row>
    <row r="619" spans="1:13" ht="15.75" customHeight="1">
      <c r="A619" s="22">
        <v>18094951</v>
      </c>
      <c r="B619" s="23" t="s">
        <v>6983</v>
      </c>
      <c r="C619" s="23" t="s">
        <v>6984</v>
      </c>
      <c r="D619" s="23" t="s">
        <v>6985</v>
      </c>
      <c r="E619" s="23" t="s">
        <v>3989</v>
      </c>
      <c r="F619" s="23" t="s">
        <v>6986</v>
      </c>
      <c r="G619" s="22">
        <v>2007</v>
      </c>
      <c r="H619" s="24">
        <v>39437</v>
      </c>
      <c r="I619" s="23"/>
      <c r="J619" s="23"/>
      <c r="K619" s="26" t="s">
        <v>3992</v>
      </c>
      <c r="L619" s="27"/>
      <c r="M619" s="27"/>
    </row>
    <row r="620" spans="1:13" ht="15.75" customHeight="1">
      <c r="A620" s="22">
        <v>28902954</v>
      </c>
      <c r="B620" s="23" t="s">
        <v>6987</v>
      </c>
      <c r="C620" s="23" t="s">
        <v>6988</v>
      </c>
      <c r="D620" s="23" t="s">
        <v>6989</v>
      </c>
      <c r="E620" s="23" t="s">
        <v>3225</v>
      </c>
      <c r="F620" s="23" t="s">
        <v>6990</v>
      </c>
      <c r="G620" s="22">
        <v>2018</v>
      </c>
      <c r="H620" s="24">
        <v>42992</v>
      </c>
      <c r="I620" s="23"/>
      <c r="J620" s="23"/>
      <c r="K620" s="26" t="s">
        <v>3226</v>
      </c>
      <c r="L620" s="27"/>
      <c r="M620" s="23"/>
    </row>
    <row r="621" spans="1:13" ht="15.75" customHeight="1">
      <c r="A621" s="22">
        <v>17276374</v>
      </c>
      <c r="B621" s="23" t="s">
        <v>6991</v>
      </c>
      <c r="C621" s="23" t="s">
        <v>6992</v>
      </c>
      <c r="D621" s="23" t="s">
        <v>6993</v>
      </c>
      <c r="E621" s="23" t="s">
        <v>3001</v>
      </c>
      <c r="F621" s="23" t="s">
        <v>4896</v>
      </c>
      <c r="G621" s="22">
        <v>2006</v>
      </c>
      <c r="H621" s="24">
        <v>39119</v>
      </c>
      <c r="I621" s="23"/>
      <c r="J621" s="23"/>
      <c r="K621" s="26" t="s">
        <v>3004</v>
      </c>
      <c r="L621" s="27"/>
      <c r="M621" s="27"/>
    </row>
    <row r="622" spans="1:13" ht="15.75" customHeight="1">
      <c r="A622" s="22">
        <v>22357271</v>
      </c>
      <c r="B622" s="23" t="s">
        <v>6994</v>
      </c>
      <c r="C622" s="23" t="s">
        <v>6995</v>
      </c>
      <c r="D622" s="23" t="s">
        <v>6996</v>
      </c>
      <c r="E622" s="23" t="s">
        <v>3356</v>
      </c>
      <c r="F622" s="23" t="s">
        <v>4891</v>
      </c>
      <c r="G622" s="22">
        <v>2012</v>
      </c>
      <c r="H622" s="24">
        <v>40963</v>
      </c>
      <c r="I622" s="26" t="s">
        <v>6997</v>
      </c>
      <c r="J622" s="27"/>
      <c r="K622" s="26" t="s">
        <v>3357</v>
      </c>
      <c r="L622" s="27"/>
      <c r="M622" s="23"/>
    </row>
    <row r="623" spans="1:13" ht="15.75" customHeight="1">
      <c r="A623" s="22">
        <v>19107978</v>
      </c>
      <c r="B623" s="23" t="s">
        <v>6998</v>
      </c>
      <c r="C623" s="23" t="s">
        <v>6999</v>
      </c>
      <c r="D623" s="23" t="s">
        <v>7000</v>
      </c>
      <c r="E623" s="23" t="s">
        <v>2437</v>
      </c>
      <c r="F623" s="23" t="s">
        <v>4923</v>
      </c>
      <c r="G623" s="22">
        <v>2009</v>
      </c>
      <c r="H623" s="24">
        <v>39807</v>
      </c>
      <c r="I623" s="23"/>
      <c r="J623" s="23"/>
      <c r="K623" s="26" t="s">
        <v>2442</v>
      </c>
      <c r="L623" s="27"/>
      <c r="M623" s="23"/>
    </row>
    <row r="624" spans="1:13" ht="15.75" customHeight="1">
      <c r="A624" s="22">
        <v>8699160</v>
      </c>
      <c r="B624" s="23" t="s">
        <v>7001</v>
      </c>
      <c r="C624" s="23" t="s">
        <v>7002</v>
      </c>
      <c r="D624" s="23" t="s">
        <v>7003</v>
      </c>
      <c r="E624" s="23" t="s">
        <v>3487</v>
      </c>
      <c r="F624" s="23" t="s">
        <v>4923</v>
      </c>
      <c r="G624" s="22">
        <v>1996</v>
      </c>
      <c r="H624" s="24">
        <v>35156</v>
      </c>
      <c r="I624" s="23"/>
      <c r="J624" s="23"/>
      <c r="K624" s="26" t="s">
        <v>3488</v>
      </c>
      <c r="L624" s="27"/>
      <c r="M624" s="27"/>
    </row>
    <row r="625" spans="1:13" ht="15.75" customHeight="1">
      <c r="A625" s="22">
        <v>11715608</v>
      </c>
      <c r="B625" s="23" t="s">
        <v>7004</v>
      </c>
      <c r="C625" s="23" t="s">
        <v>7005</v>
      </c>
      <c r="D625" s="23" t="s">
        <v>7006</v>
      </c>
      <c r="E625" s="23" t="s">
        <v>596</v>
      </c>
      <c r="F625" s="23" t="s">
        <v>7007</v>
      </c>
      <c r="G625" s="22">
        <v>2001</v>
      </c>
      <c r="H625" s="24">
        <v>37217</v>
      </c>
      <c r="I625" s="23"/>
      <c r="J625" s="23"/>
      <c r="K625" s="23"/>
      <c r="L625" s="23"/>
      <c r="M625" s="23"/>
    </row>
    <row r="626" spans="1:13" ht="15.75" customHeight="1">
      <c r="A626" s="22">
        <v>10030285</v>
      </c>
      <c r="B626" s="23" t="s">
        <v>7008</v>
      </c>
      <c r="C626" s="23" t="s">
        <v>7009</v>
      </c>
      <c r="D626" s="23" t="s">
        <v>7010</v>
      </c>
      <c r="E626" s="23" t="s">
        <v>1879</v>
      </c>
      <c r="F626" s="23" t="s">
        <v>5445</v>
      </c>
      <c r="G626" s="22">
        <v>1999</v>
      </c>
      <c r="H626" s="24">
        <v>36216</v>
      </c>
      <c r="I626" s="23"/>
      <c r="J626" s="23"/>
      <c r="K626" s="26" t="s">
        <v>1886</v>
      </c>
      <c r="L626" s="27"/>
      <c r="M626" s="27"/>
    </row>
    <row r="627" spans="1:13" ht="15.75" customHeight="1">
      <c r="A627" s="22">
        <v>11889438</v>
      </c>
      <c r="B627" s="23" t="s">
        <v>7011</v>
      </c>
      <c r="C627" s="23" t="s">
        <v>7012</v>
      </c>
      <c r="D627" s="23" t="s">
        <v>7013</v>
      </c>
      <c r="E627" s="23" t="s">
        <v>651</v>
      </c>
      <c r="F627" s="23" t="s">
        <v>5445</v>
      </c>
      <c r="G627" s="22">
        <v>2002</v>
      </c>
      <c r="H627" s="24">
        <v>37328</v>
      </c>
      <c r="I627" s="23"/>
      <c r="J627" s="23"/>
      <c r="K627" s="26" t="s">
        <v>2452</v>
      </c>
      <c r="L627" s="27"/>
      <c r="M627" s="27"/>
    </row>
    <row r="628" spans="1:13" ht="15.75" customHeight="1">
      <c r="A628" s="22">
        <v>23955460</v>
      </c>
      <c r="B628" s="23" t="s">
        <v>7014</v>
      </c>
      <c r="C628" s="23" t="s">
        <v>7015</v>
      </c>
      <c r="D628" s="23" t="s">
        <v>7016</v>
      </c>
      <c r="E628" s="23" t="s">
        <v>1466</v>
      </c>
      <c r="F628" s="23" t="s">
        <v>7017</v>
      </c>
      <c r="G628" s="22">
        <v>2013</v>
      </c>
      <c r="H628" s="24">
        <v>41506</v>
      </c>
      <c r="I628" s="23"/>
      <c r="J628" s="23"/>
      <c r="K628" s="26" t="s">
        <v>1467</v>
      </c>
      <c r="L628" s="27"/>
      <c r="M628" s="27"/>
    </row>
    <row r="629" spans="1:13" ht="15.75" customHeight="1">
      <c r="A629" s="22">
        <v>23088724</v>
      </c>
      <c r="B629" s="23" t="s">
        <v>7018</v>
      </c>
      <c r="C629" s="23" t="s">
        <v>7019</v>
      </c>
      <c r="D629" s="23" t="s">
        <v>7020</v>
      </c>
      <c r="E629" s="23" t="s">
        <v>3606</v>
      </c>
      <c r="F629" s="23" t="s">
        <v>5099</v>
      </c>
      <c r="G629" s="22">
        <v>2013</v>
      </c>
      <c r="H629" s="24">
        <v>41206</v>
      </c>
      <c r="I629" s="23"/>
      <c r="J629" s="23"/>
      <c r="K629" s="26" t="s">
        <v>3607</v>
      </c>
      <c r="L629" s="27"/>
      <c r="M629" s="27"/>
    </row>
    <row r="630" spans="1:13" ht="15.75" customHeight="1">
      <c r="A630" s="22">
        <v>26146808</v>
      </c>
      <c r="B630" s="23" t="s">
        <v>7021</v>
      </c>
      <c r="C630" s="23" t="s">
        <v>7022</v>
      </c>
      <c r="D630" s="23" t="s">
        <v>7023</v>
      </c>
      <c r="E630" s="23" t="s">
        <v>1496</v>
      </c>
      <c r="F630" s="23" t="s">
        <v>4863</v>
      </c>
      <c r="G630" s="22">
        <v>2015</v>
      </c>
      <c r="H630" s="24">
        <v>42192</v>
      </c>
      <c r="I630" s="23"/>
      <c r="J630" s="23"/>
      <c r="K630" s="26" t="s">
        <v>1497</v>
      </c>
      <c r="L630" s="27"/>
      <c r="M630" s="23"/>
    </row>
    <row r="631" spans="1:13" ht="15.75" customHeight="1">
      <c r="A631" s="22">
        <v>12134252</v>
      </c>
      <c r="B631" s="23" t="s">
        <v>7024</v>
      </c>
      <c r="C631" s="23" t="s">
        <v>7025</v>
      </c>
      <c r="D631" s="23" t="s">
        <v>7026</v>
      </c>
      <c r="E631" s="23" t="s">
        <v>3194</v>
      </c>
      <c r="F631" s="23" t="s">
        <v>4992</v>
      </c>
      <c r="G631" s="22">
        <v>2002</v>
      </c>
      <c r="H631" s="24">
        <v>37460</v>
      </c>
      <c r="I631" s="23"/>
      <c r="J631" s="23"/>
      <c r="K631" s="26" t="s">
        <v>3195</v>
      </c>
      <c r="L631" s="27"/>
      <c r="M631" s="23"/>
    </row>
    <row r="632" spans="1:13" ht="15.75" customHeight="1">
      <c r="A632" s="22">
        <v>31852793</v>
      </c>
      <c r="B632" s="23" t="s">
        <v>7027</v>
      </c>
      <c r="C632" s="23" t="s">
        <v>7028</v>
      </c>
      <c r="D632" s="23" t="s">
        <v>7029</v>
      </c>
      <c r="E632" s="23" t="s">
        <v>4407</v>
      </c>
      <c r="F632" s="23" t="s">
        <v>4891</v>
      </c>
      <c r="G632" s="22">
        <v>2020</v>
      </c>
      <c r="H632" s="24">
        <v>43819</v>
      </c>
      <c r="I632" s="26" t="s">
        <v>7030</v>
      </c>
      <c r="J632" s="27"/>
      <c r="K632" s="26" t="s">
        <v>4410</v>
      </c>
      <c r="L632" s="27"/>
      <c r="M632" s="23"/>
    </row>
    <row r="633" spans="1:13" ht="15.75" customHeight="1">
      <c r="A633" s="22">
        <v>7832888</v>
      </c>
      <c r="B633" s="23" t="s">
        <v>7031</v>
      </c>
      <c r="C633" s="23" t="s">
        <v>7032</v>
      </c>
      <c r="D633" s="23" t="s">
        <v>7033</v>
      </c>
      <c r="E633" s="23" t="s">
        <v>461</v>
      </c>
      <c r="F633" s="23" t="s">
        <v>6147</v>
      </c>
      <c r="G633" s="22">
        <v>1994</v>
      </c>
      <c r="H633" s="24">
        <v>34650</v>
      </c>
      <c r="I633" s="23"/>
      <c r="J633" s="23"/>
      <c r="K633" s="26" t="s">
        <v>1191</v>
      </c>
      <c r="L633" s="27"/>
      <c r="M633" s="27"/>
    </row>
    <row r="634" spans="1:13" ht="15.75" customHeight="1">
      <c r="A634" s="22">
        <v>33443593</v>
      </c>
      <c r="B634" s="23" t="s">
        <v>7034</v>
      </c>
      <c r="C634" s="23" t="s">
        <v>7035</v>
      </c>
      <c r="D634" s="23" t="s">
        <v>7036</v>
      </c>
      <c r="E634" s="23" t="s">
        <v>4371</v>
      </c>
      <c r="F634" s="23" t="s">
        <v>5319</v>
      </c>
      <c r="G634" s="22">
        <v>2021</v>
      </c>
      <c r="H634" s="24">
        <v>44210</v>
      </c>
      <c r="I634" s="26" t="s">
        <v>7037</v>
      </c>
      <c r="J634" s="27"/>
      <c r="K634" s="26" t="s">
        <v>4372</v>
      </c>
      <c r="L634" s="27"/>
      <c r="M634" s="27"/>
    </row>
    <row r="635" spans="1:13" ht="15.75" customHeight="1">
      <c r="A635" s="22">
        <v>10223548</v>
      </c>
      <c r="B635" s="23" t="s">
        <v>7038</v>
      </c>
      <c r="C635" s="23" t="s">
        <v>7039</v>
      </c>
      <c r="D635" s="23" t="s">
        <v>7040</v>
      </c>
      <c r="E635" s="23" t="s">
        <v>2476</v>
      </c>
      <c r="F635" s="23" t="s">
        <v>4923</v>
      </c>
      <c r="G635" s="22">
        <v>1999</v>
      </c>
      <c r="H635" s="24">
        <v>36281</v>
      </c>
      <c r="I635" s="23"/>
      <c r="J635" s="23"/>
      <c r="K635" s="26" t="s">
        <v>2477</v>
      </c>
      <c r="L635" s="27"/>
      <c r="M635" s="27"/>
    </row>
    <row r="636" spans="1:13" ht="15.75" customHeight="1">
      <c r="A636" s="22">
        <v>16247430</v>
      </c>
      <c r="B636" s="23" t="s">
        <v>7041</v>
      </c>
      <c r="C636" s="23" t="s">
        <v>7042</v>
      </c>
      <c r="D636" s="23" t="s">
        <v>7043</v>
      </c>
      <c r="E636" s="23" t="s">
        <v>924</v>
      </c>
      <c r="F636" s="23" t="s">
        <v>4863</v>
      </c>
      <c r="G636" s="22">
        <v>2005</v>
      </c>
      <c r="H636" s="24">
        <v>38651</v>
      </c>
      <c r="I636" s="23"/>
      <c r="J636" s="23"/>
      <c r="K636" s="26" t="s">
        <v>4275</v>
      </c>
      <c r="L636" s="27"/>
      <c r="M636" s="23"/>
    </row>
    <row r="637" spans="1:13" ht="15.75" customHeight="1">
      <c r="A637" s="22">
        <v>23173742</v>
      </c>
      <c r="B637" s="23" t="s">
        <v>7044</v>
      </c>
      <c r="C637" s="23" t="s">
        <v>7045</v>
      </c>
      <c r="D637" s="23" t="s">
        <v>7046</v>
      </c>
      <c r="E637" s="23" t="s">
        <v>2649</v>
      </c>
      <c r="F637" s="23" t="s">
        <v>4974</v>
      </c>
      <c r="G637" s="22">
        <v>2013</v>
      </c>
      <c r="H637" s="24">
        <v>41237</v>
      </c>
      <c r="I637" s="23"/>
      <c r="J637" s="23"/>
      <c r="K637" s="26" t="s">
        <v>2650</v>
      </c>
      <c r="L637" s="27"/>
      <c r="M637" s="23"/>
    </row>
    <row r="638" spans="1:13" ht="15.75" customHeight="1">
      <c r="A638" s="22">
        <v>24330091</v>
      </c>
      <c r="B638" s="23" t="s">
        <v>7047</v>
      </c>
      <c r="C638" s="23" t="s">
        <v>7048</v>
      </c>
      <c r="D638" s="23" t="s">
        <v>7049</v>
      </c>
      <c r="E638" s="23" t="s">
        <v>4079</v>
      </c>
      <c r="F638" s="23" t="s">
        <v>5543</v>
      </c>
      <c r="G638" s="22">
        <v>2014</v>
      </c>
      <c r="H638" s="24">
        <v>41625</v>
      </c>
      <c r="I638" s="23"/>
      <c r="J638" s="23"/>
      <c r="K638" s="26" t="s">
        <v>4080</v>
      </c>
      <c r="L638" s="27"/>
      <c r="M638" s="23"/>
    </row>
    <row r="639" spans="1:13" ht="15.75" customHeight="1">
      <c r="A639" s="22">
        <v>16612979</v>
      </c>
      <c r="B639" s="23" t="s">
        <v>7050</v>
      </c>
      <c r="C639" s="23" t="s">
        <v>7051</v>
      </c>
      <c r="D639" s="23" t="s">
        <v>7052</v>
      </c>
      <c r="E639" s="23" t="s">
        <v>1167</v>
      </c>
      <c r="F639" s="23" t="s">
        <v>7053</v>
      </c>
      <c r="G639" s="22">
        <v>2006</v>
      </c>
      <c r="H639" s="24">
        <v>38822</v>
      </c>
      <c r="I639" s="26" t="s">
        <v>7054</v>
      </c>
      <c r="J639" s="27"/>
      <c r="K639" s="26" t="s">
        <v>1170</v>
      </c>
      <c r="L639" s="27"/>
      <c r="M639" s="27"/>
    </row>
    <row r="640" spans="1:13" ht="15.75" customHeight="1">
      <c r="A640" s="22">
        <v>19619326</v>
      </c>
      <c r="B640" s="23" t="s">
        <v>7055</v>
      </c>
      <c r="C640" s="23" t="s">
        <v>7056</v>
      </c>
      <c r="D640" s="23" t="s">
        <v>7057</v>
      </c>
      <c r="E640" s="23" t="s">
        <v>1369</v>
      </c>
      <c r="F640" s="23" t="s">
        <v>4867</v>
      </c>
      <c r="G640" s="22">
        <v>2009</v>
      </c>
      <c r="H640" s="24">
        <v>40016</v>
      </c>
      <c r="I640" s="26" t="s">
        <v>7058</v>
      </c>
      <c r="J640" s="27"/>
      <c r="K640" s="26" t="s">
        <v>1370</v>
      </c>
      <c r="L640" s="27"/>
      <c r="M640" s="27"/>
    </row>
    <row r="641" spans="1:13" ht="15.75" customHeight="1">
      <c r="A641" s="22">
        <v>1332225</v>
      </c>
      <c r="B641" s="23" t="s">
        <v>7059</v>
      </c>
      <c r="C641" s="23" t="s">
        <v>7060</v>
      </c>
      <c r="D641" s="23" t="s">
        <v>7061</v>
      </c>
      <c r="E641" s="23" t="s">
        <v>195</v>
      </c>
      <c r="F641" s="23" t="s">
        <v>5445</v>
      </c>
      <c r="G641" s="22">
        <v>1992</v>
      </c>
      <c r="H641" s="24">
        <v>33909</v>
      </c>
      <c r="I641" s="23"/>
      <c r="J641" s="23"/>
      <c r="K641" s="26" t="s">
        <v>4651</v>
      </c>
      <c r="L641" s="27"/>
      <c r="M641" s="27"/>
    </row>
    <row r="642" spans="1:13" ht="15.75" customHeight="1">
      <c r="A642" s="22">
        <v>24604770</v>
      </c>
      <c r="B642" s="23" t="s">
        <v>7062</v>
      </c>
      <c r="C642" s="23" t="s">
        <v>7063</v>
      </c>
      <c r="D642" s="23" t="s">
        <v>7064</v>
      </c>
      <c r="E642" s="23" t="s">
        <v>3609</v>
      </c>
      <c r="F642" s="23" t="s">
        <v>4859</v>
      </c>
      <c r="G642" s="22">
        <v>2014</v>
      </c>
      <c r="H642" s="24">
        <v>41706</v>
      </c>
      <c r="I642" s="23"/>
      <c r="J642" s="23"/>
      <c r="K642" s="26" t="s">
        <v>3610</v>
      </c>
      <c r="L642" s="27"/>
      <c r="M642" s="23"/>
    </row>
    <row r="643" spans="1:13" ht="15.75" customHeight="1">
      <c r="A643" s="22">
        <v>30346638</v>
      </c>
      <c r="B643" s="23" t="s">
        <v>7065</v>
      </c>
      <c r="C643" s="23" t="s">
        <v>7066</v>
      </c>
      <c r="D643" s="23" t="s">
        <v>7067</v>
      </c>
      <c r="E643" s="23" t="s">
        <v>3523</v>
      </c>
      <c r="F643" s="23" t="s">
        <v>4974</v>
      </c>
      <c r="G643" s="22">
        <v>2019</v>
      </c>
      <c r="H643" s="24">
        <v>43396</v>
      </c>
      <c r="I643" s="23"/>
      <c r="J643" s="23"/>
      <c r="K643" s="26" t="s">
        <v>3524</v>
      </c>
      <c r="L643" s="27"/>
      <c r="M643" s="23"/>
    </row>
    <row r="644" spans="1:13" ht="15.75" customHeight="1">
      <c r="A644" s="22">
        <v>15543584</v>
      </c>
      <c r="B644" s="23" t="s">
        <v>7068</v>
      </c>
      <c r="C644" s="23" t="s">
        <v>7069</v>
      </c>
      <c r="D644" s="23" t="s">
        <v>7070</v>
      </c>
      <c r="E644" s="23" t="s">
        <v>4542</v>
      </c>
      <c r="F644" s="23" t="s">
        <v>4923</v>
      </c>
      <c r="G644" s="22">
        <v>2005</v>
      </c>
      <c r="H644" s="24">
        <v>38307</v>
      </c>
      <c r="I644" s="23"/>
      <c r="J644" s="23"/>
      <c r="K644" s="26" t="s">
        <v>4543</v>
      </c>
      <c r="L644" s="27"/>
      <c r="M644" s="23"/>
    </row>
    <row r="645" spans="1:13" ht="15.75" customHeight="1">
      <c r="A645" s="22">
        <v>25209806</v>
      </c>
      <c r="B645" s="23" t="s">
        <v>7071</v>
      </c>
      <c r="C645" s="23" t="s">
        <v>7072</v>
      </c>
      <c r="D645" s="23" t="s">
        <v>7073</v>
      </c>
      <c r="E645" s="23" t="s">
        <v>2642</v>
      </c>
      <c r="F645" s="23" t="s">
        <v>4966</v>
      </c>
      <c r="G645" s="22">
        <v>2014</v>
      </c>
      <c r="H645" s="24">
        <v>41894</v>
      </c>
      <c r="I645" s="23"/>
      <c r="J645" s="23"/>
      <c r="K645" s="26" t="s">
        <v>2647</v>
      </c>
      <c r="L645" s="27"/>
      <c r="M645" s="23"/>
    </row>
    <row r="646" spans="1:13" ht="15.75" customHeight="1">
      <c r="A646" s="22">
        <v>10910264</v>
      </c>
      <c r="B646" s="23" t="s">
        <v>7074</v>
      </c>
      <c r="C646" s="23" t="s">
        <v>7075</v>
      </c>
      <c r="D646" s="23" t="s">
        <v>7076</v>
      </c>
      <c r="E646" s="23" t="s">
        <v>4017</v>
      </c>
      <c r="F646" s="23" t="s">
        <v>5445</v>
      </c>
      <c r="G646" s="22">
        <v>2000</v>
      </c>
      <c r="H646" s="24">
        <v>36733</v>
      </c>
      <c r="I646" s="23"/>
      <c r="J646" s="23"/>
      <c r="K646" s="26" t="s">
        <v>4023</v>
      </c>
      <c r="L646" s="27"/>
      <c r="M646" s="27"/>
    </row>
    <row r="647" spans="1:13" ht="15.75" customHeight="1">
      <c r="A647" s="22">
        <v>20088693</v>
      </c>
      <c r="B647" s="23" t="s">
        <v>7077</v>
      </c>
      <c r="C647" s="23" t="s">
        <v>7078</v>
      </c>
      <c r="D647" s="23" t="s">
        <v>7079</v>
      </c>
      <c r="E647" s="23" t="s">
        <v>607</v>
      </c>
      <c r="F647" s="23" t="s">
        <v>4992</v>
      </c>
      <c r="G647" s="22">
        <v>2010</v>
      </c>
      <c r="H647" s="24">
        <v>40200</v>
      </c>
      <c r="I647" s="23" t="s">
        <v>7080</v>
      </c>
      <c r="J647" s="23" t="s">
        <v>7081</v>
      </c>
      <c r="K647" s="26" t="s">
        <v>2263</v>
      </c>
      <c r="L647" s="27"/>
      <c r="M647" s="23"/>
    </row>
    <row r="648" spans="1:13" ht="15.75" customHeight="1">
      <c r="A648" s="22">
        <v>35150885</v>
      </c>
      <c r="B648" s="23" t="s">
        <v>7082</v>
      </c>
      <c r="C648" s="23" t="s">
        <v>7083</v>
      </c>
      <c r="D648" s="23" t="s">
        <v>7084</v>
      </c>
      <c r="E648" s="23" t="s">
        <v>619</v>
      </c>
      <c r="F648" s="23" t="s">
        <v>4851</v>
      </c>
      <c r="G648" s="22">
        <v>2022</v>
      </c>
      <c r="H648" s="24">
        <v>44604</v>
      </c>
      <c r="I648" s="23" t="s">
        <v>7085</v>
      </c>
      <c r="J648" s="23" t="s">
        <v>7086</v>
      </c>
      <c r="K648" s="26" t="s">
        <v>2344</v>
      </c>
      <c r="L648" s="27"/>
      <c r="M648" s="27"/>
    </row>
    <row r="649" spans="1:13" ht="15.75" customHeight="1">
      <c r="A649" s="22">
        <v>1651362</v>
      </c>
      <c r="B649" s="23" t="s">
        <v>7087</v>
      </c>
      <c r="C649" s="23" t="s">
        <v>6511</v>
      </c>
      <c r="D649" s="23" t="s">
        <v>7088</v>
      </c>
      <c r="E649" s="23" t="s">
        <v>3779</v>
      </c>
      <c r="F649" s="23" t="s">
        <v>4992</v>
      </c>
      <c r="G649" s="22">
        <v>1991</v>
      </c>
      <c r="H649" s="24">
        <v>33482</v>
      </c>
      <c r="I649" s="23"/>
      <c r="J649" s="23"/>
      <c r="K649" s="26" t="s">
        <v>3784</v>
      </c>
      <c r="L649" s="27"/>
      <c r="M649" s="23"/>
    </row>
    <row r="650" spans="1:13" ht="15.75" customHeight="1">
      <c r="A650" s="22">
        <v>19490982</v>
      </c>
      <c r="B650" s="23" t="s">
        <v>7089</v>
      </c>
      <c r="C650" s="23" t="s">
        <v>7090</v>
      </c>
      <c r="D650" s="23" t="s">
        <v>7091</v>
      </c>
      <c r="E650" s="23" t="s">
        <v>1822</v>
      </c>
      <c r="F650" s="23" t="s">
        <v>5267</v>
      </c>
      <c r="G650" s="22">
        <v>2009</v>
      </c>
      <c r="H650" s="24">
        <v>39968</v>
      </c>
      <c r="I650" s="23"/>
      <c r="J650" s="23"/>
      <c r="K650" s="26" t="s">
        <v>1825</v>
      </c>
      <c r="L650" s="27"/>
      <c r="M650" s="27"/>
    </row>
    <row r="651" spans="1:13" ht="15.75" customHeight="1">
      <c r="A651" s="22">
        <v>26984480</v>
      </c>
      <c r="B651" s="23" t="s">
        <v>7092</v>
      </c>
      <c r="C651" s="23" t="s">
        <v>7093</v>
      </c>
      <c r="D651" s="23" t="s">
        <v>7094</v>
      </c>
      <c r="E651" s="23" t="s">
        <v>202</v>
      </c>
      <c r="F651" s="23" t="s">
        <v>5099</v>
      </c>
      <c r="G651" s="22">
        <v>2016</v>
      </c>
      <c r="H651" s="24">
        <v>42447</v>
      </c>
      <c r="I651" s="23"/>
      <c r="J651" s="23"/>
      <c r="K651" s="26" t="s">
        <v>317</v>
      </c>
      <c r="L651" s="27"/>
      <c r="M651" s="27"/>
    </row>
    <row r="652" spans="1:13" ht="15.75" customHeight="1">
      <c r="A652" s="22">
        <v>1354806</v>
      </c>
      <c r="B652" s="23" t="s">
        <v>7095</v>
      </c>
      <c r="C652" s="23" t="s">
        <v>7096</v>
      </c>
      <c r="D652" s="23" t="s">
        <v>7097</v>
      </c>
      <c r="E652" s="23" t="s">
        <v>1230</v>
      </c>
      <c r="F652" s="23" t="s">
        <v>6147</v>
      </c>
      <c r="G652" s="22">
        <v>1992</v>
      </c>
      <c r="H652" s="24">
        <v>33838</v>
      </c>
      <c r="I652" s="23"/>
      <c r="J652" s="23"/>
      <c r="K652" s="26" t="s">
        <v>1231</v>
      </c>
      <c r="L652" s="27"/>
      <c r="M652" s="27"/>
    </row>
    <row r="653" spans="1:13" ht="15.75" customHeight="1">
      <c r="A653" s="22">
        <v>20513090</v>
      </c>
      <c r="B653" s="23" t="s">
        <v>7098</v>
      </c>
      <c r="C653" s="23" t="s">
        <v>7099</v>
      </c>
      <c r="D653" s="23" t="s">
        <v>7100</v>
      </c>
      <c r="E653" s="23" t="s">
        <v>1693</v>
      </c>
      <c r="F653" s="23" t="s">
        <v>4923</v>
      </c>
      <c r="G653" s="22">
        <v>2010</v>
      </c>
      <c r="H653" s="24">
        <v>40330</v>
      </c>
      <c r="I653" s="23"/>
      <c r="J653" s="23"/>
      <c r="K653" s="26" t="s">
        <v>1696</v>
      </c>
      <c r="L653" s="27"/>
      <c r="M653" s="23"/>
    </row>
    <row r="654" spans="1:13" ht="15.75" customHeight="1">
      <c r="A654" s="22">
        <v>8152447</v>
      </c>
      <c r="B654" s="23" t="s">
        <v>7101</v>
      </c>
      <c r="C654" s="23" t="s">
        <v>7102</v>
      </c>
      <c r="D654" s="23" t="s">
        <v>7103</v>
      </c>
      <c r="E654" s="23" t="s">
        <v>112</v>
      </c>
      <c r="F654" s="23" t="s">
        <v>5377</v>
      </c>
      <c r="G654" s="22">
        <v>1994</v>
      </c>
      <c r="H654" s="24">
        <v>34466</v>
      </c>
      <c r="I654" s="23"/>
      <c r="J654" s="23"/>
      <c r="K654" s="26" t="s">
        <v>1924</v>
      </c>
      <c r="L654" s="27"/>
      <c r="M654" s="27"/>
    </row>
    <row r="655" spans="1:13" ht="15.75" customHeight="1">
      <c r="A655" s="22">
        <v>23535036</v>
      </c>
      <c r="B655" s="23" t="s">
        <v>7104</v>
      </c>
      <c r="C655" s="23" t="s">
        <v>7105</v>
      </c>
      <c r="D655" s="23" t="s">
        <v>7106</v>
      </c>
      <c r="E655" s="23" t="s">
        <v>3684</v>
      </c>
      <c r="F655" s="23" t="s">
        <v>7107</v>
      </c>
      <c r="G655" s="22">
        <v>2013</v>
      </c>
      <c r="H655" s="24">
        <v>41362</v>
      </c>
      <c r="I655" s="23"/>
      <c r="J655" s="23"/>
      <c r="K655" s="26" t="s">
        <v>3685</v>
      </c>
      <c r="L655" s="27"/>
      <c r="M655" s="27"/>
    </row>
    <row r="656" spans="1:13" ht="15.75" customHeight="1">
      <c r="A656" s="22">
        <v>27859994</v>
      </c>
      <c r="B656" s="23" t="s">
        <v>7108</v>
      </c>
      <c r="C656" s="23" t="s">
        <v>7109</v>
      </c>
      <c r="D656" s="23" t="s">
        <v>7110</v>
      </c>
      <c r="E656" s="23" t="s">
        <v>4536</v>
      </c>
      <c r="F656" s="23" t="s">
        <v>4974</v>
      </c>
      <c r="G656" s="22">
        <v>2017</v>
      </c>
      <c r="H656" s="24">
        <v>42693</v>
      </c>
      <c r="I656" s="23"/>
      <c r="J656" s="23"/>
      <c r="K656" s="26" t="s">
        <v>4537</v>
      </c>
      <c r="L656" s="27"/>
      <c r="M656" s="23"/>
    </row>
    <row r="657" spans="1:13" ht="15.75" customHeight="1">
      <c r="A657" s="22">
        <v>31520510</v>
      </c>
      <c r="B657" s="23" t="s">
        <v>7111</v>
      </c>
      <c r="C657" s="23" t="s">
        <v>7112</v>
      </c>
      <c r="D657" s="23" t="s">
        <v>7113</v>
      </c>
      <c r="E657" s="23" t="s">
        <v>905</v>
      </c>
      <c r="F657" s="23" t="s">
        <v>4974</v>
      </c>
      <c r="G657" s="22">
        <v>2019</v>
      </c>
      <c r="H657" s="24">
        <v>43723</v>
      </c>
      <c r="I657" s="23"/>
      <c r="J657" s="23"/>
      <c r="K657" s="26" t="s">
        <v>906</v>
      </c>
      <c r="L657" s="27"/>
      <c r="M657" s="23"/>
    </row>
    <row r="658" spans="1:13" ht="15.75" customHeight="1">
      <c r="A658" s="22">
        <v>19923186</v>
      </c>
      <c r="B658" s="23" t="s">
        <v>7114</v>
      </c>
      <c r="C658" s="23" t="s">
        <v>5684</v>
      </c>
      <c r="D658" s="23" t="s">
        <v>7115</v>
      </c>
      <c r="E658" s="23" t="s">
        <v>4125</v>
      </c>
      <c r="F658" s="23" t="s">
        <v>4891</v>
      </c>
      <c r="G658" s="22">
        <v>2010</v>
      </c>
      <c r="H658" s="24">
        <v>40137</v>
      </c>
      <c r="I658" s="26" t="s">
        <v>7116</v>
      </c>
      <c r="J658" s="27"/>
      <c r="K658" s="26" t="s">
        <v>4128</v>
      </c>
      <c r="L658" s="27"/>
      <c r="M658" s="23"/>
    </row>
    <row r="659" spans="1:13" ht="15.75" customHeight="1">
      <c r="A659" s="22">
        <v>10910277</v>
      </c>
      <c r="B659" s="23" t="s">
        <v>7117</v>
      </c>
      <c r="C659" s="23" t="s">
        <v>7118</v>
      </c>
      <c r="D659" s="23" t="s">
        <v>7119</v>
      </c>
      <c r="E659" s="23" t="s">
        <v>2875</v>
      </c>
      <c r="F659" s="23" t="s">
        <v>5445</v>
      </c>
      <c r="G659" s="22">
        <v>2000</v>
      </c>
      <c r="H659" s="24">
        <v>36733</v>
      </c>
      <c r="I659" s="23"/>
      <c r="J659" s="23"/>
      <c r="K659" s="26" t="s">
        <v>2878</v>
      </c>
      <c r="L659" s="27"/>
      <c r="M659" s="27"/>
    </row>
    <row r="660" spans="1:13" ht="15.75" customHeight="1">
      <c r="A660" s="22">
        <v>10642816</v>
      </c>
      <c r="B660" s="23" t="s">
        <v>7120</v>
      </c>
      <c r="C660" s="23" t="s">
        <v>7121</v>
      </c>
      <c r="D660" s="23" t="s">
        <v>7122</v>
      </c>
      <c r="E660" s="23" t="s">
        <v>1325</v>
      </c>
      <c r="F660" s="23" t="s">
        <v>4863</v>
      </c>
      <c r="G660" s="22">
        <v>1999</v>
      </c>
      <c r="H660" s="24">
        <v>36547</v>
      </c>
      <c r="I660" s="23"/>
      <c r="J660" s="23"/>
      <c r="K660" s="26" t="s">
        <v>1326</v>
      </c>
      <c r="L660" s="27"/>
      <c r="M660" s="23"/>
    </row>
    <row r="661" spans="1:13" ht="15.75" customHeight="1">
      <c r="A661" s="22">
        <v>25398808</v>
      </c>
      <c r="B661" s="23" t="s">
        <v>7123</v>
      </c>
      <c r="C661" s="23" t="s">
        <v>7124</v>
      </c>
      <c r="D661" s="23" t="s">
        <v>7125</v>
      </c>
      <c r="E661" s="23" t="s">
        <v>823</v>
      </c>
      <c r="F661" s="23" t="s">
        <v>4954</v>
      </c>
      <c r="G661" s="22">
        <v>2014</v>
      </c>
      <c r="H661" s="24">
        <v>41959</v>
      </c>
      <c r="I661" s="23"/>
      <c r="J661" s="23"/>
      <c r="K661" s="23"/>
      <c r="L661" s="23"/>
      <c r="M661" s="23"/>
    </row>
    <row r="662" spans="1:13" ht="15.75" customHeight="1">
      <c r="A662" s="22">
        <v>11345532</v>
      </c>
      <c r="B662" s="23" t="s">
        <v>7126</v>
      </c>
      <c r="C662" s="23" t="s">
        <v>7127</v>
      </c>
      <c r="D662" s="23" t="s">
        <v>7128</v>
      </c>
      <c r="E662" s="23" t="s">
        <v>654</v>
      </c>
      <c r="F662" s="23" t="s">
        <v>5163</v>
      </c>
      <c r="G662" s="22">
        <v>2001</v>
      </c>
      <c r="H662" s="24">
        <v>37021</v>
      </c>
      <c r="I662" s="23"/>
      <c r="J662" s="23"/>
      <c r="K662" s="26" t="s">
        <v>2485</v>
      </c>
      <c r="L662" s="27"/>
      <c r="M662" s="27"/>
    </row>
    <row r="663" spans="1:13" ht="15.75" customHeight="1">
      <c r="A663" s="22">
        <v>11168178</v>
      </c>
      <c r="B663" s="23" t="s">
        <v>7129</v>
      </c>
      <c r="C663" s="23" t="s">
        <v>7130</v>
      </c>
      <c r="D663" s="23" t="s">
        <v>7131</v>
      </c>
      <c r="E663" s="23" t="s">
        <v>4017</v>
      </c>
      <c r="F663" s="23" t="s">
        <v>4851</v>
      </c>
      <c r="G663" s="22">
        <v>2000</v>
      </c>
      <c r="H663" s="24">
        <v>36935</v>
      </c>
      <c r="I663" s="23"/>
      <c r="J663" s="23"/>
      <c r="K663" s="26" t="s">
        <v>4025</v>
      </c>
      <c r="L663" s="27"/>
      <c r="M663" s="27"/>
    </row>
    <row r="664" spans="1:13" ht="15.75" customHeight="1">
      <c r="A664" s="22">
        <v>35349121</v>
      </c>
      <c r="B664" s="23" t="s">
        <v>7132</v>
      </c>
      <c r="C664" s="23" t="s">
        <v>7133</v>
      </c>
      <c r="D664" s="23" t="s">
        <v>7134</v>
      </c>
      <c r="E664" s="23" t="s">
        <v>3079</v>
      </c>
      <c r="F664" s="23" t="s">
        <v>7135</v>
      </c>
      <c r="G664" s="22">
        <v>2022</v>
      </c>
      <c r="H664" s="24">
        <v>44649</v>
      </c>
      <c r="I664" s="23"/>
      <c r="J664" s="23"/>
      <c r="K664" s="26" t="s">
        <v>3080</v>
      </c>
      <c r="L664" s="27"/>
      <c r="M664" s="27"/>
    </row>
    <row r="665" spans="1:13" ht="15.75" customHeight="1">
      <c r="A665" s="22">
        <v>32162382</v>
      </c>
      <c r="B665" s="23" t="s">
        <v>7136</v>
      </c>
      <c r="C665" s="23" t="s">
        <v>7137</v>
      </c>
      <c r="D665" s="23" t="s">
        <v>7138</v>
      </c>
      <c r="E665" s="23" t="s">
        <v>4264</v>
      </c>
      <c r="F665" s="23" t="s">
        <v>7139</v>
      </c>
      <c r="G665" s="22">
        <v>2020</v>
      </c>
      <c r="H665" s="24">
        <v>43903</v>
      </c>
      <c r="I665" s="26" t="s">
        <v>7140</v>
      </c>
      <c r="J665" s="27"/>
      <c r="K665" s="26" t="s">
        <v>4266</v>
      </c>
      <c r="L665" s="27"/>
      <c r="M665" s="27"/>
    </row>
    <row r="666" spans="1:13" ht="15.75" customHeight="1">
      <c r="A666" s="22">
        <v>23938304</v>
      </c>
      <c r="B666" s="23" t="s">
        <v>7141</v>
      </c>
      <c r="C666" s="23" t="s">
        <v>7142</v>
      </c>
      <c r="D666" s="23" t="s">
        <v>7143</v>
      </c>
      <c r="E666" s="23" t="s">
        <v>4335</v>
      </c>
      <c r="F666" s="23" t="s">
        <v>4896</v>
      </c>
      <c r="G666" s="22">
        <v>2013</v>
      </c>
      <c r="H666" s="24">
        <v>41500</v>
      </c>
      <c r="I666" s="23"/>
      <c r="J666" s="23"/>
      <c r="K666" s="26" t="s">
        <v>4336</v>
      </c>
      <c r="L666" s="27"/>
      <c r="M666" s="27"/>
    </row>
    <row r="667" spans="1:13" ht="15.75" customHeight="1">
      <c r="A667" s="22">
        <v>18541204</v>
      </c>
      <c r="B667" s="23" t="s">
        <v>7144</v>
      </c>
      <c r="C667" s="23" t="s">
        <v>7145</v>
      </c>
      <c r="D667" s="23" t="s">
        <v>7146</v>
      </c>
      <c r="E667" s="23" t="s">
        <v>554</v>
      </c>
      <c r="F667" s="23" t="s">
        <v>5076</v>
      </c>
      <c r="G667" s="22">
        <v>2008</v>
      </c>
      <c r="H667" s="24">
        <v>39610</v>
      </c>
      <c r="I667" s="23"/>
      <c r="J667" s="23"/>
      <c r="K667" s="26" t="s">
        <v>561</v>
      </c>
      <c r="L667" s="27"/>
      <c r="M667" s="27"/>
    </row>
    <row r="668" spans="1:13" ht="15.75" customHeight="1">
      <c r="A668" s="22">
        <v>1963044</v>
      </c>
      <c r="B668" s="23" t="s">
        <v>7147</v>
      </c>
      <c r="C668" s="23" t="s">
        <v>7148</v>
      </c>
      <c r="D668" s="23" t="s">
        <v>7149</v>
      </c>
      <c r="E668" s="23" t="s">
        <v>2832</v>
      </c>
      <c r="F668" s="23" t="s">
        <v>6522</v>
      </c>
      <c r="G668" s="22">
        <v>1990</v>
      </c>
      <c r="H668" s="24">
        <v>32874</v>
      </c>
      <c r="I668" s="23"/>
      <c r="J668" s="23"/>
      <c r="K668" s="26" t="s">
        <v>2833</v>
      </c>
      <c r="L668" s="27"/>
      <c r="M668" s="27"/>
    </row>
    <row r="669" spans="1:13" ht="15.75" customHeight="1">
      <c r="A669" s="22">
        <v>26340541</v>
      </c>
      <c r="B669" s="23" t="s">
        <v>7150</v>
      </c>
      <c r="C669" s="23" t="s">
        <v>7151</v>
      </c>
      <c r="D669" s="23" t="s">
        <v>7152</v>
      </c>
      <c r="E669" s="23" t="s">
        <v>3265</v>
      </c>
      <c r="F669" s="23" t="s">
        <v>4978</v>
      </c>
      <c r="G669" s="22">
        <v>2015</v>
      </c>
      <c r="H669" s="24">
        <v>42252</v>
      </c>
      <c r="I669" s="26" t="s">
        <v>7153</v>
      </c>
      <c r="J669" s="27"/>
      <c r="K669" s="26" t="s">
        <v>3266</v>
      </c>
      <c r="L669" s="27"/>
      <c r="M669" s="27"/>
    </row>
    <row r="670" spans="1:13" ht="15.75" customHeight="1">
      <c r="A670" s="22">
        <v>22352035</v>
      </c>
      <c r="B670" s="23" t="s">
        <v>7154</v>
      </c>
      <c r="C670" s="23" t="s">
        <v>7155</v>
      </c>
      <c r="D670" s="23" t="s">
        <v>7156</v>
      </c>
      <c r="E670" s="23" t="s">
        <v>3897</v>
      </c>
      <c r="F670" s="23" t="s">
        <v>7157</v>
      </c>
      <c r="G670" s="22">
        <v>2012</v>
      </c>
      <c r="H670" s="24">
        <v>40962</v>
      </c>
      <c r="I670" s="23"/>
      <c r="J670" s="23"/>
      <c r="K670" s="23"/>
      <c r="L670" s="23"/>
      <c r="M670" s="23"/>
    </row>
    <row r="671" spans="1:13" ht="15.75" customHeight="1">
      <c r="A671" s="22">
        <v>23347215</v>
      </c>
      <c r="B671" s="23" t="s">
        <v>7158</v>
      </c>
      <c r="C671" s="23" t="s">
        <v>7159</v>
      </c>
      <c r="D671" s="23" t="s">
        <v>7160</v>
      </c>
      <c r="E671" s="23" t="s">
        <v>3695</v>
      </c>
      <c r="F671" s="23" t="s">
        <v>5726</v>
      </c>
      <c r="G671" s="22">
        <v>2013</v>
      </c>
      <c r="H671" s="24">
        <v>41300</v>
      </c>
      <c r="I671" s="23"/>
      <c r="J671" s="23"/>
      <c r="K671" s="26" t="s">
        <v>3696</v>
      </c>
      <c r="L671" s="27"/>
      <c r="M671" s="23"/>
    </row>
    <row r="672" spans="1:13" ht="15.75" customHeight="1">
      <c r="A672" s="22">
        <v>16628576</v>
      </c>
      <c r="B672" s="23" t="s">
        <v>7161</v>
      </c>
      <c r="C672" s="23" t="s">
        <v>7162</v>
      </c>
      <c r="D672" s="23" t="s">
        <v>7163</v>
      </c>
      <c r="E672" s="23" t="s">
        <v>2821</v>
      </c>
      <c r="F672" s="23" t="s">
        <v>4923</v>
      </c>
      <c r="G672" s="22">
        <v>2006</v>
      </c>
      <c r="H672" s="24">
        <v>38829</v>
      </c>
      <c r="I672" s="23"/>
      <c r="J672" s="23"/>
      <c r="K672" s="26" t="s">
        <v>2822</v>
      </c>
      <c r="L672" s="27"/>
      <c r="M672" s="23"/>
    </row>
    <row r="673" spans="1:13" ht="15.75" customHeight="1">
      <c r="A673" s="22">
        <v>15767029</v>
      </c>
      <c r="B673" s="23" t="s">
        <v>7164</v>
      </c>
      <c r="C673" s="23" t="s">
        <v>7165</v>
      </c>
      <c r="D673" s="23" t="s">
        <v>7166</v>
      </c>
      <c r="E673" s="23" t="s">
        <v>2495</v>
      </c>
      <c r="F673" s="23" t="s">
        <v>7167</v>
      </c>
      <c r="G673" s="22">
        <v>2005</v>
      </c>
      <c r="H673" s="24">
        <v>38427</v>
      </c>
      <c r="I673" s="23"/>
      <c r="J673" s="23"/>
      <c r="K673" s="26" t="s">
        <v>2496</v>
      </c>
      <c r="L673" s="27"/>
      <c r="M673" s="27"/>
    </row>
    <row r="674" spans="1:13" ht="15.75" customHeight="1">
      <c r="A674" s="22">
        <v>26681781</v>
      </c>
      <c r="B674" s="23" t="s">
        <v>7168</v>
      </c>
      <c r="C674" s="23" t="s">
        <v>7169</v>
      </c>
      <c r="D674" s="23" t="s">
        <v>7170</v>
      </c>
      <c r="E674" s="23" t="s">
        <v>4088</v>
      </c>
      <c r="F674" s="23" t="s">
        <v>5663</v>
      </c>
      <c r="G674" s="22">
        <v>2016</v>
      </c>
      <c r="H674" s="24">
        <v>42357</v>
      </c>
      <c r="I674" s="23" t="s">
        <v>7171</v>
      </c>
      <c r="J674" s="23" t="s">
        <v>7172</v>
      </c>
      <c r="K674" s="26" t="s">
        <v>4089</v>
      </c>
      <c r="L674" s="27"/>
      <c r="M674" s="23"/>
    </row>
    <row r="675" spans="1:13" ht="15.75" customHeight="1">
      <c r="A675" s="22">
        <v>10194079</v>
      </c>
      <c r="B675" s="23" t="s">
        <v>7173</v>
      </c>
      <c r="C675" s="23" t="s">
        <v>7174</v>
      </c>
      <c r="D675" s="23" t="s">
        <v>7175</v>
      </c>
      <c r="E675" s="23" t="s">
        <v>175</v>
      </c>
      <c r="F675" s="23" t="s">
        <v>5080</v>
      </c>
      <c r="G675" s="22">
        <v>1999</v>
      </c>
      <c r="H675" s="24">
        <v>36258</v>
      </c>
      <c r="I675" s="23"/>
      <c r="J675" s="23"/>
      <c r="K675" s="26" t="s">
        <v>951</v>
      </c>
      <c r="L675" s="27"/>
      <c r="M675" s="23"/>
    </row>
    <row r="676" spans="1:13" ht="15.75" customHeight="1">
      <c r="A676" s="22">
        <v>7913511</v>
      </c>
      <c r="B676" s="23" t="s">
        <v>7176</v>
      </c>
      <c r="C676" s="23" t="s">
        <v>7177</v>
      </c>
      <c r="D676" s="23" t="s">
        <v>7178</v>
      </c>
      <c r="E676" s="23" t="s">
        <v>2313</v>
      </c>
      <c r="F676" s="23" t="s">
        <v>4891</v>
      </c>
      <c r="G676" s="22">
        <v>1994</v>
      </c>
      <c r="H676" s="24">
        <v>34547</v>
      </c>
      <c r="I676" s="23" t="s">
        <v>7179</v>
      </c>
      <c r="J676" s="23"/>
      <c r="K676" s="26" t="s">
        <v>2314</v>
      </c>
      <c r="L676" s="27"/>
      <c r="M676" s="27"/>
    </row>
    <row r="677" spans="1:13" ht="15.75" customHeight="1">
      <c r="A677" s="22">
        <v>23196622</v>
      </c>
      <c r="B677" s="23" t="s">
        <v>7180</v>
      </c>
      <c r="C677" s="23" t="s">
        <v>6689</v>
      </c>
      <c r="D677" s="23" t="s">
        <v>7181</v>
      </c>
      <c r="E677" s="23" t="s">
        <v>195</v>
      </c>
      <c r="F677" s="23" t="s">
        <v>7182</v>
      </c>
      <c r="G677" s="22">
        <v>2012</v>
      </c>
      <c r="H677" s="24">
        <v>41244</v>
      </c>
      <c r="I677" s="23"/>
      <c r="J677" s="23"/>
      <c r="K677" s="26" t="s">
        <v>4653</v>
      </c>
      <c r="L677" s="27"/>
      <c r="M677" s="27"/>
    </row>
    <row r="678" spans="1:13" ht="15.75" customHeight="1">
      <c r="A678" s="22">
        <v>1325026</v>
      </c>
      <c r="B678" s="23" t="s">
        <v>7183</v>
      </c>
      <c r="C678" s="23" t="s">
        <v>7184</v>
      </c>
      <c r="D678" s="23" t="s">
        <v>7185</v>
      </c>
      <c r="E678" s="23" t="s">
        <v>4115</v>
      </c>
      <c r="F678" s="23" t="s">
        <v>5163</v>
      </c>
      <c r="G678" s="22">
        <v>1992</v>
      </c>
      <c r="H678" s="24">
        <v>33604</v>
      </c>
      <c r="I678" s="23"/>
      <c r="J678" s="23"/>
      <c r="K678" s="26" t="s">
        <v>4117</v>
      </c>
      <c r="L678" s="27"/>
      <c r="M678" s="27"/>
    </row>
    <row r="679" spans="1:13" ht="15.75" customHeight="1">
      <c r="A679" s="22">
        <v>34370861</v>
      </c>
      <c r="B679" s="23" t="s">
        <v>7186</v>
      </c>
      <c r="C679" s="23" t="s">
        <v>7187</v>
      </c>
      <c r="D679" s="23" t="s">
        <v>7188</v>
      </c>
      <c r="E679" s="23" t="s">
        <v>245</v>
      </c>
      <c r="F679" s="23" t="s">
        <v>4992</v>
      </c>
      <c r="G679" s="22">
        <v>2022</v>
      </c>
      <c r="H679" s="24">
        <v>44417</v>
      </c>
      <c r="I679" s="26" t="s">
        <v>7189</v>
      </c>
      <c r="J679" s="27"/>
      <c r="K679" s="26" t="s">
        <v>2909</v>
      </c>
      <c r="L679" s="27"/>
      <c r="M679" s="23"/>
    </row>
    <row r="680" spans="1:13" ht="15.75" customHeight="1">
      <c r="A680" s="22">
        <v>11990308</v>
      </c>
      <c r="B680" s="23" t="s">
        <v>7190</v>
      </c>
      <c r="C680" s="23" t="s">
        <v>7191</v>
      </c>
      <c r="D680" s="23" t="s">
        <v>7192</v>
      </c>
      <c r="E680" s="23" t="s">
        <v>2319</v>
      </c>
      <c r="F680" s="23" t="s">
        <v>5757</v>
      </c>
      <c r="G680" s="22">
        <v>2002</v>
      </c>
      <c r="H680" s="24">
        <v>37383</v>
      </c>
      <c r="I680" s="23"/>
      <c r="J680" s="23"/>
      <c r="K680" s="26" t="s">
        <v>2320</v>
      </c>
      <c r="L680" s="27"/>
      <c r="M680" s="27"/>
    </row>
    <row r="681" spans="1:13" ht="15.75" customHeight="1">
      <c r="A681" s="22">
        <v>26542463</v>
      </c>
      <c r="B681" s="23" t="s">
        <v>7193</v>
      </c>
      <c r="C681" s="23" t="s">
        <v>7194</v>
      </c>
      <c r="D681" s="23" t="s">
        <v>7195</v>
      </c>
      <c r="E681" s="23" t="s">
        <v>1967</v>
      </c>
      <c r="F681" s="23" t="s">
        <v>5267</v>
      </c>
      <c r="G681" s="22">
        <v>2016</v>
      </c>
      <c r="H681" s="24">
        <v>42315</v>
      </c>
      <c r="I681" s="23"/>
      <c r="J681" s="23"/>
      <c r="K681" s="26" t="s">
        <v>1970</v>
      </c>
      <c r="L681" s="27"/>
      <c r="M681" s="27"/>
    </row>
    <row r="682" spans="1:13" ht="15.75" customHeight="1">
      <c r="A682" s="22">
        <v>21389320</v>
      </c>
      <c r="B682" s="23" t="s">
        <v>7196</v>
      </c>
      <c r="C682" s="23" t="s">
        <v>7197</v>
      </c>
      <c r="D682" s="23" t="s">
        <v>7198</v>
      </c>
      <c r="E682" s="23" t="s">
        <v>197</v>
      </c>
      <c r="F682" s="23" t="s">
        <v>5343</v>
      </c>
      <c r="G682" s="22">
        <v>2011</v>
      </c>
      <c r="H682" s="24">
        <v>40613</v>
      </c>
      <c r="I682" s="26" t="s">
        <v>7199</v>
      </c>
      <c r="J682" s="27"/>
      <c r="K682" s="26" t="s">
        <v>1016</v>
      </c>
      <c r="L682" s="27"/>
      <c r="M682" s="27"/>
    </row>
    <row r="683" spans="1:13" ht="15.75" customHeight="1">
      <c r="A683" s="22">
        <v>30689576</v>
      </c>
      <c r="B683" s="23" t="s">
        <v>7200</v>
      </c>
      <c r="C683" s="23" t="s">
        <v>7201</v>
      </c>
      <c r="D683" s="23" t="s">
        <v>7202</v>
      </c>
      <c r="E683" s="23" t="s">
        <v>3758</v>
      </c>
      <c r="F683" s="23" t="s">
        <v>7203</v>
      </c>
      <c r="G683" s="22">
        <v>2019</v>
      </c>
      <c r="H683" s="24">
        <v>43494</v>
      </c>
      <c r="I683" s="23"/>
      <c r="J683" s="23"/>
      <c r="K683" s="26" t="s">
        <v>3763</v>
      </c>
      <c r="L683" s="27"/>
      <c r="M683" s="23"/>
    </row>
    <row r="684" spans="1:13" ht="15.75" customHeight="1">
      <c r="A684" s="22">
        <v>29150836</v>
      </c>
      <c r="B684" s="23" t="s">
        <v>7204</v>
      </c>
      <c r="C684" s="23" t="s">
        <v>7205</v>
      </c>
      <c r="D684" s="23" t="s">
        <v>7206</v>
      </c>
      <c r="E684" s="23" t="s">
        <v>3331</v>
      </c>
      <c r="F684" s="23" t="s">
        <v>7207</v>
      </c>
      <c r="G684" s="22">
        <v>2018</v>
      </c>
      <c r="H684" s="24">
        <v>43058</v>
      </c>
      <c r="I684" s="23"/>
      <c r="J684" s="23"/>
      <c r="K684" s="26" t="s">
        <v>3332</v>
      </c>
      <c r="L684" s="27"/>
      <c r="M684" s="23"/>
    </row>
    <row r="685" spans="1:13" ht="15.75" customHeight="1">
      <c r="A685" s="22">
        <v>24057213</v>
      </c>
      <c r="B685" s="23" t="s">
        <v>7208</v>
      </c>
      <c r="C685" s="23" t="s">
        <v>7209</v>
      </c>
      <c r="D685" s="23" t="s">
        <v>7210</v>
      </c>
      <c r="E685" s="23" t="s">
        <v>2434</v>
      </c>
      <c r="F685" s="23" t="s">
        <v>7211</v>
      </c>
      <c r="G685" s="22">
        <v>2014</v>
      </c>
      <c r="H685" s="24">
        <v>41541</v>
      </c>
      <c r="I685" s="26" t="s">
        <v>7212</v>
      </c>
      <c r="J685" s="27"/>
      <c r="K685" s="26" t="s">
        <v>2435</v>
      </c>
      <c r="L685" s="27"/>
      <c r="M685" s="23"/>
    </row>
    <row r="686" spans="1:13" ht="15.75" customHeight="1">
      <c r="A686" s="22">
        <v>26599878</v>
      </c>
      <c r="B686" s="23" t="s">
        <v>7213</v>
      </c>
      <c r="C686" s="23" t="s">
        <v>7214</v>
      </c>
      <c r="D686" s="23" t="s">
        <v>7215</v>
      </c>
      <c r="E686" s="23" t="s">
        <v>1293</v>
      </c>
      <c r="F686" s="23" t="s">
        <v>4978</v>
      </c>
      <c r="G686" s="22">
        <v>2015</v>
      </c>
      <c r="H686" s="24">
        <v>42333</v>
      </c>
      <c r="I686" s="26" t="s">
        <v>7216</v>
      </c>
      <c r="J686" s="27"/>
      <c r="K686" s="26" t="s">
        <v>1296</v>
      </c>
      <c r="L686" s="27"/>
      <c r="M686" s="27"/>
    </row>
    <row r="687" spans="1:13" ht="15.75" customHeight="1">
      <c r="A687" s="22">
        <v>34721942</v>
      </c>
      <c r="B687" s="23" t="s">
        <v>7217</v>
      </c>
      <c r="C687" s="23" t="s">
        <v>7218</v>
      </c>
      <c r="D687" s="23" t="s">
        <v>7219</v>
      </c>
      <c r="E687" s="23" t="s">
        <v>3110</v>
      </c>
      <c r="F687" s="23" t="s">
        <v>7220</v>
      </c>
      <c r="G687" s="22">
        <v>2021</v>
      </c>
      <c r="H687" s="24">
        <v>44501</v>
      </c>
      <c r="I687" s="26" t="s">
        <v>7221</v>
      </c>
      <c r="J687" s="27"/>
      <c r="K687" s="26" t="s">
        <v>3111</v>
      </c>
      <c r="L687" s="27"/>
      <c r="M687" s="23"/>
    </row>
    <row r="688" spans="1:13" ht="15.75" customHeight="1">
      <c r="A688" s="22">
        <v>1964694</v>
      </c>
      <c r="B688" s="23" t="s">
        <v>7222</v>
      </c>
      <c r="C688" s="23" t="s">
        <v>7223</v>
      </c>
      <c r="D688" s="23" t="s">
        <v>7224</v>
      </c>
      <c r="E688" s="23" t="s">
        <v>1454</v>
      </c>
      <c r="F688" s="23" t="s">
        <v>7225</v>
      </c>
      <c r="G688" s="22">
        <v>1990</v>
      </c>
      <c r="H688" s="24">
        <v>33178</v>
      </c>
      <c r="I688" s="23"/>
      <c r="J688" s="23"/>
      <c r="K688" s="26" t="s">
        <v>1457</v>
      </c>
      <c r="L688" s="27"/>
      <c r="M688" s="23"/>
    </row>
    <row r="689" spans="1:13" ht="15.75" customHeight="1">
      <c r="A689" s="22">
        <v>16615507</v>
      </c>
      <c r="B689" s="23" t="s">
        <v>7226</v>
      </c>
      <c r="C689" s="23" t="s">
        <v>7227</v>
      </c>
      <c r="D689" s="23" t="s">
        <v>7228</v>
      </c>
      <c r="E689" s="23" t="s">
        <v>4579</v>
      </c>
      <c r="F689" s="23" t="s">
        <v>5031</v>
      </c>
      <c r="G689" s="22">
        <v>2006</v>
      </c>
      <c r="H689" s="24">
        <v>38825</v>
      </c>
      <c r="I689" s="23"/>
      <c r="J689" s="23"/>
      <c r="K689" s="23"/>
      <c r="L689" s="23"/>
      <c r="M689" s="23"/>
    </row>
    <row r="690" spans="1:13" ht="15.75" customHeight="1">
      <c r="A690" s="22">
        <v>12021348</v>
      </c>
      <c r="B690" s="23" t="s">
        <v>7229</v>
      </c>
      <c r="C690" s="23" t="s">
        <v>7230</v>
      </c>
      <c r="D690" s="23" t="s">
        <v>7231</v>
      </c>
      <c r="E690" s="23" t="s">
        <v>4226</v>
      </c>
      <c r="F690" s="23" t="s">
        <v>4891</v>
      </c>
      <c r="G690" s="22">
        <v>2002</v>
      </c>
      <c r="H690" s="24">
        <v>37398</v>
      </c>
      <c r="I690" s="23" t="s">
        <v>7232</v>
      </c>
      <c r="J690" s="23"/>
      <c r="K690" s="26" t="s">
        <v>4227</v>
      </c>
      <c r="L690" s="27"/>
      <c r="M690" s="27"/>
    </row>
    <row r="691" spans="1:13" ht="15.75" customHeight="1">
      <c r="A691" s="22">
        <v>19497784</v>
      </c>
      <c r="B691" s="23" t="s">
        <v>7233</v>
      </c>
      <c r="C691" s="23" t="s">
        <v>7234</v>
      </c>
      <c r="D691" s="23" t="s">
        <v>7235</v>
      </c>
      <c r="E691" s="23" t="s">
        <v>524</v>
      </c>
      <c r="F691" s="23" t="s">
        <v>4896</v>
      </c>
      <c r="G691" s="22">
        <v>2009</v>
      </c>
      <c r="H691" s="24">
        <v>39970</v>
      </c>
      <c r="I691" s="23"/>
      <c r="J691" s="23"/>
      <c r="K691" s="26" t="s">
        <v>1596</v>
      </c>
      <c r="L691" s="27"/>
      <c r="M691" s="27"/>
    </row>
    <row r="692" spans="1:13" ht="15.75" customHeight="1">
      <c r="A692" s="22">
        <v>15223915</v>
      </c>
      <c r="B692" s="23" t="s">
        <v>7236</v>
      </c>
      <c r="C692" s="23" t="s">
        <v>7237</v>
      </c>
      <c r="D692" s="23" t="s">
        <v>7238</v>
      </c>
      <c r="E692" s="23" t="s">
        <v>2145</v>
      </c>
      <c r="F692" s="23" t="s">
        <v>5445</v>
      </c>
      <c r="G692" s="22">
        <v>2004</v>
      </c>
      <c r="H692" s="24">
        <v>38168</v>
      </c>
      <c r="I692" s="23"/>
      <c r="J692" s="23"/>
      <c r="K692" s="26" t="s">
        <v>2146</v>
      </c>
      <c r="L692" s="27"/>
      <c r="M692" s="27"/>
    </row>
    <row r="693" spans="1:13" ht="15.75" customHeight="1">
      <c r="A693" s="22">
        <v>9594451</v>
      </c>
      <c r="B693" s="23" t="s">
        <v>7239</v>
      </c>
      <c r="C693" s="23" t="s">
        <v>7240</v>
      </c>
      <c r="D693" s="23" t="s">
        <v>7241</v>
      </c>
      <c r="E693" s="23" t="s">
        <v>4123</v>
      </c>
      <c r="F693" s="23" t="s">
        <v>4927</v>
      </c>
      <c r="G693" s="22">
        <v>1998</v>
      </c>
      <c r="H693" s="24">
        <v>35937</v>
      </c>
      <c r="I693" s="23"/>
      <c r="J693" s="23"/>
      <c r="K693" s="23"/>
      <c r="L693" s="23"/>
      <c r="M693" s="23"/>
    </row>
    <row r="694" spans="1:13" ht="15.75" customHeight="1">
      <c r="A694" s="22">
        <v>14870894</v>
      </c>
      <c r="B694" s="23" t="s">
        <v>7242</v>
      </c>
      <c r="C694" s="23" t="s">
        <v>7243</v>
      </c>
      <c r="D694" s="23" t="s">
        <v>7244</v>
      </c>
      <c r="E694" s="23" t="s">
        <v>2241</v>
      </c>
      <c r="F694" s="23" t="s">
        <v>5543</v>
      </c>
      <c r="G694" s="22">
        <v>2003</v>
      </c>
      <c r="H694" s="24">
        <v>38029</v>
      </c>
      <c r="I694" s="23"/>
      <c r="J694" s="23"/>
      <c r="K694" s="26" t="s">
        <v>2242</v>
      </c>
      <c r="L694" s="27"/>
      <c r="M694" s="27"/>
    </row>
    <row r="695" spans="1:13" ht="15.75" customHeight="1">
      <c r="A695" s="22">
        <v>26137657</v>
      </c>
      <c r="B695" s="23" t="s">
        <v>7245</v>
      </c>
      <c r="C695" s="23" t="s">
        <v>7246</v>
      </c>
      <c r="D695" s="23" t="s">
        <v>7247</v>
      </c>
      <c r="E695" s="23" t="s">
        <v>884</v>
      </c>
      <c r="F695" s="23" t="s">
        <v>7248</v>
      </c>
      <c r="G695" s="22">
        <v>2015</v>
      </c>
      <c r="H695" s="24">
        <v>42189</v>
      </c>
      <c r="I695" s="23"/>
      <c r="J695" s="23"/>
      <c r="K695" s="23"/>
      <c r="L695" s="23"/>
      <c r="M695" s="23"/>
    </row>
    <row r="696" spans="1:13" ht="15.75" customHeight="1">
      <c r="A696" s="22">
        <v>26329541</v>
      </c>
      <c r="B696" s="23" t="s">
        <v>7249</v>
      </c>
      <c r="C696" s="23" t="s">
        <v>7250</v>
      </c>
      <c r="D696" s="23" t="s">
        <v>7251</v>
      </c>
      <c r="E696" s="23" t="s">
        <v>173</v>
      </c>
      <c r="F696" s="23" t="s">
        <v>5543</v>
      </c>
      <c r="G696" s="22">
        <v>2015</v>
      </c>
      <c r="H696" s="24">
        <v>42250</v>
      </c>
      <c r="I696" s="23"/>
      <c r="J696" s="23"/>
      <c r="K696" s="26" t="s">
        <v>421</v>
      </c>
      <c r="L696" s="27"/>
      <c r="M696" s="23"/>
    </row>
    <row r="697" spans="1:13" ht="15.75" customHeight="1">
      <c r="A697" s="22">
        <v>18297709</v>
      </c>
      <c r="B697" s="23" t="s">
        <v>7252</v>
      </c>
      <c r="C697" s="23" t="s">
        <v>7253</v>
      </c>
      <c r="D697" s="23" t="s">
        <v>7254</v>
      </c>
      <c r="E697" s="23" t="s">
        <v>3961</v>
      </c>
      <c r="F697" s="23" t="s">
        <v>4923</v>
      </c>
      <c r="G697" s="22">
        <v>2008</v>
      </c>
      <c r="H697" s="24">
        <v>39504</v>
      </c>
      <c r="I697" s="23"/>
      <c r="J697" s="23"/>
      <c r="K697" s="26" t="s">
        <v>3962</v>
      </c>
      <c r="L697" s="27"/>
      <c r="M697" s="23"/>
    </row>
    <row r="698" spans="1:13" ht="15.75" customHeight="1">
      <c r="A698" s="22">
        <v>24407957</v>
      </c>
      <c r="B698" s="23" t="s">
        <v>7255</v>
      </c>
      <c r="C698" s="23" t="s">
        <v>7256</v>
      </c>
      <c r="D698" s="23" t="s">
        <v>7257</v>
      </c>
      <c r="E698" s="23" t="s">
        <v>269</v>
      </c>
      <c r="F698" s="23" t="s">
        <v>7258</v>
      </c>
      <c r="G698" s="22">
        <v>2015</v>
      </c>
      <c r="H698" s="24">
        <v>41650</v>
      </c>
      <c r="I698" s="23"/>
      <c r="J698" s="23"/>
      <c r="K698" s="26" t="s">
        <v>400</v>
      </c>
      <c r="L698" s="27"/>
      <c r="M698" s="27"/>
    </row>
    <row r="699" spans="1:13" ht="15.75" customHeight="1">
      <c r="A699" s="22">
        <v>9524848</v>
      </c>
      <c r="B699" s="23" t="s">
        <v>7259</v>
      </c>
      <c r="C699" s="23" t="s">
        <v>7260</v>
      </c>
      <c r="D699" s="23" t="s">
        <v>7261</v>
      </c>
      <c r="E699" s="23" t="s">
        <v>2875</v>
      </c>
      <c r="F699" s="23" t="s">
        <v>5080</v>
      </c>
      <c r="G699" s="22">
        <v>1998</v>
      </c>
      <c r="H699" s="24">
        <v>35888</v>
      </c>
      <c r="I699" s="23"/>
      <c r="J699" s="23"/>
      <c r="K699" s="26" t="s">
        <v>2880</v>
      </c>
      <c r="L699" s="27"/>
      <c r="M699" s="23"/>
    </row>
    <row r="700" spans="1:13" ht="15.75" customHeight="1">
      <c r="A700" s="22">
        <v>11241800</v>
      </c>
      <c r="B700" s="23" t="s">
        <v>7262</v>
      </c>
      <c r="C700" s="23" t="s">
        <v>7263</v>
      </c>
      <c r="D700" s="23" t="s">
        <v>7264</v>
      </c>
      <c r="E700" s="23" t="s">
        <v>1879</v>
      </c>
      <c r="F700" s="23" t="s">
        <v>4859</v>
      </c>
      <c r="G700" s="22">
        <v>2001</v>
      </c>
      <c r="H700" s="24">
        <v>36960</v>
      </c>
      <c r="I700" s="23"/>
      <c r="J700" s="23"/>
      <c r="K700" s="26" t="s">
        <v>1888</v>
      </c>
      <c r="L700" s="27"/>
      <c r="M700" s="23"/>
    </row>
    <row r="701" spans="1:13" ht="15.75" customHeight="1">
      <c r="A701" s="22">
        <v>32604892</v>
      </c>
      <c r="B701" s="23" t="s">
        <v>7265</v>
      </c>
      <c r="C701" s="23" t="s">
        <v>7266</v>
      </c>
      <c r="D701" s="23" t="s">
        <v>7267</v>
      </c>
      <c r="E701" s="23" t="s">
        <v>4130</v>
      </c>
      <c r="F701" s="23" t="s">
        <v>4842</v>
      </c>
      <c r="G701" s="22">
        <v>2020</v>
      </c>
      <c r="H701" s="24">
        <v>44014</v>
      </c>
      <c r="I701" s="26" t="s">
        <v>7268</v>
      </c>
      <c r="J701" s="27"/>
      <c r="K701" s="26" t="s">
        <v>4131</v>
      </c>
      <c r="L701" s="27"/>
      <c r="M701" s="23"/>
    </row>
    <row r="702" spans="1:13" ht="15.75" customHeight="1">
      <c r="A702" s="22">
        <v>20534278</v>
      </c>
      <c r="B702" s="23" t="s">
        <v>7269</v>
      </c>
      <c r="C702" s="23" t="s">
        <v>7270</v>
      </c>
      <c r="D702" s="23" t="s">
        <v>7271</v>
      </c>
      <c r="E702" s="23" t="s">
        <v>545</v>
      </c>
      <c r="F702" s="23" t="s">
        <v>5696</v>
      </c>
      <c r="G702" s="22">
        <v>2010</v>
      </c>
      <c r="H702" s="24">
        <v>40340</v>
      </c>
      <c r="I702" s="23"/>
      <c r="J702" s="23"/>
      <c r="K702" s="26" t="s">
        <v>1717</v>
      </c>
      <c r="L702" s="27"/>
      <c r="M702" s="27"/>
    </row>
    <row r="703" spans="1:13" ht="15.75" customHeight="1">
      <c r="A703" s="22">
        <v>22415068</v>
      </c>
      <c r="B703" s="23" t="s">
        <v>7272</v>
      </c>
      <c r="C703" s="23" t="s">
        <v>7273</v>
      </c>
      <c r="D703" s="23" t="s">
        <v>7274</v>
      </c>
      <c r="E703" s="23" t="s">
        <v>1187</v>
      </c>
      <c r="F703" s="23" t="s">
        <v>5319</v>
      </c>
      <c r="G703" s="22">
        <v>2012</v>
      </c>
      <c r="H703" s="24">
        <v>40983</v>
      </c>
      <c r="I703" s="23"/>
      <c r="J703" s="23"/>
      <c r="K703" s="26" t="s">
        <v>1188</v>
      </c>
      <c r="L703" s="27"/>
      <c r="M703" s="27"/>
    </row>
    <row r="704" spans="1:13" ht="15.75" customHeight="1">
      <c r="A704" s="22">
        <v>17519796</v>
      </c>
      <c r="B704" s="23" t="s">
        <v>7275</v>
      </c>
      <c r="C704" s="23" t="s">
        <v>7276</v>
      </c>
      <c r="D704" s="23" t="s">
        <v>7277</v>
      </c>
      <c r="E704" s="23" t="s">
        <v>845</v>
      </c>
      <c r="F704" s="23" t="s">
        <v>5445</v>
      </c>
      <c r="G704" s="22">
        <v>2007</v>
      </c>
      <c r="H704" s="24">
        <v>39226</v>
      </c>
      <c r="I704" s="23"/>
      <c r="J704" s="23"/>
      <c r="K704" s="26" t="s">
        <v>3744</v>
      </c>
      <c r="L704" s="27"/>
      <c r="M704" s="27"/>
    </row>
    <row r="705" spans="1:13" ht="15.75" customHeight="1">
      <c r="A705" s="22">
        <v>23573902</v>
      </c>
      <c r="B705" s="23" t="s">
        <v>7278</v>
      </c>
      <c r="C705" s="23" t="s">
        <v>7279</v>
      </c>
      <c r="D705" s="23" t="s">
        <v>7280</v>
      </c>
      <c r="E705" s="23" t="s">
        <v>2322</v>
      </c>
      <c r="F705" s="23" t="s">
        <v>7281</v>
      </c>
      <c r="G705" s="22">
        <v>2013</v>
      </c>
      <c r="H705" s="24">
        <v>41376</v>
      </c>
      <c r="I705" s="23"/>
      <c r="J705" s="23"/>
      <c r="K705" s="26" t="s">
        <v>2323</v>
      </c>
      <c r="L705" s="27"/>
      <c r="M705" s="23"/>
    </row>
    <row r="706" spans="1:13" ht="15.75" customHeight="1">
      <c r="A706" s="22">
        <v>2172295</v>
      </c>
      <c r="B706" s="23" t="s">
        <v>7282</v>
      </c>
      <c r="C706" s="23" t="s">
        <v>7283</v>
      </c>
      <c r="D706" s="23" t="s">
        <v>7284</v>
      </c>
      <c r="E706" s="23" t="s">
        <v>4545</v>
      </c>
      <c r="F706" s="23" t="s">
        <v>5331</v>
      </c>
      <c r="G706" s="22">
        <v>1990</v>
      </c>
      <c r="H706" s="24">
        <v>33117</v>
      </c>
      <c r="I706" s="23" t="s">
        <v>7285</v>
      </c>
      <c r="J706" s="23"/>
      <c r="K706" s="26" t="s">
        <v>4546</v>
      </c>
      <c r="L706" s="27"/>
      <c r="M706" s="27"/>
    </row>
    <row r="707" spans="1:13" ht="15.75" customHeight="1">
      <c r="A707" s="22">
        <v>9820639</v>
      </c>
      <c r="B707" s="23" t="s">
        <v>7286</v>
      </c>
      <c r="C707" s="23" t="s">
        <v>7287</v>
      </c>
      <c r="D707" s="23" t="s">
        <v>7288</v>
      </c>
      <c r="E707" s="23" t="s">
        <v>4310</v>
      </c>
      <c r="F707" s="23" t="s">
        <v>5437</v>
      </c>
      <c r="G707" s="22">
        <v>1998</v>
      </c>
      <c r="H707" s="24">
        <v>36119</v>
      </c>
      <c r="I707" s="23"/>
      <c r="J707" s="23"/>
      <c r="K707" s="26" t="s">
        <v>4311</v>
      </c>
      <c r="L707" s="27"/>
      <c r="M707" s="27"/>
    </row>
    <row r="708" spans="1:13" ht="15.75" customHeight="1">
      <c r="A708" s="22">
        <v>9260752</v>
      </c>
      <c r="B708" s="23" t="s">
        <v>7289</v>
      </c>
      <c r="C708" s="23" t="s">
        <v>7290</v>
      </c>
      <c r="D708" s="23" t="s">
        <v>7291</v>
      </c>
      <c r="E708" s="23" t="s">
        <v>3560</v>
      </c>
      <c r="F708" s="23" t="s">
        <v>7017</v>
      </c>
      <c r="G708" s="22">
        <v>1997</v>
      </c>
      <c r="H708" s="24">
        <v>35643</v>
      </c>
      <c r="I708" s="23"/>
      <c r="J708" s="23"/>
      <c r="K708" s="26" t="s">
        <v>3561</v>
      </c>
      <c r="L708" s="27"/>
      <c r="M708" s="23"/>
    </row>
    <row r="709" spans="1:13" ht="15.75" customHeight="1">
      <c r="A709" s="22">
        <v>24548875</v>
      </c>
      <c r="B709" s="23" t="s">
        <v>7292</v>
      </c>
      <c r="C709" s="23" t="s">
        <v>7293</v>
      </c>
      <c r="D709" s="23" t="s">
        <v>7294</v>
      </c>
      <c r="E709" s="23" t="s">
        <v>189</v>
      </c>
      <c r="F709" s="23" t="s">
        <v>5076</v>
      </c>
      <c r="G709" s="22">
        <v>2014</v>
      </c>
      <c r="H709" s="24">
        <v>41690</v>
      </c>
      <c r="I709" s="23" t="s">
        <v>7295</v>
      </c>
      <c r="J709" s="23" t="s">
        <v>7296</v>
      </c>
      <c r="K709" s="26" t="s">
        <v>397</v>
      </c>
      <c r="L709" s="27"/>
      <c r="M709" s="27"/>
    </row>
    <row r="710" spans="1:13" ht="15.75" customHeight="1">
      <c r="A710" s="22">
        <v>21525341</v>
      </c>
      <c r="B710" s="23" t="s">
        <v>7297</v>
      </c>
      <c r="C710" s="23" t="s">
        <v>7298</v>
      </c>
      <c r="D710" s="23" t="s">
        <v>7299</v>
      </c>
      <c r="E710" s="23" t="s">
        <v>2944</v>
      </c>
      <c r="F710" s="23" t="s">
        <v>4891</v>
      </c>
      <c r="G710" s="22">
        <v>2011</v>
      </c>
      <c r="H710" s="24">
        <v>40662</v>
      </c>
      <c r="I710" s="26" t="s">
        <v>7300</v>
      </c>
      <c r="J710" s="27"/>
      <c r="K710" s="26" t="s">
        <v>2947</v>
      </c>
      <c r="L710" s="27"/>
      <c r="M710" s="23"/>
    </row>
    <row r="711" spans="1:13" ht="15.75" customHeight="1">
      <c r="A711" s="22">
        <v>12239310</v>
      </c>
      <c r="B711" s="23" t="s">
        <v>7301</v>
      </c>
      <c r="C711" s="23" t="s">
        <v>7302</v>
      </c>
      <c r="D711" s="23" t="s">
        <v>7303</v>
      </c>
      <c r="E711" s="23" t="s">
        <v>2594</v>
      </c>
      <c r="F711" s="23" t="s">
        <v>4891</v>
      </c>
      <c r="G711" s="22">
        <v>2002</v>
      </c>
      <c r="H711" s="24">
        <v>37519</v>
      </c>
      <c r="I711" s="23" t="s">
        <v>7304</v>
      </c>
      <c r="J711" s="23"/>
      <c r="K711" s="26" t="s">
        <v>2595</v>
      </c>
      <c r="L711" s="27"/>
      <c r="M711" s="27"/>
    </row>
    <row r="712" spans="1:13" ht="15.75" customHeight="1">
      <c r="A712" s="22">
        <v>8151768</v>
      </c>
      <c r="B712" s="23" t="s">
        <v>7305</v>
      </c>
      <c r="C712" s="23" t="s">
        <v>7306</v>
      </c>
      <c r="D712" s="23" t="s">
        <v>7307</v>
      </c>
      <c r="E712" s="23" t="s">
        <v>3908</v>
      </c>
      <c r="F712" s="23" t="s">
        <v>4891</v>
      </c>
      <c r="G712" s="22">
        <v>1994</v>
      </c>
      <c r="H712" s="24">
        <v>34455</v>
      </c>
      <c r="I712" s="23" t="s">
        <v>7308</v>
      </c>
      <c r="J712" s="23"/>
      <c r="K712" s="26" t="s">
        <v>3909</v>
      </c>
      <c r="L712" s="27"/>
      <c r="M712" s="27"/>
    </row>
    <row r="713" spans="1:13" ht="15.75" customHeight="1">
      <c r="A713" s="22">
        <v>12399238</v>
      </c>
      <c r="B713" s="23" t="s">
        <v>7309</v>
      </c>
      <c r="C713" s="23" t="s">
        <v>7310</v>
      </c>
      <c r="D713" s="23" t="s">
        <v>7311</v>
      </c>
      <c r="E713" s="23" t="s">
        <v>3917</v>
      </c>
      <c r="F713" s="23" t="s">
        <v>7312</v>
      </c>
      <c r="G713" s="22">
        <v>2002</v>
      </c>
      <c r="H713" s="24">
        <v>37555</v>
      </c>
      <c r="I713" s="23"/>
      <c r="J713" s="23"/>
      <c r="K713" s="26" t="s">
        <v>3918</v>
      </c>
      <c r="L713" s="27"/>
      <c r="M713" s="27"/>
    </row>
    <row r="714" spans="1:13" ht="15.75" customHeight="1">
      <c r="A714" s="22">
        <v>9781644</v>
      </c>
      <c r="B714" s="23" t="s">
        <v>7313</v>
      </c>
      <c r="C714" s="23" t="s">
        <v>7314</v>
      </c>
      <c r="D714" s="23" t="s">
        <v>7315</v>
      </c>
      <c r="E714" s="23" t="s">
        <v>2388</v>
      </c>
      <c r="F714" s="23" t="s">
        <v>7316</v>
      </c>
      <c r="G714" s="22">
        <v>1998</v>
      </c>
      <c r="H714" s="24">
        <v>36090</v>
      </c>
      <c r="I714" s="23"/>
      <c r="J714" s="23"/>
      <c r="K714" s="26" t="s">
        <v>2390</v>
      </c>
      <c r="L714" s="27"/>
      <c r="M714" s="27"/>
    </row>
    <row r="715" spans="1:13" ht="15.75" customHeight="1">
      <c r="A715" s="22">
        <v>19856546</v>
      </c>
      <c r="B715" s="23" t="s">
        <v>7317</v>
      </c>
      <c r="C715" s="23" t="s">
        <v>7318</v>
      </c>
      <c r="D715" s="23" t="s">
        <v>7319</v>
      </c>
      <c r="E715" s="23" t="s">
        <v>4296</v>
      </c>
      <c r="F715" s="23" t="s">
        <v>5449</v>
      </c>
      <c r="G715" s="22">
        <v>2008</v>
      </c>
      <c r="H715" s="24">
        <v>40114</v>
      </c>
      <c r="I715" s="23"/>
      <c r="J715" s="23"/>
      <c r="K715" s="23"/>
      <c r="L715" s="23"/>
      <c r="M715" s="23"/>
    </row>
    <row r="716" spans="1:13" ht="15.75" customHeight="1">
      <c r="A716" s="22">
        <v>25915811</v>
      </c>
      <c r="B716" s="23" t="s">
        <v>7320</v>
      </c>
      <c r="C716" s="23" t="s">
        <v>7321</v>
      </c>
      <c r="D716" s="23" t="s">
        <v>7322</v>
      </c>
      <c r="E716" s="23" t="s">
        <v>151</v>
      </c>
      <c r="F716" s="23" t="s">
        <v>4863</v>
      </c>
      <c r="G716" s="22">
        <v>2015</v>
      </c>
      <c r="H716" s="24">
        <v>42122</v>
      </c>
      <c r="I716" s="23"/>
      <c r="J716" s="23"/>
      <c r="K716" s="26" t="s">
        <v>3426</v>
      </c>
      <c r="L716" s="27"/>
      <c r="M716" s="23"/>
    </row>
    <row r="717" spans="1:13" ht="15.75" customHeight="1">
      <c r="A717" s="22">
        <v>32324868</v>
      </c>
      <c r="B717" s="23" t="s">
        <v>7323</v>
      </c>
      <c r="C717" s="23" t="s">
        <v>7324</v>
      </c>
      <c r="D717" s="23" t="s">
        <v>7325</v>
      </c>
      <c r="E717" s="23" t="s">
        <v>249</v>
      </c>
      <c r="F717" s="23" t="s">
        <v>5343</v>
      </c>
      <c r="G717" s="22">
        <v>2020</v>
      </c>
      <c r="H717" s="24">
        <v>43945</v>
      </c>
      <c r="I717" s="23"/>
      <c r="J717" s="23"/>
      <c r="K717" s="26" t="s">
        <v>2987</v>
      </c>
      <c r="L717" s="27"/>
      <c r="M717" s="27"/>
    </row>
    <row r="718" spans="1:13" ht="15.75" customHeight="1">
      <c r="A718" s="22">
        <v>16401906</v>
      </c>
      <c r="B718" s="23" t="s">
        <v>7326</v>
      </c>
      <c r="C718" s="23" t="s">
        <v>7327</v>
      </c>
      <c r="D718" s="23" t="s">
        <v>7328</v>
      </c>
      <c r="E718" s="23" t="s">
        <v>4368</v>
      </c>
      <c r="F718" s="23" t="s">
        <v>5878</v>
      </c>
      <c r="G718" s="22">
        <v>2005</v>
      </c>
      <c r="H718" s="24">
        <v>38730</v>
      </c>
      <c r="I718" s="23"/>
      <c r="J718" s="23"/>
      <c r="K718" s="26" t="s">
        <v>4369</v>
      </c>
      <c r="L718" s="27"/>
      <c r="M718" s="23"/>
    </row>
    <row r="719" spans="1:13" ht="15.75" customHeight="1">
      <c r="A719" s="22">
        <v>24740222</v>
      </c>
      <c r="B719" s="23" t="s">
        <v>7329</v>
      </c>
      <c r="C719" s="23" t="s">
        <v>7330</v>
      </c>
      <c r="D719" s="23" t="s">
        <v>7331</v>
      </c>
      <c r="E719" s="23" t="s">
        <v>3826</v>
      </c>
      <c r="F719" s="23" t="s">
        <v>7332</v>
      </c>
      <c r="G719" s="22">
        <v>2014</v>
      </c>
      <c r="H719" s="24">
        <v>41747</v>
      </c>
      <c r="I719" s="23"/>
      <c r="J719" s="23"/>
      <c r="K719" s="26" t="s">
        <v>3827</v>
      </c>
      <c r="L719" s="27"/>
      <c r="M719" s="27"/>
    </row>
    <row r="720" spans="1:13" ht="15.75" customHeight="1">
      <c r="A720" s="22">
        <v>1963049</v>
      </c>
      <c r="B720" s="23" t="s">
        <v>7333</v>
      </c>
      <c r="C720" s="23" t="s">
        <v>7334</v>
      </c>
      <c r="D720" s="23" t="s">
        <v>7335</v>
      </c>
      <c r="E720" s="23" t="s">
        <v>3555</v>
      </c>
      <c r="F720" s="23" t="s">
        <v>6522</v>
      </c>
      <c r="G720" s="22">
        <v>1990</v>
      </c>
      <c r="H720" s="24">
        <v>32874</v>
      </c>
      <c r="I720" s="23"/>
      <c r="J720" s="23"/>
      <c r="K720" s="26" t="s">
        <v>3558</v>
      </c>
      <c r="L720" s="27"/>
      <c r="M720" s="27"/>
    </row>
    <row r="721" spans="1:13" ht="15.75" customHeight="1">
      <c r="A721" s="22">
        <v>1348547</v>
      </c>
      <c r="B721" s="23" t="s">
        <v>7336</v>
      </c>
      <c r="C721" s="23" t="s">
        <v>5498</v>
      </c>
      <c r="D721" s="23" t="s">
        <v>7337</v>
      </c>
      <c r="E721" s="23" t="s">
        <v>4514</v>
      </c>
      <c r="F721" s="23" t="s">
        <v>4891</v>
      </c>
      <c r="G721" s="22">
        <v>1992</v>
      </c>
      <c r="H721" s="24">
        <v>33725</v>
      </c>
      <c r="I721" s="23" t="s">
        <v>7338</v>
      </c>
      <c r="J721" s="23"/>
      <c r="K721" s="26" t="s">
        <v>4517</v>
      </c>
      <c r="L721" s="27"/>
      <c r="M721" s="27"/>
    </row>
    <row r="722" spans="1:13" ht="15.75" customHeight="1">
      <c r="A722" s="22">
        <v>16758753</v>
      </c>
      <c r="B722" s="23" t="s">
        <v>7339</v>
      </c>
      <c r="C722" s="23" t="s">
        <v>7340</v>
      </c>
      <c r="D722" s="23" t="s">
        <v>7341</v>
      </c>
      <c r="E722" s="23" t="s">
        <v>1832</v>
      </c>
      <c r="F722" s="23" t="s">
        <v>6968</v>
      </c>
      <c r="G722" s="22">
        <v>2006</v>
      </c>
      <c r="H722" s="24">
        <v>38877</v>
      </c>
      <c r="I722" s="23"/>
      <c r="J722" s="23"/>
      <c r="K722" s="23"/>
      <c r="L722" s="23"/>
      <c r="M722" s="23"/>
    </row>
    <row r="723" spans="1:13" ht="15.75" customHeight="1">
      <c r="A723" s="22">
        <v>20345999</v>
      </c>
      <c r="B723" s="23" t="s">
        <v>7342</v>
      </c>
      <c r="C723" s="23" t="s">
        <v>7343</v>
      </c>
      <c r="D723" s="23" t="s">
        <v>7344</v>
      </c>
      <c r="E723" s="23" t="s">
        <v>3402</v>
      </c>
      <c r="F723" s="23" t="s">
        <v>7345</v>
      </c>
      <c r="G723" s="22">
        <v>2010</v>
      </c>
      <c r="H723" s="24">
        <v>40267</v>
      </c>
      <c r="I723" s="23"/>
      <c r="J723" s="23"/>
      <c r="K723" s="26" t="s">
        <v>3405</v>
      </c>
      <c r="L723" s="27"/>
      <c r="M723" s="27"/>
    </row>
    <row r="724" spans="1:13" ht="15.75" customHeight="1">
      <c r="A724" s="22">
        <v>28783148</v>
      </c>
      <c r="B724" s="23" t="s">
        <v>7346</v>
      </c>
      <c r="C724" s="23" t="s">
        <v>7347</v>
      </c>
      <c r="D724" s="23" t="s">
        <v>7348</v>
      </c>
      <c r="E724" s="23" t="s">
        <v>151</v>
      </c>
      <c r="F724" s="23" t="s">
        <v>4863</v>
      </c>
      <c r="G724" s="22">
        <v>2017</v>
      </c>
      <c r="H724" s="24">
        <v>42955</v>
      </c>
      <c r="I724" s="23"/>
      <c r="J724" s="23"/>
      <c r="K724" s="26" t="s">
        <v>799</v>
      </c>
      <c r="L724" s="27"/>
      <c r="M724" s="23"/>
    </row>
    <row r="725" spans="1:13" ht="15.75" customHeight="1">
      <c r="A725" s="22">
        <v>26474793</v>
      </c>
      <c r="B725" s="23" t="s">
        <v>7349</v>
      </c>
      <c r="C725" s="23" t="s">
        <v>7350</v>
      </c>
      <c r="D725" s="23" t="s">
        <v>7351</v>
      </c>
      <c r="E725" s="23" t="s">
        <v>1748</v>
      </c>
      <c r="F725" s="23" t="s">
        <v>7352</v>
      </c>
      <c r="G725" s="22">
        <v>2015</v>
      </c>
      <c r="H725" s="24">
        <v>42295</v>
      </c>
      <c r="I725" s="23"/>
      <c r="J725" s="23"/>
      <c r="K725" s="26" t="s">
        <v>1749</v>
      </c>
      <c r="L725" s="27"/>
      <c r="M725" s="27"/>
    </row>
    <row r="726" spans="1:13" ht="15.75" customHeight="1">
      <c r="A726" s="22">
        <v>23409116</v>
      </c>
      <c r="B726" s="23" t="s">
        <v>7353</v>
      </c>
      <c r="C726" s="23" t="s">
        <v>7354</v>
      </c>
      <c r="D726" s="23" t="s">
        <v>7355</v>
      </c>
      <c r="E726" s="23" t="s">
        <v>3978</v>
      </c>
      <c r="F726" s="23" t="s">
        <v>4978</v>
      </c>
      <c r="G726" s="22">
        <v>2013</v>
      </c>
      <c r="H726" s="24">
        <v>41320</v>
      </c>
      <c r="I726" s="26" t="s">
        <v>7356</v>
      </c>
      <c r="J726" s="27"/>
      <c r="K726" s="26" t="s">
        <v>3981</v>
      </c>
      <c r="L726" s="27"/>
      <c r="M726" s="27"/>
    </row>
    <row r="727" spans="1:13" ht="15.75" customHeight="1">
      <c r="A727" s="22">
        <v>1313531</v>
      </c>
      <c r="B727" s="23" t="s">
        <v>7357</v>
      </c>
      <c r="C727" s="23" t="s">
        <v>7358</v>
      </c>
      <c r="D727" s="23" t="s">
        <v>7359</v>
      </c>
      <c r="E727" s="23" t="s">
        <v>1570</v>
      </c>
      <c r="F727" s="23" t="s">
        <v>7360</v>
      </c>
      <c r="G727" s="22">
        <v>1992</v>
      </c>
      <c r="H727" s="24">
        <v>33604</v>
      </c>
      <c r="I727" s="23"/>
      <c r="J727" s="23"/>
      <c r="K727" s="23"/>
      <c r="L727" s="23"/>
      <c r="M727" s="23"/>
    </row>
    <row r="728" spans="1:13" ht="15.75" customHeight="1">
      <c r="A728" s="22">
        <v>32516328</v>
      </c>
      <c r="B728" s="23" t="s">
        <v>7361</v>
      </c>
      <c r="C728" s="23" t="s">
        <v>7362</v>
      </c>
      <c r="D728" s="23" t="s">
        <v>7363</v>
      </c>
      <c r="E728" s="23" t="s">
        <v>4497</v>
      </c>
      <c r="F728" s="23" t="s">
        <v>5059</v>
      </c>
      <c r="G728" s="22">
        <v>2020</v>
      </c>
      <c r="H728" s="24">
        <v>43992</v>
      </c>
      <c r="I728" s="26" t="s">
        <v>7364</v>
      </c>
      <c r="J728" s="27"/>
      <c r="K728" s="26" t="s">
        <v>4498</v>
      </c>
      <c r="L728" s="27"/>
      <c r="M728" s="27"/>
    </row>
    <row r="729" spans="1:13" ht="15.75" customHeight="1">
      <c r="A729" s="22">
        <v>8283170</v>
      </c>
      <c r="B729" s="23" t="s">
        <v>7365</v>
      </c>
      <c r="C729" s="23" t="s">
        <v>7366</v>
      </c>
      <c r="D729" s="23" t="s">
        <v>7367</v>
      </c>
      <c r="E729" s="23" t="s">
        <v>3618</v>
      </c>
      <c r="F729" s="23" t="s">
        <v>4923</v>
      </c>
      <c r="G729" s="22">
        <v>1993</v>
      </c>
      <c r="H729" s="24">
        <v>34243</v>
      </c>
      <c r="I729" s="23"/>
      <c r="J729" s="23"/>
      <c r="K729" s="26" t="s">
        <v>3619</v>
      </c>
      <c r="L729" s="27"/>
      <c r="M729" s="23"/>
    </row>
    <row r="730" spans="1:13" ht="15.75" customHeight="1">
      <c r="A730" s="22">
        <v>10698157</v>
      </c>
      <c r="B730" s="23" t="s">
        <v>7368</v>
      </c>
      <c r="C730" s="23" t="s">
        <v>7369</v>
      </c>
      <c r="D730" s="23" t="s">
        <v>7370</v>
      </c>
      <c r="E730" s="23" t="s">
        <v>2779</v>
      </c>
      <c r="F730" s="23" t="s">
        <v>7371</v>
      </c>
      <c r="G730" s="22">
        <v>2000</v>
      </c>
      <c r="H730" s="24">
        <v>36589</v>
      </c>
      <c r="I730" s="23"/>
      <c r="J730" s="23"/>
      <c r="K730" s="26" t="s">
        <v>2780</v>
      </c>
      <c r="L730" s="27"/>
      <c r="M730" s="27"/>
    </row>
    <row r="731" spans="1:13" ht="15.75" customHeight="1">
      <c r="A731" s="22">
        <v>17299707</v>
      </c>
      <c r="B731" s="23" t="s">
        <v>7372</v>
      </c>
      <c r="C731" s="23" t="s">
        <v>7373</v>
      </c>
      <c r="D731" s="23" t="s">
        <v>7374</v>
      </c>
      <c r="E731" s="23" t="s">
        <v>3435</v>
      </c>
      <c r="F731" s="23" t="s">
        <v>4992</v>
      </c>
      <c r="G731" s="22">
        <v>2007</v>
      </c>
      <c r="H731" s="24">
        <v>39128</v>
      </c>
      <c r="I731" s="23"/>
      <c r="J731" s="23"/>
      <c r="K731" s="26" t="s">
        <v>3436</v>
      </c>
      <c r="L731" s="27"/>
      <c r="M731" s="23"/>
    </row>
    <row r="732" spans="1:13" ht="15.75" customHeight="1">
      <c r="A732" s="22">
        <v>9207138</v>
      </c>
      <c r="B732" s="23" t="s">
        <v>7375</v>
      </c>
      <c r="C732" s="23" t="s">
        <v>7376</v>
      </c>
      <c r="D732" s="23" t="s">
        <v>7377</v>
      </c>
      <c r="E732" s="23" t="s">
        <v>2671</v>
      </c>
      <c r="F732" s="23" t="s">
        <v>5783</v>
      </c>
      <c r="G732" s="22">
        <v>1997</v>
      </c>
      <c r="H732" s="24">
        <v>35619</v>
      </c>
      <c r="I732" s="23" t="s">
        <v>7378</v>
      </c>
      <c r="J732" s="23"/>
      <c r="K732" s="26" t="s">
        <v>2674</v>
      </c>
      <c r="L732" s="27"/>
      <c r="M732" s="23"/>
    </row>
    <row r="733" spans="1:13" ht="15.75" customHeight="1">
      <c r="A733" s="22">
        <v>9266465</v>
      </c>
      <c r="B733" s="23" t="s">
        <v>7379</v>
      </c>
      <c r="C733" s="23" t="s">
        <v>7380</v>
      </c>
      <c r="D733" s="23" t="s">
        <v>7381</v>
      </c>
      <c r="E733" s="23" t="s">
        <v>3185</v>
      </c>
      <c r="F733" s="23" t="s">
        <v>7382</v>
      </c>
      <c r="G733" s="22">
        <v>1997</v>
      </c>
      <c r="H733" s="24">
        <v>35612</v>
      </c>
      <c r="I733" s="23"/>
      <c r="J733" s="23"/>
      <c r="K733" s="26" t="s">
        <v>3186</v>
      </c>
      <c r="L733" s="27"/>
      <c r="M733" s="23"/>
    </row>
    <row r="734" spans="1:13" ht="15.75" customHeight="1">
      <c r="A734" s="22">
        <v>12116027</v>
      </c>
      <c r="B734" s="23" t="s">
        <v>7383</v>
      </c>
      <c r="C734" s="23" t="s">
        <v>7384</v>
      </c>
      <c r="D734" s="23" t="s">
        <v>7385</v>
      </c>
      <c r="E734" s="23" t="s">
        <v>3441</v>
      </c>
      <c r="F734" s="23" t="s">
        <v>4923</v>
      </c>
      <c r="G734" s="22">
        <v>2002</v>
      </c>
      <c r="H734" s="24">
        <v>37450</v>
      </c>
      <c r="I734" s="23"/>
      <c r="J734" s="23"/>
      <c r="K734" s="26" t="s">
        <v>3444</v>
      </c>
      <c r="L734" s="27"/>
      <c r="M734" s="23"/>
    </row>
    <row r="735" spans="1:13" ht="15.75" customHeight="1">
      <c r="A735" s="22">
        <v>8059523</v>
      </c>
      <c r="B735" s="23" t="s">
        <v>7386</v>
      </c>
      <c r="C735" s="23" t="s">
        <v>7387</v>
      </c>
      <c r="D735" s="23" t="s">
        <v>7388</v>
      </c>
      <c r="E735" s="23" t="s">
        <v>4091</v>
      </c>
      <c r="F735" s="23" t="s">
        <v>7389</v>
      </c>
      <c r="G735" s="22">
        <v>1993</v>
      </c>
      <c r="H735" s="24">
        <v>34029</v>
      </c>
      <c r="I735" s="23"/>
      <c r="J735" s="23"/>
      <c r="K735" s="23"/>
      <c r="L735" s="23"/>
      <c r="M735" s="23"/>
    </row>
    <row r="736" spans="1:13" ht="15.75" customHeight="1">
      <c r="A736" s="22">
        <v>28092892</v>
      </c>
      <c r="B736" s="23" t="s">
        <v>7390</v>
      </c>
      <c r="C736" s="23" t="s">
        <v>7391</v>
      </c>
      <c r="D736" s="23" t="s">
        <v>7392</v>
      </c>
      <c r="E736" s="23" t="s">
        <v>3432</v>
      </c>
      <c r="F736" s="23" t="s">
        <v>5343</v>
      </c>
      <c r="G736" s="22">
        <v>2016</v>
      </c>
      <c r="H736" s="24">
        <v>42752</v>
      </c>
      <c r="I736" s="23"/>
      <c r="J736" s="23"/>
      <c r="K736" s="26" t="s">
        <v>3433</v>
      </c>
      <c r="L736" s="27"/>
      <c r="M736" s="27"/>
    </row>
    <row r="737" spans="1:13" ht="15.75" customHeight="1">
      <c r="A737" s="22">
        <v>38377081</v>
      </c>
      <c r="B737" s="23" t="s">
        <v>7393</v>
      </c>
      <c r="C737" s="23" t="s">
        <v>7394</v>
      </c>
      <c r="D737" s="23" t="s">
        <v>7395</v>
      </c>
      <c r="E737" s="23" t="s">
        <v>4730</v>
      </c>
      <c r="F737" s="23" t="s">
        <v>7396</v>
      </c>
      <c r="G737" s="22">
        <v>2024</v>
      </c>
      <c r="H737" s="24">
        <v>45342</v>
      </c>
      <c r="I737" s="23"/>
      <c r="J737" s="23"/>
      <c r="K737" s="26" t="s">
        <v>4731</v>
      </c>
      <c r="L737" s="27"/>
      <c r="M737" s="23"/>
    </row>
    <row r="738" spans="1:13" ht="15.75" customHeight="1">
      <c r="A738" s="22">
        <v>16474928</v>
      </c>
      <c r="B738" s="23" t="s">
        <v>7397</v>
      </c>
      <c r="C738" s="23" t="s">
        <v>7398</v>
      </c>
      <c r="D738" s="23" t="s">
        <v>7399</v>
      </c>
      <c r="E738" s="23" t="s">
        <v>2545</v>
      </c>
      <c r="F738" s="23" t="s">
        <v>5186</v>
      </c>
      <c r="G738" s="22">
        <v>2006</v>
      </c>
      <c r="H738" s="24">
        <v>38762</v>
      </c>
      <c r="I738" s="26" t="s">
        <v>7400</v>
      </c>
      <c r="J738" s="27"/>
      <c r="K738" s="26" t="s">
        <v>2548</v>
      </c>
      <c r="L738" s="27"/>
      <c r="M738" s="27"/>
    </row>
    <row r="739" spans="1:13" ht="15.75" customHeight="1">
      <c r="A739" s="22">
        <v>17222758</v>
      </c>
      <c r="B739" s="23" t="s">
        <v>7401</v>
      </c>
      <c r="C739" s="23" t="s">
        <v>7402</v>
      </c>
      <c r="D739" s="23" t="s">
        <v>7403</v>
      </c>
      <c r="E739" s="23" t="s">
        <v>985</v>
      </c>
      <c r="F739" s="23" t="s">
        <v>5076</v>
      </c>
      <c r="G739" s="22">
        <v>2007</v>
      </c>
      <c r="H739" s="24">
        <v>39098</v>
      </c>
      <c r="I739" s="23"/>
      <c r="J739" s="23"/>
      <c r="K739" s="26" t="s">
        <v>986</v>
      </c>
      <c r="L739" s="27"/>
      <c r="M739" s="27"/>
    </row>
    <row r="740" spans="1:13" ht="15.75" customHeight="1">
      <c r="A740" s="22">
        <v>18691755</v>
      </c>
      <c r="B740" s="23" t="s">
        <v>7404</v>
      </c>
      <c r="C740" s="23" t="s">
        <v>7405</v>
      </c>
      <c r="D740" s="23" t="s">
        <v>7406</v>
      </c>
      <c r="E740" s="23" t="s">
        <v>4213</v>
      </c>
      <c r="F740" s="23" t="s">
        <v>5844</v>
      </c>
      <c r="G740" s="22">
        <v>2009</v>
      </c>
      <c r="H740" s="24">
        <v>39672</v>
      </c>
      <c r="I740" s="23"/>
      <c r="J740" s="23"/>
      <c r="K740" s="26" t="s">
        <v>4214</v>
      </c>
      <c r="L740" s="27"/>
      <c r="M740" s="27"/>
    </row>
    <row r="741" spans="1:13" ht="15.75" customHeight="1">
      <c r="A741" s="22">
        <v>1652618</v>
      </c>
      <c r="B741" s="23" t="s">
        <v>7407</v>
      </c>
      <c r="C741" s="23" t="s">
        <v>7408</v>
      </c>
      <c r="D741" s="23" t="s">
        <v>7409</v>
      </c>
      <c r="E741" s="23" t="s">
        <v>4139</v>
      </c>
      <c r="F741" s="23" t="s">
        <v>4923</v>
      </c>
      <c r="G741" s="22">
        <v>1991</v>
      </c>
      <c r="H741" s="24">
        <v>33298</v>
      </c>
      <c r="I741" s="23"/>
      <c r="J741" s="23"/>
      <c r="K741" s="26" t="s">
        <v>4140</v>
      </c>
      <c r="L741" s="27"/>
      <c r="M741" s="23"/>
    </row>
    <row r="742" spans="1:13" ht="15.75" customHeight="1">
      <c r="A742" s="22">
        <v>8710068</v>
      </c>
      <c r="B742" s="23" t="s">
        <v>7410</v>
      </c>
      <c r="C742" s="23" t="s">
        <v>7411</v>
      </c>
      <c r="D742" s="23" t="s">
        <v>7412</v>
      </c>
      <c r="E742" s="23" t="s">
        <v>513</v>
      </c>
      <c r="F742" s="23" t="s">
        <v>7413</v>
      </c>
      <c r="G742" s="22">
        <v>1996</v>
      </c>
      <c r="H742" s="24">
        <v>35247</v>
      </c>
      <c r="I742" s="23"/>
      <c r="J742" s="23"/>
      <c r="K742" s="26" t="s">
        <v>1526</v>
      </c>
      <c r="L742" s="27"/>
      <c r="M742" s="23"/>
    </row>
    <row r="743" spans="1:13" ht="15.75" customHeight="1">
      <c r="A743" s="22">
        <v>8227605</v>
      </c>
      <c r="B743" s="23" t="s">
        <v>7414</v>
      </c>
      <c r="C743" s="23" t="s">
        <v>7415</v>
      </c>
      <c r="D743" s="23" t="s">
        <v>7416</v>
      </c>
      <c r="E743" s="23" t="s">
        <v>1428</v>
      </c>
      <c r="F743" s="23" t="s">
        <v>6939</v>
      </c>
      <c r="G743" s="22">
        <v>1993</v>
      </c>
      <c r="H743" s="24">
        <v>34182</v>
      </c>
      <c r="I743" s="23"/>
      <c r="J743" s="23"/>
      <c r="K743" s="26" t="s">
        <v>1429</v>
      </c>
      <c r="L743" s="27"/>
      <c r="M743" s="27"/>
    </row>
    <row r="744" spans="1:13" ht="15.75" customHeight="1">
      <c r="A744" s="22">
        <v>9632282</v>
      </c>
      <c r="B744" s="23" t="s">
        <v>7417</v>
      </c>
      <c r="C744" s="23" t="s">
        <v>7418</v>
      </c>
      <c r="D744" s="23" t="s">
        <v>7419</v>
      </c>
      <c r="E744" s="23" t="s">
        <v>2872</v>
      </c>
      <c r="F744" s="23" t="s">
        <v>4863</v>
      </c>
      <c r="G744" s="22">
        <v>1998</v>
      </c>
      <c r="H744" s="24">
        <v>35965</v>
      </c>
      <c r="I744" s="23"/>
      <c r="J744" s="23"/>
      <c r="K744" s="26" t="s">
        <v>2873</v>
      </c>
      <c r="L744" s="27"/>
      <c r="M744" s="23"/>
    </row>
    <row r="745" spans="1:13" ht="15.75" customHeight="1">
      <c r="A745" s="22">
        <v>15196083</v>
      </c>
      <c r="B745" s="23" t="s">
        <v>7420</v>
      </c>
      <c r="C745" s="23" t="s">
        <v>7421</v>
      </c>
      <c r="D745" s="23" t="s">
        <v>7422</v>
      </c>
      <c r="E745" s="23" t="s">
        <v>3353</v>
      </c>
      <c r="F745" s="23" t="s">
        <v>5726</v>
      </c>
      <c r="G745" s="22">
        <v>2004</v>
      </c>
      <c r="H745" s="24">
        <v>38154</v>
      </c>
      <c r="I745" s="23"/>
      <c r="J745" s="23"/>
      <c r="K745" s="26" t="s">
        <v>3354</v>
      </c>
      <c r="L745" s="27"/>
      <c r="M745" s="27"/>
    </row>
    <row r="746" spans="1:13" ht="15.75" customHeight="1">
      <c r="A746" s="22">
        <v>10800159</v>
      </c>
      <c r="B746" s="23" t="s">
        <v>7423</v>
      </c>
      <c r="C746" s="23" t="s">
        <v>7424</v>
      </c>
      <c r="D746" s="23" t="s">
        <v>7425</v>
      </c>
      <c r="E746" s="23" t="s">
        <v>252</v>
      </c>
      <c r="F746" s="23" t="s">
        <v>6289</v>
      </c>
      <c r="G746" s="22">
        <v>2000</v>
      </c>
      <c r="H746" s="24">
        <v>36655</v>
      </c>
      <c r="I746" s="23"/>
      <c r="J746" s="23"/>
      <c r="K746" s="23"/>
      <c r="L746" s="23"/>
      <c r="M746" s="23"/>
    </row>
    <row r="747" spans="1:13" ht="15.75" customHeight="1">
      <c r="A747" s="22">
        <v>9469397</v>
      </c>
      <c r="B747" s="23" t="s">
        <v>7426</v>
      </c>
      <c r="C747" s="23" t="s">
        <v>7427</v>
      </c>
      <c r="D747" s="23" t="s">
        <v>7428</v>
      </c>
      <c r="E747" s="23" t="s">
        <v>2713</v>
      </c>
      <c r="F747" s="23" t="s">
        <v>5982</v>
      </c>
      <c r="G747" s="22">
        <v>1998</v>
      </c>
      <c r="H747" s="24">
        <v>35846</v>
      </c>
      <c r="I747" s="23"/>
      <c r="J747" s="23"/>
      <c r="K747" s="26" t="s">
        <v>2714</v>
      </c>
      <c r="L747" s="27"/>
      <c r="M747" s="27"/>
    </row>
    <row r="748" spans="1:13" ht="15.75" customHeight="1">
      <c r="A748" s="22">
        <v>18166808</v>
      </c>
      <c r="B748" s="23" t="s">
        <v>7429</v>
      </c>
      <c r="C748" s="23" t="s">
        <v>7430</v>
      </c>
      <c r="D748" s="23" t="s">
        <v>7431</v>
      </c>
      <c r="E748" s="23" t="s">
        <v>1606</v>
      </c>
      <c r="F748" s="23" t="s">
        <v>6289</v>
      </c>
      <c r="G748" s="22">
        <v>2008</v>
      </c>
      <c r="H748" s="24">
        <v>39449</v>
      </c>
      <c r="I748" s="23"/>
      <c r="J748" s="23"/>
      <c r="K748" s="26" t="s">
        <v>1607</v>
      </c>
      <c r="L748" s="27"/>
      <c r="M748" s="23"/>
    </row>
    <row r="749" spans="1:13" ht="15.75" customHeight="1">
      <c r="A749" s="22">
        <v>31567413</v>
      </c>
      <c r="B749" s="23" t="s">
        <v>7432</v>
      </c>
      <c r="C749" s="23" t="s">
        <v>7433</v>
      </c>
      <c r="D749" s="23" t="s">
        <v>7434</v>
      </c>
      <c r="E749" s="23" t="s">
        <v>221</v>
      </c>
      <c r="F749" s="23" t="s">
        <v>5035</v>
      </c>
      <c r="G749" s="22">
        <v>2019</v>
      </c>
      <c r="H749" s="24">
        <v>43739</v>
      </c>
      <c r="I749" s="23" t="s">
        <v>7435</v>
      </c>
      <c r="J749" s="23" t="s">
        <v>7436</v>
      </c>
      <c r="K749" s="26" t="s">
        <v>2369</v>
      </c>
      <c r="L749" s="27"/>
      <c r="M749" s="27"/>
    </row>
    <row r="750" spans="1:13" ht="15.75" customHeight="1">
      <c r="A750" s="22">
        <v>31745253</v>
      </c>
      <c r="B750" s="23" t="s">
        <v>7437</v>
      </c>
      <c r="C750" s="23" t="s">
        <v>7438</v>
      </c>
      <c r="D750" s="23" t="s">
        <v>7439</v>
      </c>
      <c r="E750" s="23" t="s">
        <v>151</v>
      </c>
      <c r="F750" s="23" t="s">
        <v>4863</v>
      </c>
      <c r="G750" s="22">
        <v>2020</v>
      </c>
      <c r="H750" s="24">
        <v>43790</v>
      </c>
      <c r="I750" s="23"/>
      <c r="J750" s="23"/>
      <c r="K750" s="26" t="s">
        <v>3428</v>
      </c>
      <c r="L750" s="27"/>
      <c r="M750" s="27"/>
    </row>
    <row r="751" spans="1:13" ht="15.75" customHeight="1">
      <c r="A751" s="22">
        <v>15078943</v>
      </c>
      <c r="B751" s="23" t="s">
        <v>7440</v>
      </c>
      <c r="C751" s="23" t="s">
        <v>7441</v>
      </c>
      <c r="D751" s="23" t="s">
        <v>7442</v>
      </c>
      <c r="E751" s="23" t="s">
        <v>757</v>
      </c>
      <c r="F751" s="23" t="s">
        <v>4891</v>
      </c>
      <c r="G751" s="22">
        <v>2004</v>
      </c>
      <c r="H751" s="24">
        <v>38091</v>
      </c>
      <c r="I751" s="23" t="s">
        <v>7443</v>
      </c>
      <c r="J751" s="23"/>
      <c r="K751" s="26" t="s">
        <v>3280</v>
      </c>
      <c r="L751" s="27"/>
      <c r="M751" s="27"/>
    </row>
    <row r="752" spans="1:13" ht="15.75" customHeight="1">
      <c r="A752" s="22">
        <v>25066883</v>
      </c>
      <c r="B752" s="23" t="s">
        <v>7444</v>
      </c>
      <c r="C752" s="23" t="s">
        <v>7445</v>
      </c>
      <c r="D752" s="23" t="s">
        <v>7446</v>
      </c>
      <c r="E752" s="23" t="s">
        <v>221</v>
      </c>
      <c r="F752" s="23" t="s">
        <v>4896</v>
      </c>
      <c r="G752" s="22">
        <v>2014</v>
      </c>
      <c r="H752" s="24">
        <v>41849</v>
      </c>
      <c r="I752" s="23" t="s">
        <v>7447</v>
      </c>
      <c r="J752" s="23" t="s">
        <v>7448</v>
      </c>
      <c r="K752" s="26" t="s">
        <v>632</v>
      </c>
      <c r="L752" s="27"/>
      <c r="M752" s="27"/>
    </row>
    <row r="753" spans="1:13" ht="15.75" customHeight="1">
      <c r="A753" s="22">
        <v>10633848</v>
      </c>
      <c r="B753" s="23" t="s">
        <v>7449</v>
      </c>
      <c r="C753" s="23" t="s">
        <v>7450</v>
      </c>
      <c r="D753" s="23" t="s">
        <v>7451</v>
      </c>
      <c r="E753" s="23" t="s">
        <v>3546</v>
      </c>
      <c r="F753" s="23" t="s">
        <v>7452</v>
      </c>
      <c r="G753" s="22">
        <v>1999</v>
      </c>
      <c r="H753" s="24">
        <v>36539</v>
      </c>
      <c r="I753" s="23"/>
      <c r="J753" s="23"/>
      <c r="K753" s="26" t="s">
        <v>3547</v>
      </c>
      <c r="L753" s="27"/>
      <c r="M753" s="27"/>
    </row>
    <row r="754" spans="1:13" ht="15.75" customHeight="1">
      <c r="A754" s="22">
        <v>18818265</v>
      </c>
      <c r="B754" s="23" t="s">
        <v>7453</v>
      </c>
      <c r="C754" s="23" t="s">
        <v>7454</v>
      </c>
      <c r="D754" s="23" t="s">
        <v>7455</v>
      </c>
      <c r="E754" s="23" t="s">
        <v>1693</v>
      </c>
      <c r="F754" s="23" t="s">
        <v>6277</v>
      </c>
      <c r="G754" s="22">
        <v>2009</v>
      </c>
      <c r="H754" s="24">
        <v>39718</v>
      </c>
      <c r="I754" s="23"/>
      <c r="J754" s="23"/>
      <c r="K754" s="26" t="s">
        <v>1698</v>
      </c>
      <c r="L754" s="27"/>
      <c r="M754" s="23"/>
    </row>
    <row r="755" spans="1:13" ht="15.75" customHeight="1">
      <c r="A755" s="22">
        <v>24335704</v>
      </c>
      <c r="B755" s="23" t="s">
        <v>7456</v>
      </c>
      <c r="C755" s="23" t="s">
        <v>7457</v>
      </c>
      <c r="D755" s="23" t="s">
        <v>7458</v>
      </c>
      <c r="E755" s="23" t="s">
        <v>3970</v>
      </c>
      <c r="F755" s="23" t="s">
        <v>5783</v>
      </c>
      <c r="G755" s="22">
        <v>2014</v>
      </c>
      <c r="H755" s="24">
        <v>41625</v>
      </c>
      <c r="I755" s="26" t="s">
        <v>7459</v>
      </c>
      <c r="J755" s="27"/>
      <c r="K755" s="26" t="s">
        <v>3971</v>
      </c>
      <c r="L755" s="27"/>
      <c r="M755" s="27"/>
    </row>
    <row r="756" spans="1:13" ht="15.75" customHeight="1">
      <c r="A756" s="22">
        <v>33207265</v>
      </c>
      <c r="B756" s="23" t="s">
        <v>7460</v>
      </c>
      <c r="C756" s="23" t="s">
        <v>7461</v>
      </c>
      <c r="D756" s="23" t="s">
        <v>7462</v>
      </c>
      <c r="E756" s="23" t="s">
        <v>3795</v>
      </c>
      <c r="F756" s="23" t="s">
        <v>5122</v>
      </c>
      <c r="G756" s="22">
        <v>2021</v>
      </c>
      <c r="H756" s="24">
        <v>44153</v>
      </c>
      <c r="I756" s="23"/>
      <c r="J756" s="23"/>
      <c r="K756" s="26" t="s">
        <v>3800</v>
      </c>
      <c r="L756" s="27"/>
      <c r="M756" s="27"/>
    </row>
    <row r="757" spans="1:13" ht="15.75" customHeight="1">
      <c r="A757" s="22">
        <v>9033979</v>
      </c>
      <c r="B757" s="23" t="s">
        <v>7463</v>
      </c>
      <c r="C757" s="23" t="s">
        <v>7464</v>
      </c>
      <c r="D757" s="23" t="s">
        <v>7465</v>
      </c>
      <c r="E757" s="23" t="s">
        <v>2226</v>
      </c>
      <c r="F757" s="23" t="s">
        <v>7466</v>
      </c>
      <c r="G757" s="22">
        <v>1996</v>
      </c>
      <c r="H757" s="24">
        <v>35065</v>
      </c>
      <c r="I757" s="23"/>
      <c r="J757" s="23"/>
      <c r="K757" s="23"/>
      <c r="L757" s="23"/>
      <c r="M757" s="23"/>
    </row>
    <row r="758" spans="1:13" ht="15.75" customHeight="1">
      <c r="A758" s="22">
        <v>29156094</v>
      </c>
      <c r="B758" s="23" t="s">
        <v>7467</v>
      </c>
      <c r="C758" s="23" t="s">
        <v>7468</v>
      </c>
      <c r="D758" s="23" t="s">
        <v>7469</v>
      </c>
      <c r="E758" s="23" t="s">
        <v>842</v>
      </c>
      <c r="F758" s="23" t="s">
        <v>4974</v>
      </c>
      <c r="G758" s="22">
        <v>2018</v>
      </c>
      <c r="H758" s="24">
        <v>43060</v>
      </c>
      <c r="I758" s="23"/>
      <c r="J758" s="23"/>
      <c r="K758" s="26" t="s">
        <v>3679</v>
      </c>
      <c r="L758" s="27"/>
      <c r="M758" s="23"/>
    </row>
    <row r="759" spans="1:13" ht="15.75" customHeight="1">
      <c r="A759" s="22">
        <v>15904975</v>
      </c>
      <c r="B759" s="23" t="s">
        <v>7470</v>
      </c>
      <c r="C759" s="23" t="s">
        <v>7471</v>
      </c>
      <c r="D759" s="23" t="s">
        <v>7472</v>
      </c>
      <c r="E759" s="23" t="s">
        <v>3170</v>
      </c>
      <c r="F759" s="23" t="s">
        <v>7473</v>
      </c>
      <c r="G759" s="22">
        <v>2005</v>
      </c>
      <c r="H759" s="24">
        <v>38493</v>
      </c>
      <c r="I759" s="23"/>
      <c r="J759" s="23"/>
      <c r="K759" s="26" t="s">
        <v>3171</v>
      </c>
      <c r="L759" s="27"/>
      <c r="M759" s="27"/>
    </row>
    <row r="760" spans="1:13" ht="15.75" customHeight="1">
      <c r="A760" s="22">
        <v>1378586</v>
      </c>
      <c r="B760" s="23" t="s">
        <v>7474</v>
      </c>
      <c r="C760" s="23" t="s">
        <v>7475</v>
      </c>
      <c r="D760" s="23" t="s">
        <v>7476</v>
      </c>
      <c r="E760" s="23" t="s">
        <v>4159</v>
      </c>
      <c r="F760" s="23" t="s">
        <v>5982</v>
      </c>
      <c r="G760" s="22">
        <v>1992</v>
      </c>
      <c r="H760" s="24">
        <v>33725</v>
      </c>
      <c r="I760" s="23"/>
      <c r="J760" s="23"/>
      <c r="K760" s="26" t="s">
        <v>4160</v>
      </c>
      <c r="L760" s="27"/>
      <c r="M760" s="27"/>
    </row>
    <row r="761" spans="1:13" ht="15.75" customHeight="1">
      <c r="A761" s="22">
        <v>12704592</v>
      </c>
      <c r="B761" s="23" t="s">
        <v>7477</v>
      </c>
      <c r="C761" s="23" t="s">
        <v>7478</v>
      </c>
      <c r="D761" s="23" t="s">
        <v>7479</v>
      </c>
      <c r="E761" s="23" t="s">
        <v>1664</v>
      </c>
      <c r="F761" s="23" t="s">
        <v>7480</v>
      </c>
      <c r="G761" s="22">
        <v>2003</v>
      </c>
      <c r="H761" s="24">
        <v>37733</v>
      </c>
      <c r="I761" s="23"/>
      <c r="J761" s="23"/>
      <c r="K761" s="26" t="s">
        <v>1676</v>
      </c>
      <c r="L761" s="27"/>
      <c r="M761" s="27"/>
    </row>
    <row r="762" spans="1:13" ht="15.75" customHeight="1">
      <c r="A762" s="22">
        <v>29618688</v>
      </c>
      <c r="B762" s="23" t="s">
        <v>7481</v>
      </c>
      <c r="C762" s="23" t="s">
        <v>7482</v>
      </c>
      <c r="D762" s="23" t="s">
        <v>7483</v>
      </c>
      <c r="E762" s="23" t="s">
        <v>3845</v>
      </c>
      <c r="F762" s="23" t="s">
        <v>5047</v>
      </c>
      <c r="G762" s="22">
        <v>2018</v>
      </c>
      <c r="H762" s="24">
        <v>43196</v>
      </c>
      <c r="I762" s="23"/>
      <c r="J762" s="23"/>
      <c r="K762" s="26" t="s">
        <v>3846</v>
      </c>
      <c r="L762" s="27"/>
      <c r="M762" s="23"/>
    </row>
    <row r="763" spans="1:13" ht="15.75" customHeight="1">
      <c r="A763" s="22">
        <v>33491073</v>
      </c>
      <c r="B763" s="23" t="s">
        <v>7484</v>
      </c>
      <c r="C763" s="23" t="s">
        <v>7485</v>
      </c>
      <c r="D763" s="23" t="s">
        <v>7486</v>
      </c>
      <c r="E763" s="23" t="s">
        <v>3321</v>
      </c>
      <c r="F763" s="23" t="s">
        <v>7487</v>
      </c>
      <c r="G763" s="22">
        <v>2021</v>
      </c>
      <c r="H763" s="24">
        <v>44221</v>
      </c>
      <c r="I763" s="26" t="s">
        <v>7488</v>
      </c>
      <c r="J763" s="27"/>
      <c r="K763" s="26" t="s">
        <v>3322</v>
      </c>
      <c r="L763" s="27"/>
      <c r="M763" s="23"/>
    </row>
    <row r="764" spans="1:13" ht="15.75" customHeight="1">
      <c r="A764" s="22">
        <v>1656131</v>
      </c>
      <c r="B764" s="23" t="s">
        <v>7489</v>
      </c>
      <c r="C764" s="23" t="s">
        <v>7490</v>
      </c>
      <c r="D764" s="23" t="s">
        <v>7491</v>
      </c>
      <c r="E764" s="23" t="s">
        <v>4480</v>
      </c>
      <c r="F764" s="23" t="s">
        <v>7492</v>
      </c>
      <c r="G764" s="22">
        <v>1991</v>
      </c>
      <c r="H764" s="24">
        <v>33390</v>
      </c>
      <c r="I764" s="23"/>
      <c r="J764" s="23"/>
      <c r="K764" s="23"/>
      <c r="L764" s="23"/>
      <c r="M764" s="23"/>
    </row>
    <row r="765" spans="1:13" ht="15.75" customHeight="1">
      <c r="A765" s="22">
        <v>38953028</v>
      </c>
      <c r="B765" s="23" t="s">
        <v>7493</v>
      </c>
      <c r="C765" s="23" t="s">
        <v>7494</v>
      </c>
      <c r="D765" s="23" t="s">
        <v>7495</v>
      </c>
      <c r="E765" s="23" t="s">
        <v>4464</v>
      </c>
      <c r="F765" s="23" t="s">
        <v>4912</v>
      </c>
      <c r="G765" s="22">
        <v>2024</v>
      </c>
      <c r="H765" s="24">
        <v>45475</v>
      </c>
      <c r="I765" s="26" t="s">
        <v>7496</v>
      </c>
      <c r="J765" s="27"/>
      <c r="K765" s="26" t="s">
        <v>4786</v>
      </c>
      <c r="L765" s="27"/>
      <c r="M765" s="27"/>
    </row>
    <row r="766" spans="1:13" ht="15.75" customHeight="1">
      <c r="A766" s="22">
        <v>11920307</v>
      </c>
      <c r="B766" s="23" t="s">
        <v>7497</v>
      </c>
      <c r="C766" s="23" t="s">
        <v>7498</v>
      </c>
      <c r="D766" s="23" t="s">
        <v>7499</v>
      </c>
      <c r="E766" s="23" t="s">
        <v>195</v>
      </c>
      <c r="F766" s="23" t="s">
        <v>4992</v>
      </c>
      <c r="G766" s="22">
        <v>2002</v>
      </c>
      <c r="H766" s="24">
        <v>37344</v>
      </c>
      <c r="I766" s="23"/>
      <c r="J766" s="23"/>
      <c r="K766" s="26" t="s">
        <v>434</v>
      </c>
      <c r="L766" s="27"/>
      <c r="M766" s="23"/>
    </row>
    <row r="767" spans="1:13" ht="15.75" customHeight="1">
      <c r="A767" s="22">
        <v>17432230</v>
      </c>
      <c r="B767" s="23" t="s">
        <v>7500</v>
      </c>
      <c r="C767" s="23" t="s">
        <v>7501</v>
      </c>
      <c r="D767" s="23" t="s">
        <v>7502</v>
      </c>
      <c r="E767" s="23" t="s">
        <v>2110</v>
      </c>
      <c r="F767" s="23" t="s">
        <v>7182</v>
      </c>
      <c r="G767" s="22">
        <v>2006</v>
      </c>
      <c r="H767" s="24">
        <v>39189</v>
      </c>
      <c r="I767" s="23"/>
      <c r="J767" s="23"/>
      <c r="K767" s="23"/>
      <c r="L767" s="23"/>
      <c r="M767" s="23"/>
    </row>
    <row r="768" spans="1:13" ht="15.75" customHeight="1">
      <c r="A768" s="22">
        <v>22245897</v>
      </c>
      <c r="B768" s="23" t="s">
        <v>7503</v>
      </c>
      <c r="C768" s="23" t="s">
        <v>7504</v>
      </c>
      <c r="D768" s="23" t="s">
        <v>7505</v>
      </c>
      <c r="E768" s="23" t="s">
        <v>3615</v>
      </c>
      <c r="F768" s="23" t="s">
        <v>7312</v>
      </c>
      <c r="G768" s="22">
        <v>2012</v>
      </c>
      <c r="H768" s="24">
        <v>40925</v>
      </c>
      <c r="I768" s="23"/>
      <c r="J768" s="23"/>
      <c r="K768" s="26" t="s">
        <v>3616</v>
      </c>
      <c r="L768" s="27"/>
      <c r="M768" s="27"/>
    </row>
    <row r="769" spans="1:13" ht="15.75" customHeight="1">
      <c r="A769" s="22">
        <v>9770176</v>
      </c>
      <c r="B769" s="23" t="s">
        <v>7506</v>
      </c>
      <c r="C769" s="23" t="s">
        <v>7507</v>
      </c>
      <c r="D769" s="23" t="s">
        <v>7508</v>
      </c>
      <c r="E769" s="23" t="s">
        <v>1687</v>
      </c>
      <c r="F769" s="23" t="s">
        <v>5080</v>
      </c>
      <c r="G769" s="22">
        <v>1998</v>
      </c>
      <c r="H769" s="24">
        <v>36082</v>
      </c>
      <c r="I769" s="23"/>
      <c r="J769" s="23"/>
      <c r="K769" s="26" t="s">
        <v>1688</v>
      </c>
      <c r="L769" s="27"/>
      <c r="M769" s="23"/>
    </row>
    <row r="770" spans="1:13" ht="15.75" customHeight="1">
      <c r="A770" s="22">
        <v>26465970</v>
      </c>
      <c r="B770" s="23" t="s">
        <v>7509</v>
      </c>
      <c r="C770" s="23" t="s">
        <v>7510</v>
      </c>
      <c r="D770" s="23" t="s">
        <v>7511</v>
      </c>
      <c r="E770" s="23" t="s">
        <v>1419</v>
      </c>
      <c r="F770" s="23" t="s">
        <v>4896</v>
      </c>
      <c r="G770" s="22">
        <v>2015</v>
      </c>
      <c r="H770" s="24">
        <v>42292</v>
      </c>
      <c r="I770" s="23"/>
      <c r="J770" s="23"/>
      <c r="K770" s="26" t="s">
        <v>1420</v>
      </c>
      <c r="L770" s="27"/>
      <c r="M770" s="27"/>
    </row>
    <row r="771" spans="1:13" ht="15.75" customHeight="1">
      <c r="A771" s="22">
        <v>31378873</v>
      </c>
      <c r="B771" s="23" t="s">
        <v>7512</v>
      </c>
      <c r="C771" s="23" t="s">
        <v>7513</v>
      </c>
      <c r="D771" s="23" t="s">
        <v>7514</v>
      </c>
      <c r="E771" s="23" t="s">
        <v>1101</v>
      </c>
      <c r="F771" s="23" t="s">
        <v>7515</v>
      </c>
      <c r="G771" s="22">
        <v>2019</v>
      </c>
      <c r="H771" s="24">
        <v>43683</v>
      </c>
      <c r="I771" s="23"/>
      <c r="J771" s="23"/>
      <c r="K771" s="26" t="s">
        <v>1102</v>
      </c>
      <c r="L771" s="27"/>
      <c r="M771" s="23"/>
    </row>
    <row r="772" spans="1:13" ht="15.75" customHeight="1">
      <c r="A772" s="22">
        <v>11055083</v>
      </c>
      <c r="B772" s="26" t="s">
        <v>7516</v>
      </c>
      <c r="C772" s="27"/>
      <c r="D772" s="26" t="s">
        <v>7517</v>
      </c>
      <c r="E772" s="27"/>
      <c r="F772" s="23" t="s">
        <v>7518</v>
      </c>
      <c r="G772" s="22">
        <v>2000</v>
      </c>
      <c r="H772" s="24">
        <v>36830</v>
      </c>
      <c r="I772" s="23"/>
      <c r="J772" s="23"/>
      <c r="K772" s="23"/>
      <c r="L772" s="23"/>
      <c r="M772" s="23"/>
    </row>
    <row r="773" spans="1:13" ht="15.75" customHeight="1">
      <c r="A773" s="22">
        <v>11785448</v>
      </c>
      <c r="B773" s="23" t="s">
        <v>7519</v>
      </c>
      <c r="C773" s="23" t="s">
        <v>7520</v>
      </c>
      <c r="D773" s="23" t="s">
        <v>7521</v>
      </c>
      <c r="E773" s="23" t="s">
        <v>578</v>
      </c>
      <c r="F773" s="23" t="s">
        <v>7522</v>
      </c>
      <c r="G773" s="22">
        <v>2001</v>
      </c>
      <c r="H773" s="24">
        <v>37268</v>
      </c>
      <c r="I773" s="23"/>
      <c r="J773" s="23"/>
      <c r="K773" s="23"/>
      <c r="L773" s="23"/>
      <c r="M773" s="23"/>
    </row>
    <row r="774" spans="1:13" ht="15.75" customHeight="1">
      <c r="A774" s="22">
        <v>28783452</v>
      </c>
      <c r="B774" s="23" t="s">
        <v>7523</v>
      </c>
      <c r="C774" s="23" t="s">
        <v>7524</v>
      </c>
      <c r="D774" s="23" t="s">
        <v>7525</v>
      </c>
      <c r="E774" s="23" t="s">
        <v>933</v>
      </c>
      <c r="F774" s="23" t="s">
        <v>4935</v>
      </c>
      <c r="G774" s="22">
        <v>2017</v>
      </c>
      <c r="H774" s="24">
        <v>42955</v>
      </c>
      <c r="I774" s="26" t="s">
        <v>7526</v>
      </c>
      <c r="J774" s="27"/>
      <c r="K774" s="26" t="s">
        <v>934</v>
      </c>
      <c r="L774" s="27"/>
      <c r="M774" s="27"/>
    </row>
    <row r="775" spans="1:13" ht="15.75" customHeight="1">
      <c r="A775" s="22">
        <v>1657514</v>
      </c>
      <c r="B775" s="23" t="s">
        <v>7527</v>
      </c>
      <c r="C775" s="23" t="s">
        <v>7528</v>
      </c>
      <c r="D775" s="23" t="s">
        <v>7529</v>
      </c>
      <c r="E775" s="23" t="s">
        <v>3116</v>
      </c>
      <c r="F775" s="23" t="s">
        <v>7530</v>
      </c>
      <c r="G775" s="22">
        <v>1991</v>
      </c>
      <c r="H775" s="24">
        <v>33239</v>
      </c>
      <c r="I775" s="23"/>
      <c r="J775" s="23"/>
      <c r="K775" s="26" t="s">
        <v>3117</v>
      </c>
      <c r="L775" s="27"/>
      <c r="M775" s="27"/>
    </row>
    <row r="776" spans="1:13" ht="15.75" customHeight="1">
      <c r="A776" s="22">
        <v>29169653</v>
      </c>
      <c r="B776" s="23" t="s">
        <v>7531</v>
      </c>
      <c r="C776" s="23" t="s">
        <v>7532</v>
      </c>
      <c r="D776" s="23" t="s">
        <v>7533</v>
      </c>
      <c r="E776" s="23" t="s">
        <v>1433</v>
      </c>
      <c r="F776" s="23" t="s">
        <v>7534</v>
      </c>
      <c r="G776" s="22">
        <v>2017</v>
      </c>
      <c r="H776" s="24">
        <v>43064</v>
      </c>
      <c r="I776" s="23"/>
      <c r="J776" s="23"/>
      <c r="K776" s="26" t="s">
        <v>1434</v>
      </c>
      <c r="L776" s="27"/>
      <c r="M776" s="27"/>
    </row>
    <row r="777" spans="1:13" ht="15.75" customHeight="1">
      <c r="A777" s="22">
        <v>28822107</v>
      </c>
      <c r="B777" s="23" t="s">
        <v>7535</v>
      </c>
      <c r="C777" s="23" t="s">
        <v>7536</v>
      </c>
      <c r="D777" s="23" t="s">
        <v>7537</v>
      </c>
      <c r="E777" s="23" t="s">
        <v>3749</v>
      </c>
      <c r="F777" s="23" t="s">
        <v>4961</v>
      </c>
      <c r="G777" s="22">
        <v>2017</v>
      </c>
      <c r="H777" s="24">
        <v>42967</v>
      </c>
      <c r="I777" s="23"/>
      <c r="J777" s="23"/>
      <c r="K777" s="26" t="s">
        <v>3750</v>
      </c>
      <c r="L777" s="27"/>
      <c r="M777" s="27"/>
    </row>
    <row r="778" spans="1:13" ht="15.75" customHeight="1">
      <c r="A778" s="22">
        <v>23852888</v>
      </c>
      <c r="B778" s="23" t="s">
        <v>7538</v>
      </c>
      <c r="C778" s="23" t="s">
        <v>7539</v>
      </c>
      <c r="D778" s="23" t="s">
        <v>7540</v>
      </c>
      <c r="E778" s="23" t="s">
        <v>1245</v>
      </c>
      <c r="F778" s="23" t="s">
        <v>4923</v>
      </c>
      <c r="G778" s="22">
        <v>2013</v>
      </c>
      <c r="H778" s="24">
        <v>41471</v>
      </c>
      <c r="I778" s="23"/>
      <c r="J778" s="23"/>
      <c r="K778" s="26" t="s">
        <v>1246</v>
      </c>
      <c r="L778" s="27"/>
      <c r="M778" s="23"/>
    </row>
    <row r="779" spans="1:13" ht="15.75" customHeight="1">
      <c r="A779" s="22">
        <v>25249343</v>
      </c>
      <c r="B779" s="23" t="s">
        <v>7541</v>
      </c>
      <c r="C779" s="23" t="s">
        <v>7542</v>
      </c>
      <c r="D779" s="23" t="s">
        <v>7543</v>
      </c>
      <c r="E779" s="23" t="s">
        <v>3203</v>
      </c>
      <c r="F779" s="23" t="s">
        <v>4896</v>
      </c>
      <c r="G779" s="22">
        <v>2014</v>
      </c>
      <c r="H779" s="24">
        <v>41907</v>
      </c>
      <c r="I779" s="23"/>
      <c r="J779" s="23"/>
      <c r="K779" s="26" t="s">
        <v>3204</v>
      </c>
      <c r="L779" s="27"/>
      <c r="M779" s="27"/>
    </row>
    <row r="780" spans="1:13" ht="15.75" customHeight="1">
      <c r="A780" s="22">
        <v>12379892</v>
      </c>
      <c r="B780" s="23" t="s">
        <v>7544</v>
      </c>
      <c r="C780" s="23" t="s">
        <v>7545</v>
      </c>
      <c r="D780" s="23" t="s">
        <v>7546</v>
      </c>
      <c r="E780" s="23" t="s">
        <v>175</v>
      </c>
      <c r="F780" s="23" t="s">
        <v>4863</v>
      </c>
      <c r="G780" s="22">
        <v>2002</v>
      </c>
      <c r="H780" s="24">
        <v>37545</v>
      </c>
      <c r="I780" s="23"/>
      <c r="J780" s="23"/>
      <c r="K780" s="26" t="s">
        <v>954</v>
      </c>
      <c r="L780" s="27"/>
      <c r="M780" s="23"/>
    </row>
    <row r="781" spans="1:13" ht="15.75" customHeight="1">
      <c r="A781" s="22">
        <v>32786154</v>
      </c>
      <c r="B781" s="23" t="s">
        <v>7547</v>
      </c>
      <c r="C781" s="23" t="s">
        <v>7548</v>
      </c>
      <c r="D781" s="23" t="s">
        <v>7549</v>
      </c>
      <c r="E781" s="23" t="s">
        <v>4286</v>
      </c>
      <c r="F781" s="23" t="s">
        <v>4974</v>
      </c>
      <c r="G781" s="22">
        <v>2021</v>
      </c>
      <c r="H781" s="24">
        <v>44057</v>
      </c>
      <c r="I781" s="23"/>
      <c r="J781" s="23"/>
      <c r="K781" s="26" t="s">
        <v>4287</v>
      </c>
      <c r="L781" s="27"/>
      <c r="M781" s="23"/>
    </row>
    <row r="782" spans="1:13" ht="15.75" customHeight="1">
      <c r="A782" s="22">
        <v>22246831</v>
      </c>
      <c r="B782" s="23" t="s">
        <v>7550</v>
      </c>
      <c r="C782" s="23" t="s">
        <v>7551</v>
      </c>
      <c r="D782" s="23" t="s">
        <v>7552</v>
      </c>
      <c r="E782" s="23" t="s">
        <v>1478</v>
      </c>
      <c r="F782" s="23" t="s">
        <v>4923</v>
      </c>
      <c r="G782" s="22">
        <v>2012</v>
      </c>
      <c r="H782" s="24">
        <v>40925</v>
      </c>
      <c r="I782" s="23"/>
      <c r="J782" s="23"/>
      <c r="K782" s="26" t="s">
        <v>1479</v>
      </c>
      <c r="L782" s="27"/>
      <c r="M782" s="23"/>
    </row>
    <row r="783" spans="1:13" ht="15.75" customHeight="1">
      <c r="A783" s="22">
        <v>10221519</v>
      </c>
      <c r="B783" s="23" t="s">
        <v>7553</v>
      </c>
      <c r="C783" s="23" t="s">
        <v>7554</v>
      </c>
      <c r="D783" s="23" t="s">
        <v>7555</v>
      </c>
      <c r="E783" s="23" t="s">
        <v>2958</v>
      </c>
      <c r="F783" s="23" t="s">
        <v>5099</v>
      </c>
      <c r="G783" s="22">
        <v>1999</v>
      </c>
      <c r="H783" s="24">
        <v>36280</v>
      </c>
      <c r="I783" s="23"/>
      <c r="J783" s="23"/>
      <c r="K783" s="26" t="s">
        <v>2959</v>
      </c>
      <c r="L783" s="27"/>
      <c r="M783" s="27"/>
    </row>
    <row r="784" spans="1:13" ht="15.75" customHeight="1">
      <c r="A784" s="22">
        <v>20661655</v>
      </c>
      <c r="B784" s="23" t="s">
        <v>7556</v>
      </c>
      <c r="C784" s="23" t="s">
        <v>7557</v>
      </c>
      <c r="D784" s="23" t="s">
        <v>7558</v>
      </c>
      <c r="E784" s="23" t="s">
        <v>4566</v>
      </c>
      <c r="F784" s="23" t="s">
        <v>7559</v>
      </c>
      <c r="G784" s="22">
        <v>2010</v>
      </c>
      <c r="H784" s="24">
        <v>40387</v>
      </c>
      <c r="I784" s="23" t="s">
        <v>7560</v>
      </c>
      <c r="J784" s="23" t="s">
        <v>7561</v>
      </c>
      <c r="K784" s="26" t="s">
        <v>4571</v>
      </c>
      <c r="L784" s="27"/>
      <c r="M784" s="27"/>
    </row>
    <row r="785" spans="1:13" ht="15.75" customHeight="1">
      <c r="A785" s="22">
        <v>11689646</v>
      </c>
      <c r="B785" s="23" t="s">
        <v>7562</v>
      </c>
      <c r="C785" s="23" t="s">
        <v>7563</v>
      </c>
      <c r="D785" s="23" t="s">
        <v>7564</v>
      </c>
      <c r="E785" s="23" t="s">
        <v>3156</v>
      </c>
      <c r="F785" s="23" t="s">
        <v>4891</v>
      </c>
      <c r="G785" s="22">
        <v>2001</v>
      </c>
      <c r="H785" s="24">
        <v>37197</v>
      </c>
      <c r="I785" s="23" t="s">
        <v>7565</v>
      </c>
      <c r="J785" s="23"/>
      <c r="K785" s="26" t="s">
        <v>3157</v>
      </c>
      <c r="L785" s="27"/>
      <c r="M785" s="27"/>
    </row>
    <row r="786" spans="1:13" ht="15.75" customHeight="1">
      <c r="A786" s="22">
        <v>12529677</v>
      </c>
      <c r="B786" s="23" t="s">
        <v>7566</v>
      </c>
      <c r="C786" s="23" t="s">
        <v>7567</v>
      </c>
      <c r="D786" s="23" t="s">
        <v>7568</v>
      </c>
      <c r="E786" s="23" t="s">
        <v>2354</v>
      </c>
      <c r="F786" s="23" t="s">
        <v>6382</v>
      </c>
      <c r="G786" s="22">
        <v>2003</v>
      </c>
      <c r="H786" s="24">
        <v>37638</v>
      </c>
      <c r="I786" s="23"/>
      <c r="J786" s="23"/>
      <c r="K786" s="26" t="s">
        <v>2355</v>
      </c>
      <c r="L786" s="27"/>
      <c r="M786" s="23"/>
    </row>
    <row r="787" spans="1:13" ht="15.75" customHeight="1">
      <c r="A787" s="22">
        <v>25982843</v>
      </c>
      <c r="B787" s="23" t="s">
        <v>7569</v>
      </c>
      <c r="C787" s="23" t="s">
        <v>7570</v>
      </c>
      <c r="D787" s="23" t="s">
        <v>7571</v>
      </c>
      <c r="E787" s="23" t="s">
        <v>498</v>
      </c>
      <c r="F787" s="23" t="s">
        <v>7572</v>
      </c>
      <c r="G787" s="22">
        <v>2015</v>
      </c>
      <c r="H787" s="24">
        <v>42143</v>
      </c>
      <c r="I787" s="23"/>
      <c r="J787" s="23"/>
      <c r="K787" s="26" t="s">
        <v>499</v>
      </c>
      <c r="L787" s="27"/>
      <c r="M787" s="27"/>
    </row>
    <row r="788" spans="1:13" ht="15.75" customHeight="1">
      <c r="A788" s="22">
        <v>9882361</v>
      </c>
      <c r="B788" s="23" t="s">
        <v>7573</v>
      </c>
      <c r="C788" s="23" t="s">
        <v>7574</v>
      </c>
      <c r="D788" s="23" t="s">
        <v>7575</v>
      </c>
      <c r="E788" s="23" t="s">
        <v>2013</v>
      </c>
      <c r="F788" s="23" t="s">
        <v>4891</v>
      </c>
      <c r="G788" s="22">
        <v>1999</v>
      </c>
      <c r="H788" s="24">
        <v>36169</v>
      </c>
      <c r="I788" s="23" t="s">
        <v>7576</v>
      </c>
      <c r="J788" s="23"/>
      <c r="K788" s="26" t="s">
        <v>2014</v>
      </c>
      <c r="L788" s="27"/>
      <c r="M788" s="27"/>
    </row>
    <row r="789" spans="1:13" ht="15.75" customHeight="1">
      <c r="A789" s="22">
        <v>8392166</v>
      </c>
      <c r="B789" s="23" t="s">
        <v>7577</v>
      </c>
      <c r="C789" s="23" t="s">
        <v>7578</v>
      </c>
      <c r="D789" s="23" t="s">
        <v>7579</v>
      </c>
      <c r="E789" s="23" t="s">
        <v>195</v>
      </c>
      <c r="F789" s="23" t="s">
        <v>5982</v>
      </c>
      <c r="G789" s="22">
        <v>1993</v>
      </c>
      <c r="H789" s="24">
        <v>34090</v>
      </c>
      <c r="I789" s="23"/>
      <c r="J789" s="23"/>
      <c r="K789" s="26" t="s">
        <v>4655</v>
      </c>
      <c r="L789" s="27"/>
      <c r="M789" s="27"/>
    </row>
    <row r="790" spans="1:13" ht="15.75" customHeight="1">
      <c r="A790" s="22">
        <v>9359527</v>
      </c>
      <c r="B790" s="23" t="s">
        <v>7580</v>
      </c>
      <c r="C790" s="23" t="s">
        <v>7581</v>
      </c>
      <c r="D790" s="23" t="s">
        <v>7582</v>
      </c>
      <c r="E790" s="23" t="s">
        <v>4682</v>
      </c>
      <c r="F790" s="23" t="s">
        <v>5211</v>
      </c>
      <c r="G790" s="22">
        <v>1997</v>
      </c>
      <c r="H790" s="24">
        <v>35748</v>
      </c>
      <c r="I790" s="23"/>
      <c r="J790" s="23"/>
      <c r="K790" s="26" t="s">
        <v>4683</v>
      </c>
      <c r="L790" s="27"/>
      <c r="M790" s="27"/>
    </row>
    <row r="791" spans="1:13" ht="15.75" customHeight="1">
      <c r="A791" s="22">
        <v>31754252</v>
      </c>
      <c r="B791" s="23" t="s">
        <v>7583</v>
      </c>
      <c r="C791" s="23" t="s">
        <v>7584</v>
      </c>
      <c r="D791" s="23" t="s">
        <v>7585</v>
      </c>
      <c r="E791" s="23" t="s">
        <v>893</v>
      </c>
      <c r="F791" s="23" t="s">
        <v>4863</v>
      </c>
      <c r="G791" s="22">
        <v>2020</v>
      </c>
      <c r="H791" s="24">
        <v>43792</v>
      </c>
      <c r="I791" s="23"/>
      <c r="J791" s="23"/>
      <c r="K791" s="26" t="s">
        <v>894</v>
      </c>
      <c r="L791" s="27"/>
      <c r="M791" s="27"/>
    </row>
    <row r="792" spans="1:13" ht="15.75" customHeight="1">
      <c r="A792" s="22">
        <v>12925104</v>
      </c>
      <c r="B792" s="23" t="s">
        <v>7586</v>
      </c>
      <c r="C792" s="23" t="s">
        <v>7587</v>
      </c>
      <c r="D792" s="23" t="s">
        <v>7588</v>
      </c>
      <c r="E792" s="23" t="s">
        <v>3569</v>
      </c>
      <c r="F792" s="23" t="s">
        <v>4851</v>
      </c>
      <c r="G792" s="22">
        <v>2003</v>
      </c>
      <c r="H792" s="24">
        <v>37853</v>
      </c>
      <c r="I792" s="23"/>
      <c r="J792" s="23"/>
      <c r="K792" s="26" t="s">
        <v>3570</v>
      </c>
      <c r="L792" s="27"/>
      <c r="M792" s="27"/>
    </row>
    <row r="793" spans="1:13" ht="15.75" customHeight="1">
      <c r="A793" s="22">
        <v>30590622</v>
      </c>
      <c r="B793" s="23" t="s">
        <v>7589</v>
      </c>
      <c r="C793" s="23" t="s">
        <v>4915</v>
      </c>
      <c r="D793" s="23" t="s">
        <v>7590</v>
      </c>
      <c r="E793" s="23" t="s">
        <v>197</v>
      </c>
      <c r="F793" s="23" t="s">
        <v>7487</v>
      </c>
      <c r="G793" s="22">
        <v>2018</v>
      </c>
      <c r="H793" s="24">
        <v>43462</v>
      </c>
      <c r="I793" s="23"/>
      <c r="J793" s="23"/>
      <c r="K793" s="26" t="s">
        <v>4692</v>
      </c>
      <c r="L793" s="27"/>
      <c r="M793" s="23"/>
    </row>
    <row r="794" spans="1:13" ht="15.75" customHeight="1">
      <c r="A794" s="22">
        <v>1851861</v>
      </c>
      <c r="B794" s="23" t="s">
        <v>7591</v>
      </c>
      <c r="C794" s="23" t="s">
        <v>7592</v>
      </c>
      <c r="D794" s="23" t="s">
        <v>7593</v>
      </c>
      <c r="E794" s="23" t="s">
        <v>2412</v>
      </c>
      <c r="F794" s="23" t="s">
        <v>4891</v>
      </c>
      <c r="G794" s="22">
        <v>1991</v>
      </c>
      <c r="H794" s="24">
        <v>33390</v>
      </c>
      <c r="I794" s="23" t="s">
        <v>7594</v>
      </c>
      <c r="J794" s="23"/>
      <c r="K794" s="26" t="s">
        <v>2415</v>
      </c>
      <c r="L794" s="27"/>
      <c r="M794" s="27"/>
    </row>
    <row r="795" spans="1:13" ht="15.75" customHeight="1">
      <c r="A795" s="22">
        <v>21565944</v>
      </c>
      <c r="B795" s="23" t="s">
        <v>7595</v>
      </c>
      <c r="C795" s="23" t="s">
        <v>7596</v>
      </c>
      <c r="D795" s="23" t="s">
        <v>7597</v>
      </c>
      <c r="E795" s="23" t="s">
        <v>2902</v>
      </c>
      <c r="F795" s="23" t="s">
        <v>6530</v>
      </c>
      <c r="G795" s="22">
        <v>2011</v>
      </c>
      <c r="H795" s="24">
        <v>40677</v>
      </c>
      <c r="I795" s="23"/>
      <c r="J795" s="23"/>
      <c r="K795" s="26" t="s">
        <v>2905</v>
      </c>
      <c r="L795" s="27"/>
      <c r="M795" s="23"/>
    </row>
    <row r="796" spans="1:13" ht="15.75" customHeight="1">
      <c r="A796" s="22">
        <v>11938764</v>
      </c>
      <c r="B796" s="23" t="s">
        <v>7598</v>
      </c>
      <c r="C796" s="23" t="s">
        <v>7599</v>
      </c>
      <c r="D796" s="23" t="s">
        <v>7600</v>
      </c>
      <c r="E796" s="23" t="s">
        <v>3034</v>
      </c>
      <c r="F796" s="23" t="s">
        <v>7601</v>
      </c>
      <c r="G796" s="22">
        <v>1999</v>
      </c>
      <c r="H796" s="24">
        <v>37356</v>
      </c>
      <c r="I796" s="23"/>
      <c r="J796" s="23"/>
      <c r="K796" s="23"/>
      <c r="L796" s="23"/>
      <c r="M796" s="23"/>
    </row>
    <row r="797" spans="1:13" ht="15.75" customHeight="1">
      <c r="A797" s="22">
        <v>11139213</v>
      </c>
      <c r="B797" s="23" t="s">
        <v>7602</v>
      </c>
      <c r="C797" s="23" t="s">
        <v>7603</v>
      </c>
      <c r="D797" s="23" t="s">
        <v>7604</v>
      </c>
      <c r="E797" s="23" t="s">
        <v>195</v>
      </c>
      <c r="F797" s="23" t="s">
        <v>7605</v>
      </c>
      <c r="G797" s="22">
        <v>2001</v>
      </c>
      <c r="H797" s="24">
        <v>36895</v>
      </c>
      <c r="I797" s="23" t="s">
        <v>7606</v>
      </c>
      <c r="J797" s="23"/>
      <c r="K797" s="26" t="s">
        <v>4657</v>
      </c>
      <c r="L797" s="27"/>
      <c r="M797" s="27"/>
    </row>
    <row r="798" spans="1:13" ht="15.75" customHeight="1">
      <c r="A798" s="22">
        <v>26482270</v>
      </c>
      <c r="B798" s="23" t="s">
        <v>7607</v>
      </c>
      <c r="C798" s="23" t="s">
        <v>7608</v>
      </c>
      <c r="D798" s="23" t="s">
        <v>7609</v>
      </c>
      <c r="E798" s="23" t="s">
        <v>4101</v>
      </c>
      <c r="F798" s="23" t="s">
        <v>4851</v>
      </c>
      <c r="G798" s="22">
        <v>2016</v>
      </c>
      <c r="H798" s="24">
        <v>42298</v>
      </c>
      <c r="I798" s="23"/>
      <c r="J798" s="23"/>
      <c r="K798" s="26" t="s">
        <v>4104</v>
      </c>
      <c r="L798" s="27"/>
      <c r="M798" s="27"/>
    </row>
    <row r="799" spans="1:13" ht="15.75" customHeight="1">
      <c r="A799" s="22">
        <v>11192519</v>
      </c>
      <c r="B799" s="23" t="s">
        <v>7610</v>
      </c>
      <c r="C799" s="23" t="s">
        <v>7611</v>
      </c>
      <c r="D799" s="23" t="s">
        <v>7612</v>
      </c>
      <c r="E799" s="23" t="s">
        <v>2694</v>
      </c>
      <c r="F799" s="23" t="s">
        <v>7613</v>
      </c>
      <c r="G799" s="22">
        <v>2000</v>
      </c>
      <c r="H799" s="24">
        <v>36946</v>
      </c>
      <c r="I799" s="23"/>
      <c r="J799" s="23"/>
      <c r="K799" s="26" t="s">
        <v>2695</v>
      </c>
      <c r="L799" s="27"/>
      <c r="M799" s="27"/>
    </row>
    <row r="800" spans="1:13" ht="15.75" customHeight="1">
      <c r="A800" s="22">
        <v>11966777</v>
      </c>
      <c r="B800" s="23" t="s">
        <v>7614</v>
      </c>
      <c r="C800" s="23" t="s">
        <v>7615</v>
      </c>
      <c r="D800" s="23" t="s">
        <v>7616</v>
      </c>
      <c r="E800" s="23" t="s">
        <v>4017</v>
      </c>
      <c r="F800" s="23" t="s">
        <v>5243</v>
      </c>
      <c r="G800" s="22">
        <v>2002</v>
      </c>
      <c r="H800" s="24">
        <v>37369</v>
      </c>
      <c r="I800" s="23"/>
      <c r="J800" s="23"/>
      <c r="K800" s="26" t="s">
        <v>4027</v>
      </c>
      <c r="L800" s="27"/>
      <c r="M800" s="27"/>
    </row>
    <row r="801" spans="1:13" ht="15.75" customHeight="1">
      <c r="A801" s="22">
        <v>1846951</v>
      </c>
      <c r="B801" s="23" t="s">
        <v>7617</v>
      </c>
      <c r="C801" s="23" t="s">
        <v>7618</v>
      </c>
      <c r="D801" s="23" t="s">
        <v>7619</v>
      </c>
      <c r="E801" s="23" t="s">
        <v>3041</v>
      </c>
      <c r="F801" s="23" t="s">
        <v>4813</v>
      </c>
      <c r="G801" s="22">
        <v>1991</v>
      </c>
      <c r="H801" s="24">
        <v>33276</v>
      </c>
      <c r="I801" s="23"/>
      <c r="J801" s="23"/>
      <c r="K801" s="26" t="s">
        <v>3055</v>
      </c>
      <c r="L801" s="27"/>
      <c r="M801" s="23"/>
    </row>
    <row r="802" spans="1:13" ht="15.75" customHeight="1">
      <c r="A802" s="22">
        <v>28209721</v>
      </c>
      <c r="B802" s="23" t="s">
        <v>7620</v>
      </c>
      <c r="C802" s="23" t="s">
        <v>7621</v>
      </c>
      <c r="D802" s="23" t="s">
        <v>7622</v>
      </c>
      <c r="E802" s="23" t="s">
        <v>221</v>
      </c>
      <c r="F802" s="23" t="s">
        <v>5343</v>
      </c>
      <c r="G802" s="22">
        <v>2017</v>
      </c>
      <c r="H802" s="24">
        <v>42784</v>
      </c>
      <c r="I802" s="26" t="s">
        <v>7623</v>
      </c>
      <c r="J802" s="27"/>
      <c r="K802" s="26" t="s">
        <v>634</v>
      </c>
      <c r="L802" s="27"/>
      <c r="M802" s="27"/>
    </row>
    <row r="803" spans="1:13" ht="15.75" customHeight="1">
      <c r="A803" s="22">
        <v>26566646</v>
      </c>
      <c r="B803" s="23" t="s">
        <v>7624</v>
      </c>
      <c r="C803" s="23" t="s">
        <v>7625</v>
      </c>
      <c r="D803" s="23" t="s">
        <v>7626</v>
      </c>
      <c r="E803" s="23" t="s">
        <v>3758</v>
      </c>
      <c r="F803" s="23" t="s">
        <v>6522</v>
      </c>
      <c r="G803" s="22">
        <v>2016</v>
      </c>
      <c r="H803" s="24">
        <v>42323</v>
      </c>
      <c r="I803" s="23"/>
      <c r="J803" s="23"/>
      <c r="K803" s="26" t="s">
        <v>3765</v>
      </c>
      <c r="L803" s="27"/>
      <c r="M803" s="23"/>
    </row>
    <row r="804" spans="1:13" ht="15.75" customHeight="1">
      <c r="A804" s="22">
        <v>9786754</v>
      </c>
      <c r="B804" s="23" t="s">
        <v>7627</v>
      </c>
      <c r="C804" s="23" t="s">
        <v>7628</v>
      </c>
      <c r="D804" s="23" t="s">
        <v>7629</v>
      </c>
      <c r="E804" s="23" t="s">
        <v>2189</v>
      </c>
      <c r="F804" s="23" t="s">
        <v>5377</v>
      </c>
      <c r="G804" s="22">
        <v>1998</v>
      </c>
      <c r="H804" s="24">
        <v>36092</v>
      </c>
      <c r="I804" s="23"/>
      <c r="J804" s="23"/>
      <c r="K804" s="26" t="s">
        <v>2190</v>
      </c>
      <c r="L804" s="27"/>
      <c r="M804" s="27"/>
    </row>
    <row r="805" spans="1:13" ht="15.75" customHeight="1">
      <c r="A805" s="22">
        <v>23535574</v>
      </c>
      <c r="B805" s="23" t="s">
        <v>7630</v>
      </c>
      <c r="C805" s="23" t="s">
        <v>7631</v>
      </c>
      <c r="D805" s="23" t="s">
        <v>7632</v>
      </c>
      <c r="E805" s="23" t="s">
        <v>1678</v>
      </c>
      <c r="F805" s="23" t="s">
        <v>4966</v>
      </c>
      <c r="G805" s="22">
        <v>2013</v>
      </c>
      <c r="H805" s="24">
        <v>41362</v>
      </c>
      <c r="I805" s="23"/>
      <c r="J805" s="23"/>
      <c r="K805" s="26" t="s">
        <v>1679</v>
      </c>
      <c r="L805" s="27"/>
      <c r="M805" s="23"/>
    </row>
    <row r="806" spans="1:13" ht="15.75" customHeight="1">
      <c r="A806" s="22">
        <v>22178541</v>
      </c>
      <c r="B806" s="23" t="s">
        <v>7633</v>
      </c>
      <c r="C806" s="23" t="s">
        <v>7634</v>
      </c>
      <c r="D806" s="23" t="s">
        <v>7635</v>
      </c>
      <c r="E806" s="23" t="s">
        <v>2230</v>
      </c>
      <c r="F806" s="23" t="s">
        <v>6176</v>
      </c>
      <c r="G806" s="22">
        <v>2012</v>
      </c>
      <c r="H806" s="24">
        <v>40897</v>
      </c>
      <c r="I806" s="23"/>
      <c r="J806" s="23"/>
      <c r="K806" s="26" t="s">
        <v>2231</v>
      </c>
      <c r="L806" s="27"/>
      <c r="M806" s="27"/>
    </row>
    <row r="807" spans="1:13" ht="15.75" customHeight="1">
      <c r="A807" s="22">
        <v>12174928</v>
      </c>
      <c r="B807" s="23" t="s">
        <v>7636</v>
      </c>
      <c r="C807" s="23" t="s">
        <v>7637</v>
      </c>
      <c r="D807" s="23" t="s">
        <v>7638</v>
      </c>
      <c r="E807" s="23" t="s">
        <v>2800</v>
      </c>
      <c r="F807" s="23" t="s">
        <v>7639</v>
      </c>
      <c r="G807" s="22">
        <v>2002</v>
      </c>
      <c r="H807" s="24">
        <v>37483</v>
      </c>
      <c r="I807" s="23"/>
      <c r="J807" s="23"/>
      <c r="K807" s="23"/>
      <c r="L807" s="23"/>
      <c r="M807" s="23"/>
    </row>
    <row r="808" spans="1:13" ht="15.75" customHeight="1">
      <c r="A808" s="22">
        <v>10910278</v>
      </c>
      <c r="B808" s="23" t="s">
        <v>7640</v>
      </c>
      <c r="C808" s="23" t="s">
        <v>7641</v>
      </c>
      <c r="D808" s="23" t="s">
        <v>7642</v>
      </c>
      <c r="E808" s="23" t="s">
        <v>3786</v>
      </c>
      <c r="F808" s="23" t="s">
        <v>5445</v>
      </c>
      <c r="G808" s="22">
        <v>2000</v>
      </c>
      <c r="H808" s="24">
        <v>36733</v>
      </c>
      <c r="I808" s="23"/>
      <c r="J808" s="23"/>
      <c r="K808" s="26" t="s">
        <v>3787</v>
      </c>
      <c r="L808" s="27"/>
      <c r="M808" s="27"/>
    </row>
    <row r="809" spans="1:13" ht="15.75" customHeight="1">
      <c r="A809" s="22">
        <v>31724929</v>
      </c>
      <c r="B809" s="23" t="s">
        <v>7643</v>
      </c>
      <c r="C809" s="23" t="s">
        <v>7644</v>
      </c>
      <c r="D809" s="23" t="s">
        <v>7645</v>
      </c>
      <c r="E809" s="23" t="s">
        <v>2542</v>
      </c>
      <c r="F809" s="23" t="s">
        <v>5706</v>
      </c>
      <c r="G809" s="22">
        <v>2021</v>
      </c>
      <c r="H809" s="24">
        <v>43784</v>
      </c>
      <c r="I809" s="23"/>
      <c r="J809" s="23"/>
      <c r="K809" s="26" t="s">
        <v>2543</v>
      </c>
      <c r="L809" s="27"/>
      <c r="M809" s="23"/>
    </row>
    <row r="810" spans="1:13" ht="15.75" customHeight="1">
      <c r="A810" s="22">
        <v>9749608</v>
      </c>
      <c r="B810" s="23" t="s">
        <v>7646</v>
      </c>
      <c r="C810" s="23" t="s">
        <v>7647</v>
      </c>
      <c r="D810" s="23" t="s">
        <v>7648</v>
      </c>
      <c r="E810" s="23" t="s">
        <v>3156</v>
      </c>
      <c r="F810" s="23" t="s">
        <v>7649</v>
      </c>
      <c r="G810" s="22">
        <v>1998</v>
      </c>
      <c r="H810" s="24">
        <v>36066</v>
      </c>
      <c r="I810" s="23"/>
      <c r="J810" s="23"/>
      <c r="K810" s="26" t="s">
        <v>3159</v>
      </c>
      <c r="L810" s="27"/>
      <c r="M810" s="23"/>
    </row>
    <row r="811" spans="1:13" ht="15.75" customHeight="1">
      <c r="A811" s="22">
        <v>25510656</v>
      </c>
      <c r="B811" s="23" t="s">
        <v>7650</v>
      </c>
      <c r="C811" s="23" t="s">
        <v>7651</v>
      </c>
      <c r="D811" s="23" t="s">
        <v>7652</v>
      </c>
      <c r="E811" s="23" t="s">
        <v>4258</v>
      </c>
      <c r="F811" s="23" t="s">
        <v>7653</v>
      </c>
      <c r="G811" s="22">
        <v>2014</v>
      </c>
      <c r="H811" s="24">
        <v>41990</v>
      </c>
      <c r="I811" s="26" t="s">
        <v>7654</v>
      </c>
      <c r="J811" s="27"/>
      <c r="K811" s="26" t="s">
        <v>4259</v>
      </c>
      <c r="L811" s="27"/>
      <c r="M811" s="27"/>
    </row>
    <row r="812" spans="1:13" ht="15.75" customHeight="1">
      <c r="A812" s="22">
        <v>23026619</v>
      </c>
      <c r="B812" s="23" t="s">
        <v>7655</v>
      </c>
      <c r="C812" s="23" t="s">
        <v>7656</v>
      </c>
      <c r="D812" s="23" t="s">
        <v>7657</v>
      </c>
      <c r="E812" s="23" t="s">
        <v>3863</v>
      </c>
      <c r="F812" s="23" t="s">
        <v>5696</v>
      </c>
      <c r="G812" s="22">
        <v>2012</v>
      </c>
      <c r="H812" s="24">
        <v>41185</v>
      </c>
      <c r="I812" s="23"/>
      <c r="J812" s="23"/>
      <c r="K812" s="26" t="s">
        <v>3864</v>
      </c>
      <c r="L812" s="27"/>
      <c r="M812" s="27"/>
    </row>
    <row r="813" spans="1:13" ht="15.75" customHeight="1">
      <c r="A813" s="22">
        <v>22186115</v>
      </c>
      <c r="B813" s="23" t="s">
        <v>7658</v>
      </c>
      <c r="C813" s="23" t="s">
        <v>7659</v>
      </c>
      <c r="D813" s="23" t="s">
        <v>7660</v>
      </c>
      <c r="E813" s="23" t="s">
        <v>3400</v>
      </c>
      <c r="F813" s="23" t="s">
        <v>7661</v>
      </c>
      <c r="G813" s="22">
        <v>2011</v>
      </c>
      <c r="H813" s="24">
        <v>40899</v>
      </c>
      <c r="I813" s="23"/>
      <c r="J813" s="23"/>
      <c r="K813" s="23"/>
      <c r="L813" s="23"/>
      <c r="M813" s="23"/>
    </row>
    <row r="814" spans="1:13" ht="15.75" customHeight="1">
      <c r="A814" s="22">
        <v>31020640</v>
      </c>
      <c r="B814" s="23" t="s">
        <v>7662</v>
      </c>
      <c r="C814" s="23" t="s">
        <v>7663</v>
      </c>
      <c r="D814" s="23" t="s">
        <v>7664</v>
      </c>
      <c r="E814" s="23" t="s">
        <v>1293</v>
      </c>
      <c r="F814" s="23" t="s">
        <v>5567</v>
      </c>
      <c r="G814" s="22">
        <v>2019</v>
      </c>
      <c r="H814" s="24">
        <v>43581</v>
      </c>
      <c r="I814" s="23"/>
      <c r="J814" s="23"/>
      <c r="K814" s="26" t="s">
        <v>1298</v>
      </c>
      <c r="L814" s="27"/>
      <c r="M814" s="23"/>
    </row>
    <row r="815" spans="1:13" ht="15.75" customHeight="1">
      <c r="A815" s="22">
        <v>7858257</v>
      </c>
      <c r="B815" s="23" t="s">
        <v>7665</v>
      </c>
      <c r="C815" s="23" t="s">
        <v>7666</v>
      </c>
      <c r="D815" s="23" t="s">
        <v>7667</v>
      </c>
      <c r="E815" s="23" t="s">
        <v>2051</v>
      </c>
      <c r="F815" s="23" t="s">
        <v>5343</v>
      </c>
      <c r="G815" s="22">
        <v>1995</v>
      </c>
      <c r="H815" s="24">
        <v>34759</v>
      </c>
      <c r="I815" s="23"/>
      <c r="J815" s="23"/>
      <c r="K815" s="23"/>
      <c r="L815" s="23"/>
      <c r="M815" s="23"/>
    </row>
    <row r="816" spans="1:13" ht="15.75" customHeight="1">
      <c r="A816" s="22">
        <v>29907960</v>
      </c>
      <c r="B816" s="23" t="s">
        <v>7668</v>
      </c>
      <c r="C816" s="23" t="s">
        <v>7669</v>
      </c>
      <c r="D816" s="23" t="s">
        <v>7670</v>
      </c>
      <c r="E816" s="23" t="s">
        <v>3222</v>
      </c>
      <c r="F816" s="23" t="s">
        <v>7671</v>
      </c>
      <c r="G816" s="22">
        <v>2018</v>
      </c>
      <c r="H816" s="24">
        <v>43268</v>
      </c>
      <c r="I816" s="23"/>
      <c r="J816" s="23"/>
      <c r="K816" s="26" t="s">
        <v>3223</v>
      </c>
      <c r="L816" s="27"/>
      <c r="M816" s="23"/>
    </row>
    <row r="817" spans="1:13" ht="15.75" customHeight="1">
      <c r="A817" s="22">
        <v>8721028</v>
      </c>
      <c r="B817" s="23" t="s">
        <v>7672</v>
      </c>
      <c r="C817" s="23" t="s">
        <v>7673</v>
      </c>
      <c r="D817" s="23" t="s">
        <v>7674</v>
      </c>
      <c r="E817" s="23" t="s">
        <v>4148</v>
      </c>
      <c r="F817" s="23" t="s">
        <v>6340</v>
      </c>
      <c r="G817" s="22">
        <v>1996</v>
      </c>
      <c r="H817" s="24">
        <v>35125</v>
      </c>
      <c r="I817" s="23"/>
      <c r="J817" s="23"/>
      <c r="K817" s="26" t="s">
        <v>4149</v>
      </c>
      <c r="L817" s="27"/>
      <c r="M817" s="27"/>
    </row>
    <row r="818" spans="1:13" ht="15.75" customHeight="1">
      <c r="A818" s="22">
        <v>1658217</v>
      </c>
      <c r="B818" s="23" t="s">
        <v>7675</v>
      </c>
      <c r="C818" s="23" t="s">
        <v>7676</v>
      </c>
      <c r="D818" s="23" t="s">
        <v>7677</v>
      </c>
      <c r="E818" s="23" t="s">
        <v>4435</v>
      </c>
      <c r="F818" s="23" t="s">
        <v>4923</v>
      </c>
      <c r="G818" s="22">
        <v>1991</v>
      </c>
      <c r="H818" s="24">
        <v>33451</v>
      </c>
      <c r="I818" s="23"/>
      <c r="J818" s="23"/>
      <c r="K818" s="26" t="s">
        <v>4440</v>
      </c>
      <c r="L818" s="27"/>
      <c r="M818" s="23"/>
    </row>
    <row r="819" spans="1:13" ht="15.75" customHeight="1">
      <c r="A819" s="22">
        <v>9745761</v>
      </c>
      <c r="B819" s="23" t="s">
        <v>7678</v>
      </c>
      <c r="C819" s="23" t="s">
        <v>7679</v>
      </c>
      <c r="D819" s="23" t="s">
        <v>7680</v>
      </c>
      <c r="E819" s="23" t="s">
        <v>2639</v>
      </c>
      <c r="F819" s="23" t="s">
        <v>7681</v>
      </c>
      <c r="G819" s="22">
        <v>1998</v>
      </c>
      <c r="H819" s="24">
        <v>36062</v>
      </c>
      <c r="I819" s="23"/>
      <c r="J819" s="23"/>
      <c r="K819" s="26" t="s">
        <v>2640</v>
      </c>
      <c r="L819" s="27"/>
      <c r="M819" s="23"/>
    </row>
    <row r="820" spans="1:13" ht="15.75" customHeight="1">
      <c r="A820" s="22">
        <v>22027897</v>
      </c>
      <c r="B820" s="23" t="s">
        <v>7682</v>
      </c>
      <c r="C820" s="23" t="s">
        <v>7683</v>
      </c>
      <c r="D820" s="23" t="s">
        <v>7684</v>
      </c>
      <c r="E820" s="23" t="s">
        <v>273</v>
      </c>
      <c r="F820" s="23" t="s">
        <v>5445</v>
      </c>
      <c r="G820" s="22">
        <v>2011</v>
      </c>
      <c r="H820" s="24">
        <v>40843</v>
      </c>
      <c r="I820" s="23"/>
      <c r="J820" s="23"/>
      <c r="K820" s="26" t="s">
        <v>3638</v>
      </c>
      <c r="L820" s="27"/>
      <c r="M820" s="27"/>
    </row>
    <row r="821" spans="1:13" ht="15.75" customHeight="1">
      <c r="A821" s="22">
        <v>23769093</v>
      </c>
      <c r="B821" s="23" t="s">
        <v>7685</v>
      </c>
      <c r="C821" s="23" t="s">
        <v>7686</v>
      </c>
      <c r="D821" s="23" t="s">
        <v>7687</v>
      </c>
      <c r="E821" s="23" t="s">
        <v>3082</v>
      </c>
      <c r="F821" s="23" t="s">
        <v>5696</v>
      </c>
      <c r="G821" s="22">
        <v>2013</v>
      </c>
      <c r="H821" s="24">
        <v>41443</v>
      </c>
      <c r="I821" s="23"/>
      <c r="J821" s="23"/>
      <c r="K821" s="26" t="s">
        <v>3083</v>
      </c>
      <c r="L821" s="27"/>
      <c r="M821" s="27"/>
    </row>
    <row r="822" spans="1:13" ht="15.75" customHeight="1">
      <c r="A822" s="22">
        <v>8607365</v>
      </c>
      <c r="B822" s="23" t="s">
        <v>7688</v>
      </c>
      <c r="C822" s="23" t="s">
        <v>7689</v>
      </c>
      <c r="D822" s="23" t="s">
        <v>7690</v>
      </c>
      <c r="E822" s="23" t="s">
        <v>2978</v>
      </c>
      <c r="F822" s="23" t="s">
        <v>7691</v>
      </c>
      <c r="G822" s="22">
        <v>1995</v>
      </c>
      <c r="H822" s="24">
        <v>34943</v>
      </c>
      <c r="I822" s="23"/>
      <c r="J822" s="23"/>
      <c r="K822" s="23"/>
      <c r="L822" s="23"/>
      <c r="M822" s="23"/>
    </row>
    <row r="823" spans="1:13" ht="15.75" customHeight="1">
      <c r="A823" s="22">
        <v>23461659</v>
      </c>
      <c r="B823" s="23" t="s">
        <v>7692</v>
      </c>
      <c r="C823" s="23" t="s">
        <v>7693</v>
      </c>
      <c r="D823" s="23" t="s">
        <v>7694</v>
      </c>
      <c r="E823" s="23" t="s">
        <v>704</v>
      </c>
      <c r="F823" s="23" t="s">
        <v>6718</v>
      </c>
      <c r="G823" s="22">
        <v>2013</v>
      </c>
      <c r="H823" s="24">
        <v>41340</v>
      </c>
      <c r="I823" s="23"/>
      <c r="J823" s="23"/>
      <c r="K823" s="26" t="s">
        <v>705</v>
      </c>
      <c r="L823" s="27"/>
      <c r="M823" s="27"/>
    </row>
    <row r="824" spans="1:13" ht="15.75" customHeight="1">
      <c r="A824" s="22">
        <v>10872679</v>
      </c>
      <c r="B824" s="23" t="s">
        <v>7695</v>
      </c>
      <c r="C824" s="23" t="s">
        <v>7696</v>
      </c>
      <c r="D824" s="23" t="s">
        <v>7697</v>
      </c>
      <c r="E824" s="23" t="s">
        <v>1199</v>
      </c>
      <c r="F824" s="23" t="s">
        <v>5103</v>
      </c>
      <c r="G824" s="22">
        <v>2000</v>
      </c>
      <c r="H824" s="24">
        <v>36706</v>
      </c>
      <c r="I824" s="23"/>
      <c r="J824" s="23"/>
      <c r="K824" s="23"/>
      <c r="L824" s="23"/>
      <c r="M824" s="23"/>
    </row>
    <row r="825" spans="1:13" ht="15.75" customHeight="1">
      <c r="A825" s="22">
        <v>22554258</v>
      </c>
      <c r="B825" s="23" t="s">
        <v>7698</v>
      </c>
      <c r="C825" s="23" t="s">
        <v>7699</v>
      </c>
      <c r="D825" s="23" t="s">
        <v>7700</v>
      </c>
      <c r="E825" s="23" t="s">
        <v>2428</v>
      </c>
      <c r="F825" s="23" t="s">
        <v>7701</v>
      </c>
      <c r="G825" s="22">
        <v>2012</v>
      </c>
      <c r="H825" s="24">
        <v>41034</v>
      </c>
      <c r="I825" s="23"/>
      <c r="J825" s="23"/>
      <c r="K825" s="26" t="s">
        <v>2429</v>
      </c>
      <c r="L825" s="27"/>
      <c r="M825" s="27"/>
    </row>
    <row r="826" spans="1:13" ht="15.75" customHeight="1">
      <c r="A826" s="22">
        <v>12173776</v>
      </c>
      <c r="B826" s="23" t="s">
        <v>7702</v>
      </c>
      <c r="C826" s="23" t="s">
        <v>7703</v>
      </c>
      <c r="D826" s="23" t="s">
        <v>7704</v>
      </c>
      <c r="E826" s="23" t="s">
        <v>1199</v>
      </c>
      <c r="F826" s="23" t="s">
        <v>5103</v>
      </c>
      <c r="G826" s="22">
        <v>2002</v>
      </c>
      <c r="H826" s="24">
        <v>37482</v>
      </c>
      <c r="I826" s="23"/>
      <c r="J826" s="23"/>
      <c r="K826" s="23"/>
      <c r="L826" s="23"/>
      <c r="M826" s="23"/>
    </row>
    <row r="827" spans="1:13" ht="15.75" customHeight="1">
      <c r="A827" s="22">
        <v>29487057</v>
      </c>
      <c r="B827" s="23" t="s">
        <v>7705</v>
      </c>
      <c r="C827" s="23" t="s">
        <v>7706</v>
      </c>
      <c r="D827" s="23" t="s">
        <v>7707</v>
      </c>
      <c r="E827" s="23" t="s">
        <v>204</v>
      </c>
      <c r="F827" s="23" t="s">
        <v>4833</v>
      </c>
      <c r="G827" s="22">
        <v>2018</v>
      </c>
      <c r="H827" s="24">
        <v>43160</v>
      </c>
      <c r="I827" s="26" t="s">
        <v>7708</v>
      </c>
      <c r="J827" s="27"/>
      <c r="K827" s="26" t="s">
        <v>319</v>
      </c>
      <c r="L827" s="27"/>
      <c r="M827" s="27"/>
    </row>
    <row r="828" spans="1:13" ht="15.75" customHeight="1">
      <c r="A828" s="22">
        <v>25007510</v>
      </c>
      <c r="B828" s="23" t="s">
        <v>7709</v>
      </c>
      <c r="C828" s="23" t="s">
        <v>7710</v>
      </c>
      <c r="D828" s="23" t="s">
        <v>7711</v>
      </c>
      <c r="E828" s="23" t="s">
        <v>567</v>
      </c>
      <c r="F828" s="23" t="s">
        <v>7712</v>
      </c>
      <c r="G828" s="22">
        <v>2014</v>
      </c>
      <c r="H828" s="24">
        <v>41831</v>
      </c>
      <c r="I828" s="23"/>
      <c r="J828" s="23"/>
      <c r="K828" s="23"/>
      <c r="L828" s="23"/>
      <c r="M828" s="23"/>
    </row>
    <row r="829" spans="1:13" ht="15.75" customHeight="1">
      <c r="A829" s="22">
        <v>27552439</v>
      </c>
      <c r="B829" s="23" t="s">
        <v>7713</v>
      </c>
      <c r="C829" s="23" t="s">
        <v>7714</v>
      </c>
      <c r="D829" s="23" t="s">
        <v>7715</v>
      </c>
      <c r="E829" s="23" t="s">
        <v>1363</v>
      </c>
      <c r="F829" s="23" t="s">
        <v>7716</v>
      </c>
      <c r="G829" s="22">
        <v>2016</v>
      </c>
      <c r="H829" s="24">
        <v>42606</v>
      </c>
      <c r="I829" s="26" t="s">
        <v>7717</v>
      </c>
      <c r="J829" s="27"/>
      <c r="K829" s="26" t="s">
        <v>1364</v>
      </c>
      <c r="L829" s="27"/>
      <c r="M829" s="23"/>
    </row>
    <row r="830" spans="1:13" ht="15.75" customHeight="1">
      <c r="A830" s="22">
        <v>11255287</v>
      </c>
      <c r="B830" s="23" t="s">
        <v>7718</v>
      </c>
      <c r="C830" s="23" t="s">
        <v>7719</v>
      </c>
      <c r="D830" s="23" t="s">
        <v>7720</v>
      </c>
      <c r="E830" s="23" t="s">
        <v>252</v>
      </c>
      <c r="F830" s="23" t="s">
        <v>6289</v>
      </c>
      <c r="G830" s="22">
        <v>2001</v>
      </c>
      <c r="H830" s="24">
        <v>36970</v>
      </c>
      <c r="I830" s="23"/>
      <c r="J830" s="23"/>
      <c r="K830" s="23"/>
      <c r="L830" s="23"/>
      <c r="M830" s="23"/>
    </row>
    <row r="831" spans="1:13" ht="15.75" customHeight="1">
      <c r="A831" s="22">
        <v>14981771</v>
      </c>
      <c r="B831" s="23" t="s">
        <v>7721</v>
      </c>
      <c r="C831" s="23" t="s">
        <v>7722</v>
      </c>
      <c r="D831" s="23" t="s">
        <v>7723</v>
      </c>
      <c r="E831" s="23" t="s">
        <v>108</v>
      </c>
      <c r="F831" s="23" t="s">
        <v>4923</v>
      </c>
      <c r="G831" s="22">
        <v>2004</v>
      </c>
      <c r="H831" s="24">
        <v>38043</v>
      </c>
      <c r="I831" s="23"/>
      <c r="J831" s="23"/>
      <c r="K831" s="26" t="s">
        <v>521</v>
      </c>
      <c r="L831" s="27"/>
      <c r="M831" s="23"/>
    </row>
    <row r="832" spans="1:13" ht="15.75" customHeight="1">
      <c r="A832" s="22">
        <v>9078464</v>
      </c>
      <c r="B832" s="23" t="s">
        <v>7724</v>
      </c>
      <c r="C832" s="23" t="s">
        <v>7725</v>
      </c>
      <c r="D832" s="23" t="s">
        <v>7726</v>
      </c>
      <c r="E832" s="23" t="s">
        <v>1846</v>
      </c>
      <c r="F832" s="23" t="s">
        <v>7727</v>
      </c>
      <c r="G832" s="22">
        <v>1996</v>
      </c>
      <c r="H832" s="24">
        <v>35065</v>
      </c>
      <c r="I832" s="23"/>
      <c r="J832" s="23"/>
      <c r="K832" s="26" t="s">
        <v>1847</v>
      </c>
      <c r="L832" s="27"/>
      <c r="M832" s="23"/>
    </row>
    <row r="833" spans="1:13" ht="15.75" customHeight="1">
      <c r="A833" s="22">
        <v>11149730</v>
      </c>
      <c r="B833" s="23" t="s">
        <v>7728</v>
      </c>
      <c r="C833" s="23" t="s">
        <v>7729</v>
      </c>
      <c r="D833" s="23" t="s">
        <v>7730</v>
      </c>
      <c r="E833" s="23" t="s">
        <v>4186</v>
      </c>
      <c r="F833" s="23" t="s">
        <v>4863</v>
      </c>
      <c r="G833" s="22">
        <v>2000</v>
      </c>
      <c r="H833" s="24">
        <v>36901</v>
      </c>
      <c r="I833" s="23"/>
      <c r="J833" s="23"/>
      <c r="K833" s="26" t="s">
        <v>4187</v>
      </c>
      <c r="L833" s="27"/>
      <c r="M833" s="23"/>
    </row>
    <row r="834" spans="1:13" ht="15.75" customHeight="1">
      <c r="A834" s="22">
        <v>10919606</v>
      </c>
      <c r="B834" s="23" t="s">
        <v>7731</v>
      </c>
      <c r="C834" s="23" t="s">
        <v>7732</v>
      </c>
      <c r="D834" s="23" t="s">
        <v>7733</v>
      </c>
      <c r="E834" s="23" t="s">
        <v>4277</v>
      </c>
      <c r="F834" s="23" t="s">
        <v>5445</v>
      </c>
      <c r="G834" s="22">
        <v>2000</v>
      </c>
      <c r="H834" s="24">
        <v>36743</v>
      </c>
      <c r="I834" s="23"/>
      <c r="J834" s="23"/>
      <c r="K834" s="23"/>
      <c r="L834" s="23"/>
      <c r="M834" s="23"/>
    </row>
    <row r="835" spans="1:13" ht="15.75" customHeight="1">
      <c r="A835" s="22">
        <v>21397473</v>
      </c>
      <c r="B835" s="23" t="s">
        <v>7734</v>
      </c>
      <c r="C835" s="23" t="s">
        <v>7735</v>
      </c>
      <c r="D835" s="23" t="s">
        <v>7736</v>
      </c>
      <c r="E835" s="23" t="s">
        <v>1196</v>
      </c>
      <c r="F835" s="23" t="s">
        <v>7737</v>
      </c>
      <c r="G835" s="22">
        <v>2011</v>
      </c>
      <c r="H835" s="24">
        <v>40617</v>
      </c>
      <c r="I835" s="23"/>
      <c r="J835" s="23"/>
      <c r="K835" s="26" t="s">
        <v>1197</v>
      </c>
      <c r="L835" s="27"/>
      <c r="M835" s="27"/>
    </row>
    <row r="836" spans="1:13" ht="15.75" customHeight="1">
      <c r="A836" s="22">
        <v>28376035</v>
      </c>
      <c r="B836" s="23" t="s">
        <v>7738</v>
      </c>
      <c r="C836" s="23" t="s">
        <v>7159</v>
      </c>
      <c r="D836" s="23" t="s">
        <v>7739</v>
      </c>
      <c r="E836" s="23" t="s">
        <v>3695</v>
      </c>
      <c r="F836" s="23" t="s">
        <v>5445</v>
      </c>
      <c r="G836" s="22">
        <v>2017</v>
      </c>
      <c r="H836" s="24">
        <v>42830</v>
      </c>
      <c r="I836" s="23"/>
      <c r="J836" s="23"/>
      <c r="K836" s="26" t="s">
        <v>3698</v>
      </c>
      <c r="L836" s="27"/>
      <c r="M836" s="27"/>
    </row>
    <row r="837" spans="1:13" ht="15.75" customHeight="1">
      <c r="A837" s="22">
        <v>12220240</v>
      </c>
      <c r="B837" s="23" t="s">
        <v>7740</v>
      </c>
      <c r="C837" s="23" t="s">
        <v>7741</v>
      </c>
      <c r="D837" s="23" t="s">
        <v>7742</v>
      </c>
      <c r="E837" s="23" t="s">
        <v>4017</v>
      </c>
      <c r="F837" s="23" t="s">
        <v>4974</v>
      </c>
      <c r="G837" s="22">
        <v>2002</v>
      </c>
      <c r="H837" s="24">
        <v>37510</v>
      </c>
      <c r="I837" s="23"/>
      <c r="J837" s="23"/>
      <c r="K837" s="26" t="s">
        <v>4029</v>
      </c>
      <c r="L837" s="27"/>
      <c r="M837" s="27"/>
    </row>
    <row r="838" spans="1:13" ht="15.75" customHeight="1">
      <c r="A838" s="22">
        <v>23080502</v>
      </c>
      <c r="B838" s="23" t="s">
        <v>7743</v>
      </c>
      <c r="C838" s="23" t="s">
        <v>7744</v>
      </c>
      <c r="D838" s="23" t="s">
        <v>7745</v>
      </c>
      <c r="E838" s="23" t="s">
        <v>524</v>
      </c>
      <c r="F838" s="23" t="s">
        <v>4923</v>
      </c>
      <c r="G838" s="22">
        <v>2012</v>
      </c>
      <c r="H838" s="24">
        <v>41202</v>
      </c>
      <c r="I838" s="23"/>
      <c r="J838" s="23"/>
      <c r="K838" s="26" t="s">
        <v>525</v>
      </c>
      <c r="L838" s="27"/>
      <c r="M838" s="23"/>
    </row>
    <row r="839" spans="1:13" ht="15.75" customHeight="1">
      <c r="A839" s="22">
        <v>24579822</v>
      </c>
      <c r="B839" s="23" t="s">
        <v>7746</v>
      </c>
      <c r="C839" s="23" t="s">
        <v>7747</v>
      </c>
      <c r="D839" s="23" t="s">
        <v>7748</v>
      </c>
      <c r="E839" s="23" t="s">
        <v>982</v>
      </c>
      <c r="F839" s="23" t="s">
        <v>5243</v>
      </c>
      <c r="G839" s="22">
        <v>2014</v>
      </c>
      <c r="H839" s="24">
        <v>41702</v>
      </c>
      <c r="I839" s="23"/>
      <c r="J839" s="23"/>
      <c r="K839" s="26" t="s">
        <v>983</v>
      </c>
      <c r="L839" s="27"/>
      <c r="M839" s="23"/>
    </row>
    <row r="840" spans="1:13" ht="15.75" customHeight="1">
      <c r="A840" s="22">
        <v>26567842</v>
      </c>
      <c r="B840" s="23" t="s">
        <v>7749</v>
      </c>
      <c r="C840" s="23" t="s">
        <v>7750</v>
      </c>
      <c r="D840" s="23" t="s">
        <v>7751</v>
      </c>
      <c r="E840" s="23" t="s">
        <v>4172</v>
      </c>
      <c r="F840" s="23" t="s">
        <v>5088</v>
      </c>
      <c r="G840" s="22">
        <v>2016</v>
      </c>
      <c r="H840" s="24">
        <v>42325</v>
      </c>
      <c r="I840" s="23"/>
      <c r="J840" s="23"/>
      <c r="K840" s="26" t="s">
        <v>4173</v>
      </c>
      <c r="L840" s="27"/>
      <c r="M840" s="27"/>
    </row>
    <row r="841" spans="1:13" ht="15.75" customHeight="1">
      <c r="A841" s="22">
        <v>24611562</v>
      </c>
      <c r="B841" s="23" t="s">
        <v>7752</v>
      </c>
      <c r="C841" s="23" t="s">
        <v>7753</v>
      </c>
      <c r="D841" s="23" t="s">
        <v>7754</v>
      </c>
      <c r="E841" s="23" t="s">
        <v>2520</v>
      </c>
      <c r="F841" s="23" t="s">
        <v>7755</v>
      </c>
      <c r="G841" s="22">
        <v>2014</v>
      </c>
      <c r="H841" s="24">
        <v>41710</v>
      </c>
      <c r="I841" s="23"/>
      <c r="J841" s="23"/>
      <c r="K841" s="26" t="s">
        <v>2521</v>
      </c>
      <c r="L841" s="27"/>
      <c r="M841" s="27"/>
    </row>
    <row r="842" spans="1:13" ht="15.75" customHeight="1">
      <c r="A842" s="22">
        <v>1318588</v>
      </c>
      <c r="B842" s="23" t="s">
        <v>7756</v>
      </c>
      <c r="C842" s="23" t="s">
        <v>7757</v>
      </c>
      <c r="D842" s="23" t="s">
        <v>7758</v>
      </c>
      <c r="E842" s="23" t="s">
        <v>3190</v>
      </c>
      <c r="F842" s="23" t="s">
        <v>5445</v>
      </c>
      <c r="G842" s="22">
        <v>1992</v>
      </c>
      <c r="H842" s="24">
        <v>33756</v>
      </c>
      <c r="I842" s="23"/>
      <c r="J842" s="23"/>
      <c r="K842" s="26" t="s">
        <v>3192</v>
      </c>
      <c r="L842" s="27"/>
      <c r="M842" s="27"/>
    </row>
    <row r="843" spans="1:13" ht="15.75" customHeight="1">
      <c r="A843" s="22">
        <v>21804462</v>
      </c>
      <c r="B843" s="23" t="s">
        <v>7759</v>
      </c>
      <c r="C843" s="23" t="s">
        <v>7760</v>
      </c>
      <c r="D843" s="23" t="s">
        <v>7761</v>
      </c>
      <c r="E843" s="23" t="s">
        <v>1009</v>
      </c>
      <c r="F843" s="23" t="s">
        <v>7762</v>
      </c>
      <c r="G843" s="22">
        <v>2011</v>
      </c>
      <c r="H843" s="24">
        <v>40757</v>
      </c>
      <c r="I843" s="26" t="s">
        <v>7763</v>
      </c>
      <c r="J843" s="27"/>
      <c r="K843" s="26" t="s">
        <v>1010</v>
      </c>
      <c r="L843" s="27"/>
      <c r="M843" s="23"/>
    </row>
    <row r="844" spans="1:13" ht="15.75" customHeight="1">
      <c r="A844" s="22">
        <v>17116137</v>
      </c>
      <c r="B844" s="23" t="s">
        <v>7764</v>
      </c>
      <c r="C844" s="23" t="s">
        <v>7765</v>
      </c>
      <c r="D844" s="23" t="s">
        <v>7766</v>
      </c>
      <c r="E844" s="23" t="s">
        <v>1841</v>
      </c>
      <c r="F844" s="23" t="s">
        <v>4974</v>
      </c>
      <c r="G844" s="22">
        <v>2006</v>
      </c>
      <c r="H844" s="24">
        <v>39044</v>
      </c>
      <c r="I844" s="23"/>
      <c r="J844" s="23"/>
      <c r="K844" s="26" t="s">
        <v>1842</v>
      </c>
      <c r="L844" s="27"/>
      <c r="M844" s="27"/>
    </row>
    <row r="845" spans="1:13" ht="15.75" customHeight="1">
      <c r="A845" s="22">
        <v>28617304</v>
      </c>
      <c r="B845" s="23" t="s">
        <v>7767</v>
      </c>
      <c r="C845" s="23" t="s">
        <v>7768</v>
      </c>
      <c r="D845" s="23" t="s">
        <v>7769</v>
      </c>
      <c r="E845" s="23" t="s">
        <v>1852</v>
      </c>
      <c r="F845" s="23" t="s">
        <v>5445</v>
      </c>
      <c r="G845" s="22">
        <v>2017</v>
      </c>
      <c r="H845" s="24">
        <v>42902</v>
      </c>
      <c r="I845" s="23"/>
      <c r="J845" s="23"/>
      <c r="K845" s="26" t="s">
        <v>1853</v>
      </c>
      <c r="L845" s="27"/>
      <c r="M845" s="27"/>
    </row>
    <row r="846" spans="1:13" ht="15.75" customHeight="1">
      <c r="A846" s="22">
        <v>10223549</v>
      </c>
      <c r="B846" s="23" t="s">
        <v>7770</v>
      </c>
      <c r="C846" s="23" t="s">
        <v>7771</v>
      </c>
      <c r="D846" s="23" t="s">
        <v>7772</v>
      </c>
      <c r="E846" s="23" t="s">
        <v>3290</v>
      </c>
      <c r="F846" s="23" t="s">
        <v>4923</v>
      </c>
      <c r="G846" s="22">
        <v>1999</v>
      </c>
      <c r="H846" s="24">
        <v>36281</v>
      </c>
      <c r="I846" s="23"/>
      <c r="J846" s="23"/>
      <c r="K846" s="26" t="s">
        <v>3291</v>
      </c>
      <c r="L846" s="27"/>
      <c r="M846" s="27"/>
    </row>
    <row r="847" spans="1:13" ht="15.75" customHeight="1">
      <c r="A847" s="22">
        <v>12352923</v>
      </c>
      <c r="B847" s="23" t="s">
        <v>7773</v>
      </c>
      <c r="C847" s="23" t="s">
        <v>7774</v>
      </c>
      <c r="D847" s="23" t="s">
        <v>7775</v>
      </c>
      <c r="E847" s="23" t="s">
        <v>4277</v>
      </c>
      <c r="F847" s="23" t="s">
        <v>5445</v>
      </c>
      <c r="G847" s="22">
        <v>2002</v>
      </c>
      <c r="H847" s="24">
        <v>37527</v>
      </c>
      <c r="I847" s="23"/>
      <c r="J847" s="23"/>
      <c r="K847" s="26" t="s">
        <v>4279</v>
      </c>
      <c r="L847" s="27"/>
      <c r="M847" s="27"/>
    </row>
    <row r="848" spans="1:13" ht="15.75" customHeight="1">
      <c r="A848" s="22">
        <v>1310766</v>
      </c>
      <c r="B848" s="23" t="s">
        <v>7776</v>
      </c>
      <c r="C848" s="23" t="s">
        <v>7777</v>
      </c>
      <c r="D848" s="23" t="s">
        <v>7778</v>
      </c>
      <c r="E848" s="23" t="s">
        <v>2142</v>
      </c>
      <c r="F848" s="23" t="s">
        <v>4891</v>
      </c>
      <c r="G848" s="22">
        <v>1992</v>
      </c>
      <c r="H848" s="24">
        <v>33664</v>
      </c>
      <c r="I848" s="23" t="s">
        <v>7779</v>
      </c>
      <c r="J848" s="23"/>
      <c r="K848" s="26" t="s">
        <v>2143</v>
      </c>
      <c r="L848" s="27"/>
      <c r="M848" s="27"/>
    </row>
    <row r="849" spans="1:13" ht="15.75" customHeight="1">
      <c r="A849" s="22">
        <v>16792943</v>
      </c>
      <c r="B849" s="23" t="s">
        <v>7780</v>
      </c>
      <c r="C849" s="23" t="s">
        <v>7781</v>
      </c>
      <c r="D849" s="23" t="s">
        <v>7782</v>
      </c>
      <c r="E849" s="23" t="s">
        <v>1661</v>
      </c>
      <c r="F849" s="23" t="s">
        <v>5143</v>
      </c>
      <c r="G849" s="22">
        <v>2006</v>
      </c>
      <c r="H849" s="24">
        <v>38892</v>
      </c>
      <c r="I849" s="23"/>
      <c r="J849" s="23"/>
      <c r="K849" s="26" t="s">
        <v>1662</v>
      </c>
      <c r="L849" s="27"/>
      <c r="M849" s="23"/>
    </row>
    <row r="850" spans="1:13" ht="15.75" customHeight="1">
      <c r="A850" s="22">
        <v>20070702</v>
      </c>
      <c r="B850" s="23" t="s">
        <v>7783</v>
      </c>
      <c r="C850" s="23" t="s">
        <v>7784</v>
      </c>
      <c r="D850" s="23" t="s">
        <v>7785</v>
      </c>
      <c r="E850" s="23" t="s">
        <v>3695</v>
      </c>
      <c r="F850" s="23" t="s">
        <v>5726</v>
      </c>
      <c r="G850" s="22">
        <v>2009</v>
      </c>
      <c r="H850" s="24">
        <v>40193</v>
      </c>
      <c r="I850" s="23"/>
      <c r="J850" s="23"/>
      <c r="K850" s="26" t="s">
        <v>3700</v>
      </c>
      <c r="L850" s="27"/>
      <c r="M850" s="27"/>
    </row>
    <row r="851" spans="1:13" ht="15.75" customHeight="1">
      <c r="A851" s="22">
        <v>11763382</v>
      </c>
      <c r="B851" s="23" t="s">
        <v>7786</v>
      </c>
      <c r="C851" s="23" t="s">
        <v>7787</v>
      </c>
      <c r="D851" s="23" t="s">
        <v>7788</v>
      </c>
      <c r="E851" s="23" t="s">
        <v>1984</v>
      </c>
      <c r="F851" s="23" t="s">
        <v>7789</v>
      </c>
      <c r="G851" s="22">
        <v>2001</v>
      </c>
      <c r="H851" s="24">
        <v>37261</v>
      </c>
      <c r="I851" s="23"/>
      <c r="J851" s="23"/>
      <c r="K851" s="26" t="s">
        <v>1985</v>
      </c>
      <c r="L851" s="27"/>
      <c r="M851" s="27"/>
    </row>
    <row r="852" spans="1:13" ht="15.75" customHeight="1">
      <c r="A852" s="22">
        <v>22710317</v>
      </c>
      <c r="B852" s="23" t="s">
        <v>7790</v>
      </c>
      <c r="C852" s="23" t="s">
        <v>4915</v>
      </c>
      <c r="D852" s="23" t="s">
        <v>7791</v>
      </c>
      <c r="E852" s="23" t="s">
        <v>197</v>
      </c>
      <c r="F852" s="23" t="s">
        <v>5035</v>
      </c>
      <c r="G852" s="22">
        <v>2012</v>
      </c>
      <c r="H852" s="24">
        <v>41080</v>
      </c>
      <c r="I852" s="23"/>
      <c r="J852" s="23"/>
      <c r="K852" s="26" t="s">
        <v>4694</v>
      </c>
      <c r="L852" s="27"/>
      <c r="M852" s="27"/>
    </row>
    <row r="853" spans="1:13" ht="15.75" customHeight="1">
      <c r="A853" s="22">
        <v>12728905</v>
      </c>
      <c r="B853" s="23" t="s">
        <v>7792</v>
      </c>
      <c r="C853" s="23" t="s">
        <v>7793</v>
      </c>
      <c r="D853" s="23" t="s">
        <v>7794</v>
      </c>
      <c r="E853" s="23" t="s">
        <v>1996</v>
      </c>
      <c r="F853" s="23" t="s">
        <v>7795</v>
      </c>
      <c r="G853" s="22">
        <v>1999</v>
      </c>
      <c r="H853" s="24">
        <v>37747</v>
      </c>
      <c r="I853" s="23"/>
      <c r="J853" s="23"/>
      <c r="K853" s="23"/>
      <c r="L853" s="23"/>
      <c r="M853" s="23"/>
    </row>
    <row r="854" spans="1:13" ht="15.75" customHeight="1">
      <c r="A854" s="22">
        <v>2174371</v>
      </c>
      <c r="B854" s="23" t="s">
        <v>7796</v>
      </c>
      <c r="C854" s="23" t="s">
        <v>7797</v>
      </c>
      <c r="D854" s="23" t="s">
        <v>7798</v>
      </c>
      <c r="E854" s="23" t="s">
        <v>2001</v>
      </c>
      <c r="F854" s="23" t="s">
        <v>7799</v>
      </c>
      <c r="G854" s="22">
        <v>1990</v>
      </c>
      <c r="H854" s="24">
        <v>33208</v>
      </c>
      <c r="I854" s="26" t="s">
        <v>7800</v>
      </c>
      <c r="J854" s="27"/>
      <c r="K854" s="26" t="s">
        <v>2002</v>
      </c>
      <c r="L854" s="27"/>
      <c r="M854" s="27"/>
    </row>
    <row r="855" spans="1:13" ht="15.75" customHeight="1">
      <c r="A855" s="22">
        <v>15700258</v>
      </c>
      <c r="B855" s="23" t="s">
        <v>7801</v>
      </c>
      <c r="C855" s="23" t="s">
        <v>7802</v>
      </c>
      <c r="D855" s="23" t="s">
        <v>7803</v>
      </c>
      <c r="E855" s="23" t="s">
        <v>171</v>
      </c>
      <c r="F855" s="23" t="s">
        <v>5652</v>
      </c>
      <c r="G855" s="22">
        <v>2005</v>
      </c>
      <c r="H855" s="24">
        <v>38392</v>
      </c>
      <c r="I855" s="23"/>
      <c r="J855" s="23"/>
      <c r="K855" s="26" t="s">
        <v>409</v>
      </c>
      <c r="L855" s="27"/>
      <c r="M855" s="23"/>
    </row>
    <row r="856" spans="1:13" ht="15.75" customHeight="1">
      <c r="A856" s="22">
        <v>9365898</v>
      </c>
      <c r="B856" s="23" t="s">
        <v>7804</v>
      </c>
      <c r="C856" s="23" t="s">
        <v>7805</v>
      </c>
      <c r="D856" s="23" t="s">
        <v>7806</v>
      </c>
      <c r="E856" s="23" t="s">
        <v>3487</v>
      </c>
      <c r="F856" s="23" t="s">
        <v>4923</v>
      </c>
      <c r="G856" s="22">
        <v>1997</v>
      </c>
      <c r="H856" s="24">
        <v>35754</v>
      </c>
      <c r="I856" s="23"/>
      <c r="J856" s="23"/>
      <c r="K856" s="26" t="s">
        <v>3490</v>
      </c>
      <c r="L856" s="27"/>
      <c r="M856" s="27"/>
    </row>
    <row r="857" spans="1:13" ht="15.75" customHeight="1">
      <c r="A857" s="22">
        <v>11145693</v>
      </c>
      <c r="B857" s="23" t="s">
        <v>7807</v>
      </c>
      <c r="C857" s="23" t="s">
        <v>7808</v>
      </c>
      <c r="D857" s="23" t="s">
        <v>7809</v>
      </c>
      <c r="E857" s="23" t="s">
        <v>2308</v>
      </c>
      <c r="F857" s="23" t="s">
        <v>6293</v>
      </c>
      <c r="G857" s="22">
        <v>2001</v>
      </c>
      <c r="H857" s="24">
        <v>36897</v>
      </c>
      <c r="I857" s="23"/>
      <c r="J857" s="23"/>
      <c r="K857" s="26" t="s">
        <v>2309</v>
      </c>
      <c r="L857" s="27"/>
      <c r="M857" s="27"/>
    </row>
    <row r="858" spans="1:13" ht="15.75" customHeight="1">
      <c r="A858" s="22">
        <v>20739682</v>
      </c>
      <c r="B858" s="23" t="s">
        <v>7810</v>
      </c>
      <c r="C858" s="23" t="s">
        <v>7811</v>
      </c>
      <c r="D858" s="23" t="s">
        <v>7812</v>
      </c>
      <c r="E858" s="23" t="s">
        <v>3600</v>
      </c>
      <c r="F858" s="23" t="s">
        <v>7813</v>
      </c>
      <c r="G858" s="22">
        <v>2010</v>
      </c>
      <c r="H858" s="24">
        <v>40417</v>
      </c>
      <c r="I858" s="23"/>
      <c r="J858" s="23"/>
      <c r="K858" s="26" t="s">
        <v>3601</v>
      </c>
      <c r="L858" s="27"/>
      <c r="M858" s="27"/>
    </row>
    <row r="859" spans="1:13" ht="15.75" customHeight="1">
      <c r="A859" s="22">
        <v>17555446</v>
      </c>
      <c r="B859" s="23" t="s">
        <v>7814</v>
      </c>
      <c r="C859" s="23" t="s">
        <v>7815</v>
      </c>
      <c r="D859" s="23" t="s">
        <v>7816</v>
      </c>
      <c r="E859" s="23" t="s">
        <v>4711</v>
      </c>
      <c r="F859" s="23" t="s">
        <v>5211</v>
      </c>
      <c r="G859" s="22">
        <v>2007</v>
      </c>
      <c r="H859" s="24">
        <v>39242</v>
      </c>
      <c r="I859" s="23"/>
      <c r="J859" s="23"/>
      <c r="K859" s="26" t="s">
        <v>4714</v>
      </c>
      <c r="L859" s="27"/>
      <c r="M859" s="27"/>
    </row>
    <row r="860" spans="1:13" ht="15.75" customHeight="1">
      <c r="A860" s="22">
        <v>15660876</v>
      </c>
      <c r="B860" s="23" t="s">
        <v>7817</v>
      </c>
      <c r="C860" s="23" t="s">
        <v>7818</v>
      </c>
      <c r="D860" s="23" t="s">
        <v>7819</v>
      </c>
      <c r="E860" s="23" t="s">
        <v>3441</v>
      </c>
      <c r="F860" s="23" t="s">
        <v>7613</v>
      </c>
      <c r="G860" s="22">
        <v>2004</v>
      </c>
      <c r="H860" s="24">
        <v>38374</v>
      </c>
      <c r="I860" s="23"/>
      <c r="J860" s="23"/>
      <c r="K860" s="26" t="s">
        <v>3446</v>
      </c>
      <c r="L860" s="27"/>
      <c r="M860" s="27"/>
    </row>
    <row r="861" spans="1:13" ht="15.75" customHeight="1">
      <c r="A861" s="22">
        <v>15848678</v>
      </c>
      <c r="B861" s="23" t="s">
        <v>7820</v>
      </c>
      <c r="C861" s="23" t="s">
        <v>7821</v>
      </c>
      <c r="D861" s="23" t="s">
        <v>7822</v>
      </c>
      <c r="E861" s="23" t="s">
        <v>2294</v>
      </c>
      <c r="F861" s="23" t="s">
        <v>5696</v>
      </c>
      <c r="G861" s="22">
        <v>2005</v>
      </c>
      <c r="H861" s="24">
        <v>38468</v>
      </c>
      <c r="I861" s="23"/>
      <c r="J861" s="23"/>
      <c r="K861" s="26" t="s">
        <v>2301</v>
      </c>
      <c r="L861" s="27"/>
      <c r="M861" s="27"/>
    </row>
    <row r="862" spans="1:13" ht="15.75" customHeight="1">
      <c r="A862" s="22">
        <v>21629177</v>
      </c>
      <c r="B862" s="23" t="s">
        <v>7823</v>
      </c>
      <c r="C862" s="23" t="s">
        <v>5277</v>
      </c>
      <c r="D862" s="23" t="s">
        <v>7824</v>
      </c>
      <c r="E862" s="23" t="s">
        <v>2902</v>
      </c>
      <c r="F862" s="23" t="s">
        <v>5445</v>
      </c>
      <c r="G862" s="22">
        <v>2011</v>
      </c>
      <c r="H862" s="24">
        <v>40696</v>
      </c>
      <c r="I862" s="23"/>
      <c r="J862" s="23"/>
      <c r="K862" s="26" t="s">
        <v>2907</v>
      </c>
      <c r="L862" s="27"/>
      <c r="M862" s="27"/>
    </row>
    <row r="863" spans="1:13" ht="15.75" customHeight="1">
      <c r="A863" s="22">
        <v>27862208</v>
      </c>
      <c r="B863" s="23" t="s">
        <v>7825</v>
      </c>
      <c r="C863" s="23" t="s">
        <v>7826</v>
      </c>
      <c r="D863" s="23" t="s">
        <v>7827</v>
      </c>
      <c r="E863" s="23" t="s">
        <v>3359</v>
      </c>
      <c r="F863" s="23" t="s">
        <v>5163</v>
      </c>
      <c r="G863" s="22">
        <v>2016</v>
      </c>
      <c r="H863" s="24">
        <v>42693</v>
      </c>
      <c r="I863" s="23"/>
      <c r="J863" s="23"/>
      <c r="K863" s="26" t="s">
        <v>3360</v>
      </c>
      <c r="L863" s="27"/>
      <c r="M863" s="27"/>
    </row>
    <row r="864" spans="1:13" ht="15.75" customHeight="1">
      <c r="A864" s="22">
        <v>11695232</v>
      </c>
      <c r="B864" s="23" t="s">
        <v>7828</v>
      </c>
      <c r="C864" s="23" t="s">
        <v>7829</v>
      </c>
      <c r="D864" s="23" t="s">
        <v>7830</v>
      </c>
      <c r="E864" s="23" t="s">
        <v>2800</v>
      </c>
      <c r="F864" s="23" t="s">
        <v>4954</v>
      </c>
      <c r="G864" s="22">
        <v>2001</v>
      </c>
      <c r="H864" s="24">
        <v>37202</v>
      </c>
      <c r="I864" s="23"/>
      <c r="J864" s="23"/>
      <c r="K864" s="23"/>
      <c r="L864" s="23"/>
      <c r="M864" s="23"/>
    </row>
    <row r="865" spans="1:13" ht="15.75" customHeight="1">
      <c r="A865" s="22">
        <v>29143761</v>
      </c>
      <c r="B865" s="23" t="s">
        <v>7831</v>
      </c>
      <c r="C865" s="23" t="s">
        <v>7832</v>
      </c>
      <c r="D865" s="23" t="s">
        <v>7833</v>
      </c>
      <c r="E865" s="23" t="s">
        <v>2036</v>
      </c>
      <c r="F865" s="23" t="s">
        <v>4842</v>
      </c>
      <c r="G865" s="22">
        <v>2017</v>
      </c>
      <c r="H865" s="24">
        <v>43056</v>
      </c>
      <c r="I865" s="26" t="s">
        <v>7834</v>
      </c>
      <c r="J865" s="27"/>
      <c r="K865" s="26" t="s">
        <v>2037</v>
      </c>
      <c r="L865" s="27"/>
      <c r="M865" s="23"/>
    </row>
    <row r="866" spans="1:13" ht="15.75" customHeight="1">
      <c r="A866" s="22">
        <v>27174092</v>
      </c>
      <c r="B866" s="23" t="s">
        <v>7835</v>
      </c>
      <c r="C866" s="23" t="s">
        <v>7836</v>
      </c>
      <c r="D866" s="23" t="s">
        <v>7837</v>
      </c>
      <c r="E866" s="23" t="s">
        <v>3225</v>
      </c>
      <c r="F866" s="23" t="s">
        <v>7371</v>
      </c>
      <c r="G866" s="22">
        <v>2016</v>
      </c>
      <c r="H866" s="24">
        <v>42504</v>
      </c>
      <c r="I866" s="23"/>
      <c r="J866" s="23"/>
      <c r="K866" s="26" t="s">
        <v>3228</v>
      </c>
      <c r="L866" s="27"/>
      <c r="M866" s="27"/>
    </row>
    <row r="867" spans="1:13" ht="15.75" customHeight="1">
      <c r="A867" s="22">
        <v>17038915</v>
      </c>
      <c r="B867" s="23" t="s">
        <v>7838</v>
      </c>
      <c r="C867" s="23" t="s">
        <v>7839</v>
      </c>
      <c r="D867" s="23" t="s">
        <v>7840</v>
      </c>
      <c r="E867" s="23" t="s">
        <v>1578</v>
      </c>
      <c r="F867" s="23" t="s">
        <v>5445</v>
      </c>
      <c r="G867" s="22">
        <v>2006</v>
      </c>
      <c r="H867" s="24">
        <v>39004</v>
      </c>
      <c r="I867" s="23"/>
      <c r="J867" s="23"/>
      <c r="K867" s="26" t="s">
        <v>1579</v>
      </c>
      <c r="L867" s="27"/>
      <c r="M867" s="27"/>
    </row>
    <row r="868" spans="1:13" ht="15.75" customHeight="1">
      <c r="A868" s="22">
        <v>18308510</v>
      </c>
      <c r="B868" s="23" t="s">
        <v>7841</v>
      </c>
      <c r="C868" s="23" t="s">
        <v>7842</v>
      </c>
      <c r="D868" s="23" t="s">
        <v>7843</v>
      </c>
      <c r="E868" s="23" t="s">
        <v>1543</v>
      </c>
      <c r="F868" s="23" t="s">
        <v>7844</v>
      </c>
      <c r="G868" s="22">
        <v>2008</v>
      </c>
      <c r="H868" s="24">
        <v>39508</v>
      </c>
      <c r="I868" s="23" t="s">
        <v>7845</v>
      </c>
      <c r="J868" s="23" t="s">
        <v>7846</v>
      </c>
      <c r="K868" s="26" t="s">
        <v>1550</v>
      </c>
      <c r="L868" s="27"/>
      <c r="M868" s="27"/>
    </row>
    <row r="869" spans="1:13" ht="15.75" customHeight="1">
      <c r="A869" s="22">
        <v>20070668</v>
      </c>
      <c r="B869" s="23" t="s">
        <v>7783</v>
      </c>
      <c r="C869" s="23" t="s">
        <v>7784</v>
      </c>
      <c r="D869" s="23" t="s">
        <v>7847</v>
      </c>
      <c r="E869" s="23" t="s">
        <v>3695</v>
      </c>
      <c r="F869" s="23" t="s">
        <v>5726</v>
      </c>
      <c r="G869" s="22">
        <v>2009</v>
      </c>
      <c r="H869" s="24">
        <v>40193</v>
      </c>
      <c r="I869" s="23"/>
      <c r="J869" s="23"/>
      <c r="K869" s="26" t="s">
        <v>3702</v>
      </c>
      <c r="L869" s="27"/>
      <c r="M869" s="27"/>
    </row>
    <row r="870" spans="1:13" ht="15.75" customHeight="1">
      <c r="A870" s="22">
        <v>8396680</v>
      </c>
      <c r="B870" s="23" t="s">
        <v>7848</v>
      </c>
      <c r="C870" s="23" t="s">
        <v>7849</v>
      </c>
      <c r="D870" s="23" t="s">
        <v>7850</v>
      </c>
      <c r="E870" s="23" t="s">
        <v>4579</v>
      </c>
      <c r="F870" s="23" t="s">
        <v>4891</v>
      </c>
      <c r="G870" s="22">
        <v>1993</v>
      </c>
      <c r="H870" s="24">
        <v>34243</v>
      </c>
      <c r="I870" s="23" t="s">
        <v>7851</v>
      </c>
      <c r="J870" s="23"/>
      <c r="K870" s="26" t="s">
        <v>4585</v>
      </c>
      <c r="L870" s="27"/>
      <c r="M870" s="27"/>
    </row>
    <row r="871" spans="1:13" ht="15.75" customHeight="1">
      <c r="A871" s="22">
        <v>25870901</v>
      </c>
      <c r="B871" s="23" t="s">
        <v>7852</v>
      </c>
      <c r="C871" s="23" t="s">
        <v>7853</v>
      </c>
      <c r="D871" s="23" t="s">
        <v>7854</v>
      </c>
      <c r="E871" s="23" t="s">
        <v>3668</v>
      </c>
      <c r="F871" s="23" t="s">
        <v>7855</v>
      </c>
      <c r="G871" s="22">
        <v>2015</v>
      </c>
      <c r="H871" s="24">
        <v>42109</v>
      </c>
      <c r="I871" s="23"/>
      <c r="J871" s="23"/>
      <c r="K871" s="26" t="s">
        <v>3669</v>
      </c>
      <c r="L871" s="27"/>
      <c r="M871" s="23"/>
    </row>
    <row r="872" spans="1:13" ht="15.75" customHeight="1">
      <c r="A872" s="22">
        <v>20331520</v>
      </c>
      <c r="B872" s="23" t="s">
        <v>7856</v>
      </c>
      <c r="C872" s="23" t="s">
        <v>7857</v>
      </c>
      <c r="D872" s="23" t="s">
        <v>7858</v>
      </c>
      <c r="E872" s="23" t="s">
        <v>1890</v>
      </c>
      <c r="F872" s="23" t="s">
        <v>5543</v>
      </c>
      <c r="G872" s="22">
        <v>2011</v>
      </c>
      <c r="H872" s="24">
        <v>40262</v>
      </c>
      <c r="I872" s="23"/>
      <c r="J872" s="23"/>
      <c r="K872" s="26" t="s">
        <v>1891</v>
      </c>
      <c r="L872" s="27"/>
      <c r="M872" s="27"/>
    </row>
    <row r="873" spans="1:13" ht="15.75" customHeight="1">
      <c r="A873" s="22">
        <v>2176675</v>
      </c>
      <c r="B873" s="23" t="s">
        <v>7859</v>
      </c>
      <c r="C873" s="23" t="s">
        <v>7860</v>
      </c>
      <c r="D873" s="23" t="s">
        <v>7861</v>
      </c>
      <c r="E873" s="23" t="s">
        <v>4115</v>
      </c>
      <c r="F873" s="23" t="s">
        <v>4923</v>
      </c>
      <c r="G873" s="22">
        <v>1990</v>
      </c>
      <c r="H873" s="24">
        <v>33086</v>
      </c>
      <c r="I873" s="23"/>
      <c r="J873" s="23"/>
      <c r="K873" s="26" t="s">
        <v>4119</v>
      </c>
      <c r="L873" s="27"/>
      <c r="M873" s="23"/>
    </row>
    <row r="874" spans="1:13" ht="15.75" customHeight="1">
      <c r="A874" s="22">
        <v>28162933</v>
      </c>
      <c r="B874" s="23" t="s">
        <v>7862</v>
      </c>
      <c r="C874" s="23" t="s">
        <v>7863</v>
      </c>
      <c r="D874" s="23" t="s">
        <v>7864</v>
      </c>
      <c r="E874" s="23" t="s">
        <v>1772</v>
      </c>
      <c r="F874" s="23" t="s">
        <v>7865</v>
      </c>
      <c r="G874" s="22">
        <v>2017</v>
      </c>
      <c r="H874" s="24">
        <v>42773</v>
      </c>
      <c r="I874" s="23"/>
      <c r="J874" s="23"/>
      <c r="K874" s="26" t="s">
        <v>1773</v>
      </c>
      <c r="L874" s="27"/>
      <c r="M874" s="27"/>
    </row>
    <row r="875" spans="1:13" ht="15.75" customHeight="1">
      <c r="A875" s="22">
        <v>15964357</v>
      </c>
      <c r="B875" s="23" t="s">
        <v>7866</v>
      </c>
      <c r="C875" s="23" t="s">
        <v>7867</v>
      </c>
      <c r="D875" s="23" t="s">
        <v>7868</v>
      </c>
      <c r="E875" s="23" t="s">
        <v>590</v>
      </c>
      <c r="F875" s="23" t="s">
        <v>5696</v>
      </c>
      <c r="G875" s="22">
        <v>2005</v>
      </c>
      <c r="H875" s="24">
        <v>38524</v>
      </c>
      <c r="I875" s="23"/>
      <c r="J875" s="23"/>
      <c r="K875" s="26" t="s">
        <v>2122</v>
      </c>
      <c r="L875" s="27"/>
      <c r="M875" s="27"/>
    </row>
    <row r="876" spans="1:13" ht="15.75" customHeight="1">
      <c r="A876" s="22">
        <v>9625030</v>
      </c>
      <c r="B876" s="23" t="s">
        <v>7869</v>
      </c>
      <c r="C876" s="23" t="s">
        <v>7870</v>
      </c>
      <c r="D876" s="23" t="s">
        <v>7871</v>
      </c>
      <c r="E876" s="23" t="s">
        <v>3746</v>
      </c>
      <c r="F876" s="23" t="s">
        <v>5445</v>
      </c>
      <c r="G876" s="22">
        <v>1998</v>
      </c>
      <c r="H876" s="24">
        <v>35959</v>
      </c>
      <c r="I876" s="23"/>
      <c r="J876" s="23"/>
      <c r="K876" s="26" t="s">
        <v>3747</v>
      </c>
      <c r="L876" s="27"/>
      <c r="M876" s="27"/>
    </row>
    <row r="877" spans="1:13" ht="15.75" customHeight="1">
      <c r="A877" s="22">
        <v>12153190</v>
      </c>
      <c r="B877" s="23" t="s">
        <v>7872</v>
      </c>
      <c r="C877" s="23" t="s">
        <v>7873</v>
      </c>
      <c r="D877" s="23" t="s">
        <v>7874</v>
      </c>
      <c r="E877" s="23" t="s">
        <v>4606</v>
      </c>
      <c r="F877" s="23" t="s">
        <v>5099</v>
      </c>
      <c r="G877" s="22">
        <v>2002</v>
      </c>
      <c r="H877" s="24">
        <v>37471</v>
      </c>
      <c r="I877" s="23"/>
      <c r="J877" s="23"/>
      <c r="K877" s="26" t="s">
        <v>4607</v>
      </c>
      <c r="L877" s="27"/>
      <c r="M877" s="27"/>
    </row>
    <row r="878" spans="1:13" ht="15.75" customHeight="1">
      <c r="A878" s="22">
        <v>27664550</v>
      </c>
      <c r="B878" s="23" t="s">
        <v>7875</v>
      </c>
      <c r="C878" s="23" t="s">
        <v>7876</v>
      </c>
      <c r="D878" s="23" t="s">
        <v>7877</v>
      </c>
      <c r="E878" s="23" t="s">
        <v>610</v>
      </c>
      <c r="F878" s="23" t="s">
        <v>7878</v>
      </c>
      <c r="G878" s="22">
        <v>2017</v>
      </c>
      <c r="H878" s="24">
        <v>42638</v>
      </c>
      <c r="I878" s="23"/>
      <c r="J878" s="23"/>
      <c r="K878" s="26" t="s">
        <v>611</v>
      </c>
      <c r="L878" s="27"/>
      <c r="M878" s="27"/>
    </row>
    <row r="879" spans="1:13" ht="15.75" customHeight="1">
      <c r="A879" s="22">
        <v>37121773</v>
      </c>
      <c r="B879" s="23" t="s">
        <v>7879</v>
      </c>
      <c r="C879" s="23" t="s">
        <v>7880</v>
      </c>
      <c r="D879" s="23" t="s">
        <v>7881</v>
      </c>
      <c r="E879" s="23" t="s">
        <v>2403</v>
      </c>
      <c r="F879" s="23" t="s">
        <v>5047</v>
      </c>
      <c r="G879" s="22">
        <v>2023</v>
      </c>
      <c r="H879" s="24">
        <v>45046</v>
      </c>
      <c r="I879" s="23"/>
      <c r="J879" s="23"/>
      <c r="K879" s="26" t="s">
        <v>2404</v>
      </c>
      <c r="L879" s="27"/>
      <c r="M879" s="23"/>
    </row>
    <row r="880" spans="1:13" ht="15.75" customHeight="1">
      <c r="A880" s="22">
        <v>25040797</v>
      </c>
      <c r="B880" s="23" t="s">
        <v>7882</v>
      </c>
      <c r="C880" s="23" t="s">
        <v>7883</v>
      </c>
      <c r="D880" s="23" t="s">
        <v>7884</v>
      </c>
      <c r="E880" s="23" t="s">
        <v>4548</v>
      </c>
      <c r="F880" s="23" t="s">
        <v>4974</v>
      </c>
      <c r="G880" s="22">
        <v>2014</v>
      </c>
      <c r="H880" s="24">
        <v>41842</v>
      </c>
      <c r="I880" s="23"/>
      <c r="J880" s="23"/>
      <c r="K880" s="26" t="s">
        <v>4549</v>
      </c>
      <c r="L880" s="27"/>
      <c r="M880" s="23"/>
    </row>
    <row r="881" spans="1:13" ht="15.75" customHeight="1">
      <c r="A881" s="22">
        <v>28596425</v>
      </c>
      <c r="B881" s="23" t="s">
        <v>7885</v>
      </c>
      <c r="C881" s="23" t="s">
        <v>7886</v>
      </c>
      <c r="D881" s="23" t="s">
        <v>7887</v>
      </c>
      <c r="E881" s="23" t="s">
        <v>221</v>
      </c>
      <c r="F881" s="23" t="s">
        <v>5343</v>
      </c>
      <c r="G881" s="22">
        <v>2017</v>
      </c>
      <c r="H881" s="24">
        <v>42896</v>
      </c>
      <c r="I881" s="26" t="s">
        <v>7888</v>
      </c>
      <c r="J881" s="27"/>
      <c r="K881" s="26" t="s">
        <v>639</v>
      </c>
      <c r="L881" s="27"/>
      <c r="M881" s="27"/>
    </row>
    <row r="882" spans="1:13" ht="15.75" customHeight="1">
      <c r="A882" s="22">
        <v>8639844</v>
      </c>
      <c r="B882" s="23" t="s">
        <v>7889</v>
      </c>
      <c r="C882" s="23" t="s">
        <v>7890</v>
      </c>
      <c r="D882" s="23" t="s">
        <v>7891</v>
      </c>
      <c r="E882" s="23" t="s">
        <v>2115</v>
      </c>
      <c r="F882" s="23" t="s">
        <v>5343</v>
      </c>
      <c r="G882" s="22">
        <v>1996</v>
      </c>
      <c r="H882" s="24">
        <v>35217</v>
      </c>
      <c r="I882" s="23"/>
      <c r="J882" s="23"/>
      <c r="K882" s="23"/>
      <c r="L882" s="23"/>
      <c r="M882" s="23"/>
    </row>
    <row r="883" spans="1:13" ht="15.75" customHeight="1">
      <c r="A883" s="22">
        <v>11498748</v>
      </c>
      <c r="B883" s="23" t="s">
        <v>7892</v>
      </c>
      <c r="C883" s="23" t="s">
        <v>7893</v>
      </c>
      <c r="D883" s="23" t="s">
        <v>7894</v>
      </c>
      <c r="E883" s="23" t="s">
        <v>195</v>
      </c>
      <c r="F883" s="23" t="s">
        <v>4863</v>
      </c>
      <c r="G883" s="22">
        <v>2001</v>
      </c>
      <c r="H883" s="24">
        <v>37114</v>
      </c>
      <c r="I883" s="23"/>
      <c r="J883" s="23"/>
      <c r="K883" s="26" t="s">
        <v>1001</v>
      </c>
      <c r="L883" s="27"/>
      <c r="M883" s="23"/>
    </row>
    <row r="884" spans="1:13" ht="15.75" customHeight="1">
      <c r="A884" s="22">
        <v>35060253</v>
      </c>
      <c r="B884" s="23" t="s">
        <v>7895</v>
      </c>
      <c r="C884" s="23" t="s">
        <v>7896</v>
      </c>
      <c r="D884" s="23" t="s">
        <v>7897</v>
      </c>
      <c r="E884" s="23" t="s">
        <v>1803</v>
      </c>
      <c r="F884" s="23" t="s">
        <v>4974</v>
      </c>
      <c r="G884" s="22">
        <v>2022</v>
      </c>
      <c r="H884" s="24">
        <v>44582</v>
      </c>
      <c r="I884" s="23"/>
      <c r="J884" s="23"/>
      <c r="K884" s="26" t="s">
        <v>1804</v>
      </c>
      <c r="L884" s="27"/>
      <c r="M884" s="23"/>
    </row>
    <row r="885" spans="1:13" ht="15.75" customHeight="1">
      <c r="A885" s="22">
        <v>14984492</v>
      </c>
      <c r="B885" s="23" t="s">
        <v>7898</v>
      </c>
      <c r="C885" s="23" t="s">
        <v>6689</v>
      </c>
      <c r="D885" s="23" t="s">
        <v>7899</v>
      </c>
      <c r="E885" s="23" t="s">
        <v>195</v>
      </c>
      <c r="F885" s="23" t="s">
        <v>5211</v>
      </c>
      <c r="G885" s="22">
        <v>2004</v>
      </c>
      <c r="H885" s="24">
        <v>38044</v>
      </c>
      <c r="I885" s="23"/>
      <c r="J885" s="23"/>
      <c r="K885" s="26" t="s">
        <v>4659</v>
      </c>
      <c r="L885" s="27"/>
      <c r="M885" s="27"/>
    </row>
    <row r="886" spans="1:13" ht="15.75" customHeight="1">
      <c r="A886" s="22">
        <v>31467131</v>
      </c>
      <c r="B886" s="23" t="s">
        <v>7900</v>
      </c>
      <c r="C886" s="23" t="s">
        <v>7901</v>
      </c>
      <c r="D886" s="23" t="s">
        <v>7902</v>
      </c>
      <c r="E886" s="23" t="s">
        <v>4435</v>
      </c>
      <c r="F886" s="23" t="s">
        <v>6289</v>
      </c>
      <c r="G886" s="22">
        <v>2019</v>
      </c>
      <c r="H886" s="24">
        <v>43708</v>
      </c>
      <c r="I886" s="26" t="s">
        <v>7903</v>
      </c>
      <c r="J886" s="27"/>
      <c r="K886" s="26" t="s">
        <v>4442</v>
      </c>
      <c r="L886" s="27"/>
      <c r="M886" s="27"/>
    </row>
    <row r="887" spans="1:13" ht="15.75" customHeight="1">
      <c r="A887" s="22">
        <v>36372142</v>
      </c>
      <c r="B887" s="23" t="s">
        <v>7904</v>
      </c>
      <c r="C887" s="23" t="s">
        <v>7905</v>
      </c>
      <c r="D887" s="23" t="s">
        <v>7906</v>
      </c>
      <c r="E887" s="23" t="s">
        <v>2130</v>
      </c>
      <c r="F887" s="23" t="s">
        <v>7907</v>
      </c>
      <c r="G887" s="22">
        <v>2023</v>
      </c>
      <c r="H887" s="24">
        <v>44878</v>
      </c>
      <c r="I887" s="23"/>
      <c r="J887" s="23"/>
      <c r="K887" s="26" t="s">
        <v>2131</v>
      </c>
      <c r="L887" s="27"/>
      <c r="M887" s="27"/>
    </row>
    <row r="888" spans="1:13" ht="15.75" customHeight="1">
      <c r="A888" s="22">
        <v>21895663</v>
      </c>
      <c r="B888" s="23" t="s">
        <v>7908</v>
      </c>
      <c r="C888" s="23" t="s">
        <v>7909</v>
      </c>
      <c r="D888" s="23" t="s">
        <v>7910</v>
      </c>
      <c r="E888" s="23" t="s">
        <v>4242</v>
      </c>
      <c r="F888" s="23" t="s">
        <v>7911</v>
      </c>
      <c r="G888" s="22">
        <v>2012</v>
      </c>
      <c r="H888" s="24">
        <v>40794</v>
      </c>
      <c r="I888" s="23"/>
      <c r="J888" s="23"/>
      <c r="K888" s="26" t="s">
        <v>4243</v>
      </c>
      <c r="L888" s="27"/>
      <c r="M888" s="27"/>
    </row>
    <row r="889" spans="1:13" ht="15.75" customHeight="1">
      <c r="A889" s="22">
        <v>10972002</v>
      </c>
      <c r="B889" s="23" t="s">
        <v>7912</v>
      </c>
      <c r="C889" s="23" t="s">
        <v>7913</v>
      </c>
      <c r="D889" s="23" t="s">
        <v>7914</v>
      </c>
      <c r="E889" s="23" t="s">
        <v>1648</v>
      </c>
      <c r="F889" s="23" t="s">
        <v>7915</v>
      </c>
      <c r="G889" s="22">
        <v>1999</v>
      </c>
      <c r="H889" s="24">
        <v>36775</v>
      </c>
      <c r="I889" s="23"/>
      <c r="J889" s="23"/>
      <c r="K889" s="23"/>
      <c r="L889" s="23"/>
      <c r="M889" s="23"/>
    </row>
    <row r="890" spans="1:13" ht="15.75" customHeight="1">
      <c r="A890" s="22">
        <v>25309913</v>
      </c>
      <c r="B890" s="23" t="s">
        <v>7916</v>
      </c>
      <c r="C890" s="23" t="s">
        <v>7917</v>
      </c>
      <c r="D890" s="23" t="s">
        <v>7918</v>
      </c>
      <c r="E890" s="23" t="s">
        <v>751</v>
      </c>
      <c r="F890" s="23" t="s">
        <v>7919</v>
      </c>
      <c r="G890" s="22">
        <v>2014</v>
      </c>
      <c r="H890" s="24">
        <v>41926</v>
      </c>
      <c r="I890" s="26" t="s">
        <v>7920</v>
      </c>
      <c r="J890" s="27"/>
      <c r="K890" s="26" t="s">
        <v>752</v>
      </c>
      <c r="L890" s="27"/>
      <c r="M890" s="23"/>
    </row>
    <row r="891" spans="1:13" ht="15.75" customHeight="1">
      <c r="A891" s="22">
        <v>24132547</v>
      </c>
      <c r="B891" s="23" t="s">
        <v>7921</v>
      </c>
      <c r="C891" s="23" t="s">
        <v>7922</v>
      </c>
      <c r="D891" s="23" t="s">
        <v>7923</v>
      </c>
      <c r="E891" s="23" t="s">
        <v>686</v>
      </c>
      <c r="F891" s="23" t="s">
        <v>4923</v>
      </c>
      <c r="G891" s="22">
        <v>2014</v>
      </c>
      <c r="H891" s="24">
        <v>41565</v>
      </c>
      <c r="I891" s="23"/>
      <c r="J891" s="23"/>
      <c r="K891" s="26" t="s">
        <v>2658</v>
      </c>
      <c r="L891" s="27"/>
      <c r="M891" s="23"/>
    </row>
    <row r="892" spans="1:13" ht="15.75" customHeight="1">
      <c r="A892" s="22">
        <v>12829600</v>
      </c>
      <c r="B892" s="23" t="s">
        <v>7924</v>
      </c>
      <c r="C892" s="23" t="s">
        <v>7925</v>
      </c>
      <c r="D892" s="23" t="s">
        <v>7926</v>
      </c>
      <c r="E892" s="23" t="s">
        <v>4064</v>
      </c>
      <c r="F892" s="23" t="s">
        <v>5343</v>
      </c>
      <c r="G892" s="22">
        <v>2003</v>
      </c>
      <c r="H892" s="24">
        <v>37800</v>
      </c>
      <c r="I892" s="23"/>
      <c r="J892" s="23"/>
      <c r="K892" s="26" t="s">
        <v>4065</v>
      </c>
      <c r="L892" s="27"/>
      <c r="M892" s="27"/>
    </row>
    <row r="893" spans="1:13" ht="15.75" customHeight="1">
      <c r="A893" s="22">
        <v>19120074</v>
      </c>
      <c r="B893" s="23" t="s">
        <v>7927</v>
      </c>
      <c r="C893" s="23" t="s">
        <v>7928</v>
      </c>
      <c r="D893" s="23" t="s">
        <v>7929</v>
      </c>
      <c r="E893" s="23" t="s">
        <v>651</v>
      </c>
      <c r="F893" s="23" t="s">
        <v>5726</v>
      </c>
      <c r="G893" s="22">
        <v>2009</v>
      </c>
      <c r="H893" s="24">
        <v>39819</v>
      </c>
      <c r="I893" s="23"/>
      <c r="J893" s="23"/>
      <c r="K893" s="26" t="s">
        <v>652</v>
      </c>
      <c r="L893" s="27"/>
      <c r="M893" s="27"/>
    </row>
    <row r="894" spans="1:13" ht="15.75" customHeight="1">
      <c r="A894" s="22">
        <v>32017805</v>
      </c>
      <c r="B894" s="23" t="s">
        <v>7930</v>
      </c>
      <c r="C894" s="23" t="s">
        <v>7931</v>
      </c>
      <c r="D894" s="23" t="s">
        <v>7932</v>
      </c>
      <c r="E894" s="23" t="s">
        <v>117</v>
      </c>
      <c r="F894" s="23" t="s">
        <v>4978</v>
      </c>
      <c r="G894" s="22">
        <v>2020</v>
      </c>
      <c r="H894" s="24">
        <v>43866</v>
      </c>
      <c r="I894" s="26" t="s">
        <v>7933</v>
      </c>
      <c r="J894" s="27"/>
      <c r="K894" s="26" t="s">
        <v>328</v>
      </c>
      <c r="L894" s="27"/>
      <c r="M894" s="27"/>
    </row>
    <row r="895" spans="1:13" ht="15.75" customHeight="1">
      <c r="A895" s="22">
        <v>11332675</v>
      </c>
      <c r="B895" s="23" t="s">
        <v>7934</v>
      </c>
      <c r="C895" s="23" t="s">
        <v>7935</v>
      </c>
      <c r="D895" s="23" t="s">
        <v>7936</v>
      </c>
      <c r="E895" s="23" t="s">
        <v>3441</v>
      </c>
      <c r="F895" s="23" t="s">
        <v>5982</v>
      </c>
      <c r="G895" s="22">
        <v>2001</v>
      </c>
      <c r="H895" s="24">
        <v>37014</v>
      </c>
      <c r="I895" s="23"/>
      <c r="J895" s="23"/>
      <c r="K895" s="26" t="s">
        <v>3448</v>
      </c>
      <c r="L895" s="27"/>
      <c r="M895" s="27"/>
    </row>
    <row r="896" spans="1:13" ht="15.75" customHeight="1">
      <c r="A896" s="22">
        <v>28954348</v>
      </c>
      <c r="B896" s="23" t="s">
        <v>7937</v>
      </c>
      <c r="C896" s="23" t="s">
        <v>7938</v>
      </c>
      <c r="D896" s="23" t="s">
        <v>7939</v>
      </c>
      <c r="E896" s="23" t="s">
        <v>131</v>
      </c>
      <c r="F896" s="23" t="s">
        <v>5874</v>
      </c>
      <c r="G896" s="22">
        <v>2017</v>
      </c>
      <c r="H896" s="24">
        <v>43006</v>
      </c>
      <c r="I896" s="26" t="s">
        <v>7940</v>
      </c>
      <c r="J896" s="27"/>
      <c r="K896" s="26" t="s">
        <v>2276</v>
      </c>
      <c r="L896" s="27"/>
      <c r="M896" s="27"/>
    </row>
    <row r="897" spans="1:13" ht="15.75" customHeight="1">
      <c r="A897" s="22">
        <v>8212852</v>
      </c>
      <c r="B897" s="23" t="s">
        <v>7941</v>
      </c>
      <c r="C897" s="23" t="s">
        <v>7942</v>
      </c>
      <c r="D897" s="23" t="s">
        <v>7943</v>
      </c>
      <c r="E897" s="23" t="s">
        <v>1459</v>
      </c>
      <c r="F897" s="23" t="s">
        <v>5122</v>
      </c>
      <c r="G897" s="22">
        <v>1993</v>
      </c>
      <c r="H897" s="24">
        <v>34151</v>
      </c>
      <c r="I897" s="23"/>
      <c r="J897" s="23"/>
      <c r="K897" s="26" t="s">
        <v>1461</v>
      </c>
      <c r="L897" s="27"/>
      <c r="M897" s="27"/>
    </row>
    <row r="898" spans="1:13" ht="15.75" customHeight="1">
      <c r="A898" s="22">
        <v>10995927</v>
      </c>
      <c r="B898" s="23" t="s">
        <v>7944</v>
      </c>
      <c r="C898" s="23" t="s">
        <v>7945</v>
      </c>
      <c r="D898" s="23" t="s">
        <v>7946</v>
      </c>
      <c r="E898" s="23" t="s">
        <v>1928</v>
      </c>
      <c r="F898" s="23" t="s">
        <v>5696</v>
      </c>
      <c r="G898" s="22">
        <v>2000</v>
      </c>
      <c r="H898" s="24">
        <v>36790</v>
      </c>
      <c r="I898" s="23"/>
      <c r="J898" s="23"/>
      <c r="K898" s="26" t="s">
        <v>1929</v>
      </c>
      <c r="L898" s="27"/>
      <c r="M898" s="27"/>
    </row>
    <row r="899" spans="1:13" ht="15.75" customHeight="1">
      <c r="A899" s="22">
        <v>17053315</v>
      </c>
      <c r="B899" s="23" t="s">
        <v>7947</v>
      </c>
      <c r="C899" s="23" t="s">
        <v>7948</v>
      </c>
      <c r="D899" s="23" t="s">
        <v>7949</v>
      </c>
      <c r="E899" s="23" t="s">
        <v>4414</v>
      </c>
      <c r="F899" s="23" t="s">
        <v>5163</v>
      </c>
      <c r="G899" s="22">
        <v>2006</v>
      </c>
      <c r="H899" s="24">
        <v>39011</v>
      </c>
      <c r="I899" s="23"/>
      <c r="J899" s="23"/>
      <c r="K899" s="26" t="s">
        <v>4417</v>
      </c>
      <c r="L899" s="27"/>
      <c r="M899" s="27"/>
    </row>
    <row r="900" spans="1:13" ht="15.75" customHeight="1">
      <c r="A900" s="22">
        <v>22691524</v>
      </c>
      <c r="B900" s="23" t="s">
        <v>7950</v>
      </c>
      <c r="C900" s="23" t="s">
        <v>7951</v>
      </c>
      <c r="D900" s="23" t="s">
        <v>7952</v>
      </c>
      <c r="E900" s="23" t="s">
        <v>2446</v>
      </c>
      <c r="F900" s="23" t="s">
        <v>7953</v>
      </c>
      <c r="G900" s="22">
        <v>2012</v>
      </c>
      <c r="H900" s="24">
        <v>41074</v>
      </c>
      <c r="I900" s="23"/>
      <c r="J900" s="23"/>
      <c r="K900" s="26" t="s">
        <v>2447</v>
      </c>
      <c r="L900" s="27"/>
      <c r="M900" s="27"/>
    </row>
    <row r="901" spans="1:13" ht="15.75" customHeight="1">
      <c r="A901" s="22">
        <v>35764288</v>
      </c>
      <c r="B901" s="23" t="s">
        <v>7954</v>
      </c>
      <c r="C901" s="23" t="s">
        <v>7955</v>
      </c>
      <c r="D901" s="23" t="s">
        <v>7956</v>
      </c>
      <c r="E901" s="23" t="s">
        <v>221</v>
      </c>
      <c r="F901" s="23" t="s">
        <v>4876</v>
      </c>
      <c r="G901" s="22">
        <v>2022</v>
      </c>
      <c r="H901" s="24">
        <v>44740</v>
      </c>
      <c r="I901" s="23"/>
      <c r="J901" s="23"/>
      <c r="K901" s="26" t="s">
        <v>637</v>
      </c>
      <c r="L901" s="27"/>
      <c r="M901" s="27"/>
    </row>
    <row r="902" spans="1:13" ht="15.75" customHeight="1">
      <c r="A902" s="22">
        <v>8947298</v>
      </c>
      <c r="B902" s="23" t="s">
        <v>7957</v>
      </c>
      <c r="C902" s="23" t="s">
        <v>7958</v>
      </c>
      <c r="D902" s="23" t="s">
        <v>7959</v>
      </c>
      <c r="E902" s="23" t="s">
        <v>1654</v>
      </c>
      <c r="F902" s="23" t="s">
        <v>5433</v>
      </c>
      <c r="G902" s="22">
        <v>1996</v>
      </c>
      <c r="H902" s="24">
        <v>35389</v>
      </c>
      <c r="I902" s="23"/>
      <c r="J902" s="23"/>
      <c r="K902" s="26" t="s">
        <v>1659</v>
      </c>
      <c r="L902" s="27"/>
      <c r="M902" s="27"/>
    </row>
    <row r="903" spans="1:13" ht="15.75" customHeight="1">
      <c r="A903" s="22">
        <v>32028025</v>
      </c>
      <c r="B903" s="23" t="s">
        <v>7960</v>
      </c>
      <c r="C903" s="23" t="s">
        <v>7961</v>
      </c>
      <c r="D903" s="23" t="s">
        <v>7962</v>
      </c>
      <c r="E903" s="23" t="s">
        <v>4349</v>
      </c>
      <c r="F903" s="23" t="s">
        <v>5076</v>
      </c>
      <c r="G903" s="22">
        <v>2020</v>
      </c>
      <c r="H903" s="24">
        <v>43868</v>
      </c>
      <c r="I903" s="23"/>
      <c r="J903" s="23"/>
      <c r="K903" s="26" t="s">
        <v>4350</v>
      </c>
      <c r="L903" s="27"/>
      <c r="M903" s="27"/>
    </row>
    <row r="904" spans="1:13" ht="15.75" customHeight="1">
      <c r="A904" s="22">
        <v>11303272</v>
      </c>
      <c r="B904" s="23" t="s">
        <v>7963</v>
      </c>
      <c r="C904" s="23" t="s">
        <v>7964</v>
      </c>
      <c r="D904" s="23" t="s">
        <v>7965</v>
      </c>
      <c r="E904" s="23" t="s">
        <v>1958</v>
      </c>
      <c r="F904" s="23" t="s">
        <v>5080</v>
      </c>
      <c r="G904" s="22">
        <v>2001</v>
      </c>
      <c r="H904" s="24">
        <v>36998</v>
      </c>
      <c r="I904" s="23"/>
      <c r="J904" s="23"/>
      <c r="K904" s="26" t="s">
        <v>1959</v>
      </c>
      <c r="L904" s="27"/>
      <c r="M904" s="23"/>
    </row>
    <row r="905" spans="1:13" ht="15.75" customHeight="1">
      <c r="A905" s="22">
        <v>10918408</v>
      </c>
      <c r="B905" s="23" t="s">
        <v>7966</v>
      </c>
      <c r="C905" s="23" t="s">
        <v>7967</v>
      </c>
      <c r="D905" s="23" t="s">
        <v>7968</v>
      </c>
      <c r="E905" s="23" t="s">
        <v>912</v>
      </c>
      <c r="F905" s="23" t="s">
        <v>4863</v>
      </c>
      <c r="G905" s="22">
        <v>2000</v>
      </c>
      <c r="H905" s="24">
        <v>36743</v>
      </c>
      <c r="I905" s="23"/>
      <c r="J905" s="23"/>
      <c r="K905" s="26" t="s">
        <v>913</v>
      </c>
      <c r="L905" s="27"/>
      <c r="M905" s="23"/>
    </row>
    <row r="906" spans="1:13" ht="15.75" customHeight="1">
      <c r="A906" s="22">
        <v>9630332</v>
      </c>
      <c r="B906" s="23" t="s">
        <v>7969</v>
      </c>
      <c r="C906" s="23" t="s">
        <v>7324</v>
      </c>
      <c r="D906" s="23" t="s">
        <v>7970</v>
      </c>
      <c r="E906" s="23" t="s">
        <v>249</v>
      </c>
      <c r="F906" s="23" t="s">
        <v>4863</v>
      </c>
      <c r="G906" s="22">
        <v>1998</v>
      </c>
      <c r="H906" s="24">
        <v>35964</v>
      </c>
      <c r="I906" s="23"/>
      <c r="J906" s="23"/>
      <c r="K906" s="23"/>
      <c r="L906" s="23"/>
      <c r="M906" s="23"/>
    </row>
    <row r="907" spans="1:13" ht="15.75" customHeight="1">
      <c r="A907" s="22">
        <v>22862952</v>
      </c>
      <c r="B907" s="23" t="s">
        <v>7971</v>
      </c>
      <c r="C907" s="23" t="s">
        <v>7972</v>
      </c>
      <c r="D907" s="23" t="s">
        <v>7973</v>
      </c>
      <c r="E907" s="23" t="s">
        <v>1987</v>
      </c>
      <c r="F907" s="23" t="s">
        <v>4974</v>
      </c>
      <c r="G907" s="22">
        <v>2012</v>
      </c>
      <c r="H907" s="24">
        <v>41128</v>
      </c>
      <c r="I907" s="23"/>
      <c r="J907" s="23"/>
      <c r="K907" s="26" t="s">
        <v>1988</v>
      </c>
      <c r="L907" s="27"/>
      <c r="M907" s="27"/>
    </row>
    <row r="908" spans="1:13" ht="15.75" customHeight="1">
      <c r="A908" s="22">
        <v>28207973</v>
      </c>
      <c r="B908" s="23" t="s">
        <v>7974</v>
      </c>
      <c r="C908" s="23" t="s">
        <v>7975</v>
      </c>
      <c r="D908" s="23" t="s">
        <v>7976</v>
      </c>
      <c r="E908" s="23" t="s">
        <v>745</v>
      </c>
      <c r="F908" s="23" t="s">
        <v>4974</v>
      </c>
      <c r="G908" s="22">
        <v>2017</v>
      </c>
      <c r="H908" s="24">
        <v>42783</v>
      </c>
      <c r="I908" s="23"/>
      <c r="J908" s="23"/>
      <c r="K908" s="26" t="s">
        <v>746</v>
      </c>
      <c r="L908" s="27"/>
      <c r="M908" s="23"/>
    </row>
    <row r="909" spans="1:13" ht="15.75" customHeight="1">
      <c r="A909" s="22">
        <v>15667619</v>
      </c>
      <c r="B909" s="23" t="s">
        <v>7977</v>
      </c>
      <c r="C909" s="23" t="s">
        <v>7978</v>
      </c>
      <c r="D909" s="23" t="s">
        <v>7979</v>
      </c>
      <c r="E909" s="23" t="s">
        <v>1633</v>
      </c>
      <c r="F909" s="23" t="s">
        <v>5543</v>
      </c>
      <c r="G909" s="22">
        <v>2005</v>
      </c>
      <c r="H909" s="24">
        <v>38378</v>
      </c>
      <c r="I909" s="23"/>
      <c r="J909" s="23"/>
      <c r="K909" s="26" t="s">
        <v>1634</v>
      </c>
      <c r="L909" s="27"/>
      <c r="M909" s="27"/>
    </row>
    <row r="910" spans="1:13" ht="15.75" customHeight="1">
      <c r="A910" s="22">
        <v>15151761</v>
      </c>
      <c r="B910" s="23" t="s">
        <v>7980</v>
      </c>
      <c r="C910" s="23" t="s">
        <v>7981</v>
      </c>
      <c r="D910" s="23" t="s">
        <v>7982</v>
      </c>
      <c r="E910" s="23" t="s">
        <v>2983</v>
      </c>
      <c r="F910" s="23" t="s">
        <v>7983</v>
      </c>
      <c r="G910" s="22">
        <v>2003</v>
      </c>
      <c r="H910" s="24">
        <v>38128</v>
      </c>
      <c r="I910" s="23"/>
      <c r="J910" s="23"/>
      <c r="K910" s="23"/>
      <c r="L910" s="23"/>
      <c r="M910" s="23"/>
    </row>
    <row r="911" spans="1:13" ht="15.75" customHeight="1">
      <c r="A911" s="22">
        <v>23354300</v>
      </c>
      <c r="B911" s="23" t="s">
        <v>7984</v>
      </c>
      <c r="C911" s="23" t="s">
        <v>7985</v>
      </c>
      <c r="D911" s="23" t="s">
        <v>7986</v>
      </c>
      <c r="E911" s="23" t="s">
        <v>3017</v>
      </c>
      <c r="F911" s="23" t="s">
        <v>5445</v>
      </c>
      <c r="G911" s="22">
        <v>2013</v>
      </c>
      <c r="H911" s="24">
        <v>41303</v>
      </c>
      <c r="I911" s="23"/>
      <c r="J911" s="23"/>
      <c r="K911" s="26" t="s">
        <v>3018</v>
      </c>
      <c r="L911" s="27"/>
      <c r="M911" s="27"/>
    </row>
    <row r="912" spans="1:13" ht="15.75" customHeight="1">
      <c r="A912" s="22">
        <v>37532126</v>
      </c>
      <c r="B912" s="23" t="s">
        <v>7987</v>
      </c>
      <c r="C912" s="23" t="s">
        <v>7988</v>
      </c>
      <c r="D912" s="23" t="s">
        <v>7989</v>
      </c>
      <c r="E912" s="23" t="s">
        <v>679</v>
      </c>
      <c r="F912" s="23" t="s">
        <v>4851</v>
      </c>
      <c r="G912" s="22">
        <v>2023</v>
      </c>
      <c r="H912" s="24">
        <v>45140</v>
      </c>
      <c r="I912" s="23" t="s">
        <v>7990</v>
      </c>
      <c r="J912" s="23" t="s">
        <v>7991</v>
      </c>
      <c r="K912" s="26" t="s">
        <v>680</v>
      </c>
      <c r="L912" s="27"/>
      <c r="M912" s="27"/>
    </row>
    <row r="913" spans="1:13" ht="15.75" customHeight="1">
      <c r="A913" s="22">
        <v>17234516</v>
      </c>
      <c r="B913" s="23" t="s">
        <v>7992</v>
      </c>
      <c r="C913" s="23" t="s">
        <v>7993</v>
      </c>
      <c r="D913" s="23" t="s">
        <v>7994</v>
      </c>
      <c r="E913" s="23" t="s">
        <v>2917</v>
      </c>
      <c r="F913" s="23" t="s">
        <v>7865</v>
      </c>
      <c r="G913" s="22">
        <v>2007</v>
      </c>
      <c r="H913" s="24">
        <v>39102</v>
      </c>
      <c r="I913" s="23"/>
      <c r="J913" s="23"/>
      <c r="K913" s="26" t="s">
        <v>2918</v>
      </c>
      <c r="L913" s="27"/>
      <c r="M913" s="27"/>
    </row>
    <row r="914" spans="1:13" ht="15.75" customHeight="1">
      <c r="A914" s="22">
        <v>1337563</v>
      </c>
      <c r="B914" s="23" t="s">
        <v>7995</v>
      </c>
      <c r="C914" s="23" t="s">
        <v>7996</v>
      </c>
      <c r="D914" s="23" t="s">
        <v>7997</v>
      </c>
      <c r="E914" s="23" t="s">
        <v>2632</v>
      </c>
      <c r="F914" s="23" t="s">
        <v>5031</v>
      </c>
      <c r="G914" s="22">
        <v>1992</v>
      </c>
      <c r="H914" s="24">
        <v>33909</v>
      </c>
      <c r="I914" s="23"/>
      <c r="J914" s="23"/>
      <c r="K914" s="23"/>
      <c r="L914" s="23"/>
      <c r="M914" s="23"/>
    </row>
    <row r="915" spans="1:13" ht="15.75" customHeight="1">
      <c r="A915" s="22">
        <v>17110691</v>
      </c>
      <c r="B915" s="23" t="s">
        <v>7998</v>
      </c>
      <c r="C915" s="23" t="s">
        <v>7999</v>
      </c>
      <c r="D915" s="23" t="s">
        <v>8000</v>
      </c>
      <c r="E915" s="23" t="s">
        <v>789</v>
      </c>
      <c r="F915" s="23" t="s">
        <v>8001</v>
      </c>
      <c r="G915" s="22">
        <v>2006</v>
      </c>
      <c r="H915" s="24">
        <v>39039</v>
      </c>
      <c r="I915" s="26" t="s">
        <v>8002</v>
      </c>
      <c r="J915" s="27"/>
      <c r="K915" s="23"/>
      <c r="L915" s="23"/>
      <c r="M915" s="23"/>
    </row>
    <row r="916" spans="1:13" ht="15.75" customHeight="1">
      <c r="A916" s="22">
        <v>34790199</v>
      </c>
      <c r="B916" s="23" t="s">
        <v>8003</v>
      </c>
      <c r="C916" s="23" t="s">
        <v>8004</v>
      </c>
      <c r="D916" s="23" t="s">
        <v>8005</v>
      </c>
      <c r="E916" s="23" t="s">
        <v>3173</v>
      </c>
      <c r="F916" s="23" t="s">
        <v>4912</v>
      </c>
      <c r="G916" s="22">
        <v>2021</v>
      </c>
      <c r="H916" s="24">
        <v>44518</v>
      </c>
      <c r="I916" s="26" t="s">
        <v>8006</v>
      </c>
      <c r="J916" s="27"/>
      <c r="K916" s="26" t="s">
        <v>3174</v>
      </c>
      <c r="L916" s="27"/>
      <c r="M916" s="27"/>
    </row>
    <row r="917" spans="1:13" ht="15.75" customHeight="1">
      <c r="A917" s="22">
        <v>22971937</v>
      </c>
      <c r="B917" s="23" t="s">
        <v>8007</v>
      </c>
      <c r="C917" s="23" t="s">
        <v>8008</v>
      </c>
      <c r="D917" s="23" t="s">
        <v>8009</v>
      </c>
      <c r="E917" s="23" t="s">
        <v>2379</v>
      </c>
      <c r="F917" s="23" t="s">
        <v>5271</v>
      </c>
      <c r="G917" s="22">
        <v>2013</v>
      </c>
      <c r="H917" s="24">
        <v>41166</v>
      </c>
      <c r="I917" s="23"/>
      <c r="J917" s="23"/>
      <c r="K917" s="26" t="s">
        <v>2380</v>
      </c>
      <c r="L917" s="27"/>
      <c r="M917" s="27"/>
    </row>
    <row r="918" spans="1:13" ht="15.75" customHeight="1">
      <c r="A918" s="22">
        <v>19907110</v>
      </c>
      <c r="B918" s="23" t="s">
        <v>8010</v>
      </c>
      <c r="C918" s="23" t="s">
        <v>4968</v>
      </c>
      <c r="D918" s="23" t="s">
        <v>8011</v>
      </c>
      <c r="E918" s="23" t="s">
        <v>151</v>
      </c>
      <c r="F918" s="23" t="s">
        <v>8012</v>
      </c>
      <c r="G918" s="22">
        <v>2009</v>
      </c>
      <c r="H918" s="24">
        <v>40130</v>
      </c>
      <c r="I918" s="23"/>
      <c r="J918" s="23"/>
      <c r="K918" s="26" t="s">
        <v>3430</v>
      </c>
      <c r="L918" s="27"/>
      <c r="M918" s="23"/>
    </row>
    <row r="919" spans="1:13" ht="15.75" customHeight="1">
      <c r="A919" s="22">
        <v>8770508</v>
      </c>
      <c r="B919" s="23" t="s">
        <v>8013</v>
      </c>
      <c r="C919" s="23" t="s">
        <v>8014</v>
      </c>
      <c r="D919" s="23" t="s">
        <v>8015</v>
      </c>
      <c r="E919" s="23" t="s">
        <v>1341</v>
      </c>
      <c r="F919" s="23" t="s">
        <v>7605</v>
      </c>
      <c r="G919" s="22">
        <v>1996</v>
      </c>
      <c r="H919" s="24">
        <v>35065</v>
      </c>
      <c r="I919" s="23" t="s">
        <v>8016</v>
      </c>
      <c r="J919" s="23"/>
      <c r="K919" s="26" t="s">
        <v>1344</v>
      </c>
      <c r="L919" s="27"/>
      <c r="M919" s="27"/>
    </row>
    <row r="920" spans="1:13" ht="15.75" customHeight="1">
      <c r="A920" s="22">
        <v>8091661</v>
      </c>
      <c r="B920" s="23" t="s">
        <v>8017</v>
      </c>
      <c r="C920" s="23" t="s">
        <v>8018</v>
      </c>
      <c r="D920" s="23" t="s">
        <v>8019</v>
      </c>
      <c r="E920" s="23" t="s">
        <v>4247</v>
      </c>
      <c r="F920" s="23" t="s">
        <v>4950</v>
      </c>
      <c r="G920" s="22">
        <v>1994</v>
      </c>
      <c r="H920" s="24">
        <v>34608</v>
      </c>
      <c r="I920" s="23"/>
      <c r="J920" s="23"/>
      <c r="K920" s="26" t="s">
        <v>4248</v>
      </c>
      <c r="L920" s="27"/>
      <c r="M920" s="23"/>
    </row>
    <row r="921" spans="1:13" ht="15.75" customHeight="1">
      <c r="A921" s="22">
        <v>19790143</v>
      </c>
      <c r="B921" s="23" t="s">
        <v>8020</v>
      </c>
      <c r="C921" s="23" t="s">
        <v>8021</v>
      </c>
      <c r="D921" s="23" t="s">
        <v>8022</v>
      </c>
      <c r="E921" s="23" t="s">
        <v>4363</v>
      </c>
      <c r="F921" s="23" t="s">
        <v>5295</v>
      </c>
      <c r="G921" s="22">
        <v>2009</v>
      </c>
      <c r="H921" s="24">
        <v>40087</v>
      </c>
      <c r="I921" s="23"/>
      <c r="J921" s="23"/>
      <c r="K921" s="26" t="s">
        <v>4366</v>
      </c>
      <c r="L921" s="27"/>
      <c r="M921" s="23"/>
    </row>
    <row r="922" spans="1:13" ht="15.75" customHeight="1">
      <c r="A922" s="22">
        <v>33587431</v>
      </c>
      <c r="B922" s="23" t="s">
        <v>8023</v>
      </c>
      <c r="C922" s="23" t="s">
        <v>8024</v>
      </c>
      <c r="D922" s="23" t="s">
        <v>8025</v>
      </c>
      <c r="E922" s="23" t="s">
        <v>4017</v>
      </c>
      <c r="F922" s="23" t="s">
        <v>5445</v>
      </c>
      <c r="G922" s="22">
        <v>2021</v>
      </c>
      <c r="H922" s="24">
        <v>44242</v>
      </c>
      <c r="I922" s="23"/>
      <c r="J922" s="23"/>
      <c r="K922" s="26" t="s">
        <v>4031</v>
      </c>
      <c r="L922" s="27"/>
      <c r="M922" s="27"/>
    </row>
    <row r="923" spans="1:13" ht="15.75" customHeight="1">
      <c r="A923" s="22">
        <v>17867305</v>
      </c>
      <c r="B923" s="23" t="s">
        <v>8026</v>
      </c>
      <c r="C923" s="23" t="s">
        <v>8027</v>
      </c>
      <c r="D923" s="23" t="s">
        <v>8028</v>
      </c>
      <c r="E923" s="23" t="s">
        <v>2479</v>
      </c>
      <c r="F923" s="23" t="s">
        <v>5047</v>
      </c>
      <c r="G923" s="22">
        <v>2007</v>
      </c>
      <c r="H923" s="24">
        <v>39343</v>
      </c>
      <c r="I923" s="23"/>
      <c r="J923" s="23"/>
      <c r="K923" s="23"/>
      <c r="L923" s="23"/>
      <c r="M923" s="23"/>
    </row>
    <row r="924" spans="1:13" ht="15.75" customHeight="1">
      <c r="A924" s="22">
        <v>16363745</v>
      </c>
      <c r="B924" s="23" t="s">
        <v>8029</v>
      </c>
      <c r="C924" s="23" t="s">
        <v>8030</v>
      </c>
      <c r="D924" s="23" t="s">
        <v>8031</v>
      </c>
      <c r="E924" s="23" t="s">
        <v>4459</v>
      </c>
      <c r="F924" s="23" t="s">
        <v>8032</v>
      </c>
      <c r="G924" s="22">
        <v>2005</v>
      </c>
      <c r="H924" s="24">
        <v>38707</v>
      </c>
      <c r="I924" s="23"/>
      <c r="J924" s="23"/>
      <c r="K924" s="26" t="s">
        <v>4460</v>
      </c>
      <c r="L924" s="27"/>
      <c r="M924" s="23"/>
    </row>
    <row r="925" spans="1:13" ht="15.75" customHeight="1">
      <c r="A925" s="22">
        <v>10401640</v>
      </c>
      <c r="B925" s="23" t="s">
        <v>8033</v>
      </c>
      <c r="C925" s="23" t="s">
        <v>8034</v>
      </c>
      <c r="D925" s="23" t="s">
        <v>8035</v>
      </c>
      <c r="E925" s="23" t="s">
        <v>2609</v>
      </c>
      <c r="F925" s="23" t="s">
        <v>8036</v>
      </c>
      <c r="G925" s="22">
        <v>1999</v>
      </c>
      <c r="H925" s="24">
        <v>36354</v>
      </c>
      <c r="I925" s="23"/>
      <c r="J925" s="23"/>
      <c r="K925" s="26" t="s">
        <v>2610</v>
      </c>
      <c r="L925" s="27"/>
      <c r="M925" s="27"/>
    </row>
    <row r="926" spans="1:13" ht="15.75" customHeight="1">
      <c r="A926" s="22">
        <v>30026111</v>
      </c>
      <c r="B926" s="23" t="s">
        <v>8037</v>
      </c>
      <c r="C926" s="23" t="s">
        <v>8038</v>
      </c>
      <c r="D926" s="23" t="s">
        <v>8039</v>
      </c>
      <c r="E926" s="23" t="s">
        <v>1006</v>
      </c>
      <c r="F926" s="23" t="s">
        <v>5076</v>
      </c>
      <c r="G926" s="22">
        <v>2018</v>
      </c>
      <c r="H926" s="24">
        <v>43302</v>
      </c>
      <c r="I926" s="23"/>
      <c r="J926" s="23"/>
      <c r="K926" s="26" t="s">
        <v>1007</v>
      </c>
      <c r="L926" s="27"/>
      <c r="M926" s="27"/>
    </row>
    <row r="927" spans="1:13" ht="15.75" customHeight="1">
      <c r="A927" s="22">
        <v>24384048</v>
      </c>
      <c r="B927" s="23" t="s">
        <v>8040</v>
      </c>
      <c r="C927" s="23" t="s">
        <v>8041</v>
      </c>
      <c r="D927" s="23" t="s">
        <v>8042</v>
      </c>
      <c r="E927" s="23" t="s">
        <v>1140</v>
      </c>
      <c r="F927" s="23" t="s">
        <v>5543</v>
      </c>
      <c r="G927" s="22">
        <v>2014</v>
      </c>
      <c r="H927" s="24">
        <v>41643</v>
      </c>
      <c r="I927" s="23"/>
      <c r="J927" s="23"/>
      <c r="K927" s="26" t="s">
        <v>1141</v>
      </c>
      <c r="L927" s="27"/>
      <c r="M927" s="23"/>
    </row>
    <row r="928" spans="1:13" ht="15.75" customHeight="1">
      <c r="A928" s="22">
        <v>16611785</v>
      </c>
      <c r="B928" s="23" t="s">
        <v>8043</v>
      </c>
      <c r="C928" s="23" t="s">
        <v>8044</v>
      </c>
      <c r="D928" s="23" t="s">
        <v>8045</v>
      </c>
      <c r="E928" s="23" t="s">
        <v>2199</v>
      </c>
      <c r="F928" s="23" t="s">
        <v>8001</v>
      </c>
      <c r="G928" s="22">
        <v>2006</v>
      </c>
      <c r="H928" s="24">
        <v>38821</v>
      </c>
      <c r="I928" s="26" t="s">
        <v>8046</v>
      </c>
      <c r="J928" s="27"/>
      <c r="K928" s="23"/>
      <c r="L928" s="23"/>
      <c r="M928" s="23"/>
    </row>
    <row r="929" spans="1:13" ht="15.75" customHeight="1">
      <c r="A929" s="22">
        <v>30875143</v>
      </c>
      <c r="B929" s="23" t="s">
        <v>8047</v>
      </c>
      <c r="C929" s="23" t="s">
        <v>8048</v>
      </c>
      <c r="D929" s="23" t="s">
        <v>8049</v>
      </c>
      <c r="E929" s="23" t="s">
        <v>915</v>
      </c>
      <c r="F929" s="23" t="s">
        <v>4974</v>
      </c>
      <c r="G929" s="22">
        <v>2019</v>
      </c>
      <c r="H929" s="24">
        <v>43540</v>
      </c>
      <c r="I929" s="23"/>
      <c r="J929" s="23"/>
      <c r="K929" s="26" t="s">
        <v>916</v>
      </c>
      <c r="L929" s="27"/>
      <c r="M929" s="23"/>
    </row>
    <row r="930" spans="1:13" ht="15.75" customHeight="1">
      <c r="A930" s="22">
        <v>12515195</v>
      </c>
      <c r="B930" s="23" t="s">
        <v>8050</v>
      </c>
      <c r="C930" s="23" t="s">
        <v>8051</v>
      </c>
      <c r="D930" s="23" t="s">
        <v>8052</v>
      </c>
      <c r="E930" s="23" t="s">
        <v>2940</v>
      </c>
      <c r="F930" s="23" t="s">
        <v>6496</v>
      </c>
      <c r="G930" s="22">
        <v>1998</v>
      </c>
      <c r="H930" s="24">
        <v>37629</v>
      </c>
      <c r="I930" s="23"/>
      <c r="J930" s="23"/>
      <c r="K930" s="23"/>
      <c r="L930" s="23"/>
      <c r="M930" s="23"/>
    </row>
    <row r="931" spans="1:13" ht="15.75" customHeight="1">
      <c r="A931" s="22">
        <v>28051106</v>
      </c>
      <c r="B931" s="23" t="s">
        <v>8053</v>
      </c>
      <c r="C931" s="23" t="s">
        <v>8054</v>
      </c>
      <c r="D931" s="23" t="s">
        <v>8055</v>
      </c>
      <c r="E931" s="23" t="s">
        <v>3873</v>
      </c>
      <c r="F931" s="23" t="s">
        <v>5043</v>
      </c>
      <c r="G931" s="22">
        <v>2017</v>
      </c>
      <c r="H931" s="24">
        <v>42740</v>
      </c>
      <c r="I931" s="26" t="s">
        <v>8056</v>
      </c>
      <c r="J931" s="27"/>
      <c r="K931" s="26" t="s">
        <v>3874</v>
      </c>
      <c r="L931" s="27"/>
      <c r="M931" s="23"/>
    </row>
    <row r="932" spans="1:13" ht="15.75" customHeight="1">
      <c r="A932" s="22">
        <v>24011959</v>
      </c>
      <c r="B932" s="23" t="s">
        <v>8057</v>
      </c>
      <c r="C932" s="23" t="s">
        <v>8058</v>
      </c>
      <c r="D932" s="23" t="s">
        <v>8059</v>
      </c>
      <c r="E932" s="23" t="s">
        <v>1838</v>
      </c>
      <c r="F932" s="23" t="s">
        <v>8060</v>
      </c>
      <c r="G932" s="22">
        <v>2013</v>
      </c>
      <c r="H932" s="24">
        <v>41527</v>
      </c>
      <c r="I932" s="23"/>
      <c r="J932" s="23"/>
      <c r="K932" s="26" t="s">
        <v>1839</v>
      </c>
      <c r="L932" s="27"/>
      <c r="M932" s="27"/>
    </row>
    <row r="933" spans="1:13" ht="15.75" customHeight="1">
      <c r="A933" s="22">
        <v>12581322</v>
      </c>
      <c r="B933" s="23" t="s">
        <v>8061</v>
      </c>
      <c r="C933" s="23" t="s">
        <v>6689</v>
      </c>
      <c r="D933" s="23" t="s">
        <v>8062</v>
      </c>
      <c r="E933" s="23" t="s">
        <v>195</v>
      </c>
      <c r="F933" s="23" t="s">
        <v>5543</v>
      </c>
      <c r="G933" s="22">
        <v>2003</v>
      </c>
      <c r="H933" s="24">
        <v>37665</v>
      </c>
      <c r="I933" s="23"/>
      <c r="J933" s="23"/>
      <c r="K933" s="26" t="s">
        <v>4661</v>
      </c>
      <c r="L933" s="27"/>
      <c r="M933" s="27"/>
    </row>
    <row r="934" spans="1:13" ht="15.75" customHeight="1">
      <c r="A934" s="22">
        <v>12628547</v>
      </c>
      <c r="B934" s="23" t="s">
        <v>8063</v>
      </c>
      <c r="C934" s="23" t="s">
        <v>8064</v>
      </c>
      <c r="D934" s="23" t="s">
        <v>8065</v>
      </c>
      <c r="E934" s="23" t="s">
        <v>3508</v>
      </c>
      <c r="F934" s="23" t="s">
        <v>8066</v>
      </c>
      <c r="G934" s="22">
        <v>2003</v>
      </c>
      <c r="H934" s="24">
        <v>37692</v>
      </c>
      <c r="I934" s="23"/>
      <c r="J934" s="23"/>
      <c r="K934" s="26" t="s">
        <v>3509</v>
      </c>
      <c r="L934" s="27"/>
      <c r="M934" s="27"/>
    </row>
    <row r="935" spans="1:13" ht="15.75" customHeight="1">
      <c r="A935" s="22">
        <v>19297473</v>
      </c>
      <c r="B935" s="23" t="s">
        <v>8067</v>
      </c>
      <c r="C935" s="23" t="s">
        <v>8068</v>
      </c>
      <c r="D935" s="23" t="s">
        <v>8069</v>
      </c>
      <c r="E935" s="23" t="s">
        <v>2244</v>
      </c>
      <c r="F935" s="23" t="s">
        <v>4891</v>
      </c>
      <c r="G935" s="22">
        <v>2009</v>
      </c>
      <c r="H935" s="24">
        <v>39892</v>
      </c>
      <c r="I935" s="26" t="s">
        <v>8070</v>
      </c>
      <c r="J935" s="27"/>
      <c r="K935" s="26" t="s">
        <v>2245</v>
      </c>
      <c r="L935" s="27"/>
      <c r="M935" s="23"/>
    </row>
    <row r="936" spans="1:13" ht="15.75" customHeight="1">
      <c r="A936" s="22">
        <v>7712236</v>
      </c>
      <c r="B936" s="23" t="s">
        <v>8071</v>
      </c>
      <c r="C936" s="23" t="s">
        <v>6073</v>
      </c>
      <c r="D936" s="23" t="s">
        <v>8072</v>
      </c>
      <c r="E936" s="23" t="s">
        <v>2724</v>
      </c>
      <c r="F936" s="23" t="s">
        <v>6115</v>
      </c>
      <c r="G936" s="22">
        <v>1995</v>
      </c>
      <c r="H936" s="24">
        <v>34820</v>
      </c>
      <c r="I936" s="23"/>
      <c r="J936" s="23"/>
      <c r="K936" s="23"/>
      <c r="L936" s="23"/>
      <c r="M936" s="23"/>
    </row>
    <row r="937" spans="1:13" ht="15.75" customHeight="1">
      <c r="A937" s="22">
        <v>9223462</v>
      </c>
      <c r="B937" s="23" t="s">
        <v>8073</v>
      </c>
      <c r="C937" s="23" t="s">
        <v>8074</v>
      </c>
      <c r="D937" s="23" t="s">
        <v>8075</v>
      </c>
      <c r="E937" s="23" t="s">
        <v>4085</v>
      </c>
      <c r="F937" s="23" t="s">
        <v>4891</v>
      </c>
      <c r="G937" s="22">
        <v>1997</v>
      </c>
      <c r="H937" s="24">
        <v>35643</v>
      </c>
      <c r="I937" s="23" t="s">
        <v>8076</v>
      </c>
      <c r="J937" s="23"/>
      <c r="K937" s="26" t="s">
        <v>4086</v>
      </c>
      <c r="L937" s="27"/>
      <c r="M937" s="27"/>
    </row>
    <row r="938" spans="1:13" ht="15.75" customHeight="1">
      <c r="A938" s="22">
        <v>12149755</v>
      </c>
      <c r="B938" s="23" t="s">
        <v>8077</v>
      </c>
      <c r="C938" s="23" t="s">
        <v>8078</v>
      </c>
      <c r="D938" s="23" t="s">
        <v>8079</v>
      </c>
      <c r="E938" s="23" t="s">
        <v>3695</v>
      </c>
      <c r="F938" s="23" t="s">
        <v>5295</v>
      </c>
      <c r="G938" s="22">
        <v>2002</v>
      </c>
      <c r="H938" s="24">
        <v>37469</v>
      </c>
      <c r="I938" s="23"/>
      <c r="J938" s="23"/>
      <c r="K938" s="26" t="s">
        <v>3704</v>
      </c>
      <c r="L938" s="27"/>
      <c r="M938" s="23"/>
    </row>
    <row r="939" spans="1:13" ht="15.75" customHeight="1">
      <c r="A939" s="22">
        <v>14987992</v>
      </c>
      <c r="B939" s="23" t="s">
        <v>8080</v>
      </c>
      <c r="C939" s="23" t="s">
        <v>8081</v>
      </c>
      <c r="D939" s="23" t="s">
        <v>8082</v>
      </c>
      <c r="E939" s="23" t="s">
        <v>1788</v>
      </c>
      <c r="F939" s="23" t="s">
        <v>8083</v>
      </c>
      <c r="G939" s="22">
        <v>2004</v>
      </c>
      <c r="H939" s="24">
        <v>38045</v>
      </c>
      <c r="I939" s="23"/>
      <c r="J939" s="23"/>
      <c r="K939" s="26" t="s">
        <v>1795</v>
      </c>
      <c r="L939" s="27"/>
      <c r="M939" s="27"/>
    </row>
    <row r="940" spans="1:13" ht="15.75" customHeight="1">
      <c r="A940" s="22">
        <v>21282374</v>
      </c>
      <c r="B940" s="23" t="s">
        <v>8084</v>
      </c>
      <c r="C940" s="23" t="s">
        <v>8085</v>
      </c>
      <c r="D940" s="23" t="s">
        <v>8086</v>
      </c>
      <c r="E940" s="23" t="s">
        <v>1164</v>
      </c>
      <c r="F940" s="23" t="s">
        <v>8087</v>
      </c>
      <c r="G940" s="22">
        <v>2011</v>
      </c>
      <c r="H940" s="24">
        <v>40576</v>
      </c>
      <c r="I940" s="23"/>
      <c r="J940" s="23"/>
      <c r="K940" s="26" t="s">
        <v>1165</v>
      </c>
      <c r="L940" s="27"/>
      <c r="M940" s="23"/>
    </row>
    <row r="941" spans="1:13" ht="15.75" customHeight="1">
      <c r="A941" s="22">
        <v>11112030</v>
      </c>
      <c r="B941" s="23" t="s">
        <v>8088</v>
      </c>
      <c r="C941" s="23" t="s">
        <v>8089</v>
      </c>
      <c r="D941" s="23" t="s">
        <v>8090</v>
      </c>
      <c r="E941" s="23" t="s">
        <v>2875</v>
      </c>
      <c r="F941" s="23" t="s">
        <v>4900</v>
      </c>
      <c r="G941" s="22">
        <v>2000</v>
      </c>
      <c r="H941" s="24">
        <v>36869</v>
      </c>
      <c r="I941" s="23"/>
      <c r="J941" s="23"/>
      <c r="K941" s="26" t="s">
        <v>2882</v>
      </c>
      <c r="L941" s="27"/>
      <c r="M941" s="23"/>
    </row>
    <row r="942" spans="1:13" ht="15.75" customHeight="1">
      <c r="A942" s="22">
        <v>9798697</v>
      </c>
      <c r="B942" s="23" t="s">
        <v>8091</v>
      </c>
      <c r="C942" s="23" t="s">
        <v>8092</v>
      </c>
      <c r="D942" s="23" t="s">
        <v>8093</v>
      </c>
      <c r="E942" s="23" t="s">
        <v>3687</v>
      </c>
      <c r="F942" s="23" t="s">
        <v>5445</v>
      </c>
      <c r="G942" s="22">
        <v>1998</v>
      </c>
      <c r="H942" s="24">
        <v>36102</v>
      </c>
      <c r="I942" s="23"/>
      <c r="J942" s="23"/>
      <c r="K942" s="26" t="s">
        <v>3688</v>
      </c>
      <c r="L942" s="27"/>
      <c r="M942" s="27"/>
    </row>
    <row r="943" spans="1:13" ht="15.75" customHeight="1">
      <c r="A943" s="22">
        <v>12557285</v>
      </c>
      <c r="B943" s="23" t="s">
        <v>8094</v>
      </c>
      <c r="C943" s="23" t="s">
        <v>8095</v>
      </c>
      <c r="D943" s="23" t="s">
        <v>8096</v>
      </c>
      <c r="E943" s="23" t="s">
        <v>4226</v>
      </c>
      <c r="F943" s="23" t="s">
        <v>7649</v>
      </c>
      <c r="G943" s="22">
        <v>2003</v>
      </c>
      <c r="H943" s="24">
        <v>37652</v>
      </c>
      <c r="I943" s="23"/>
      <c r="J943" s="23"/>
      <c r="K943" s="26" t="s">
        <v>4229</v>
      </c>
      <c r="L943" s="27"/>
      <c r="M943" s="23"/>
    </row>
    <row r="944" spans="1:13" ht="15.75" customHeight="1">
      <c r="A944" s="22">
        <v>18536223</v>
      </c>
      <c r="B944" s="23" t="s">
        <v>8097</v>
      </c>
      <c r="C944" s="23" t="s">
        <v>8098</v>
      </c>
      <c r="D944" s="23" t="s">
        <v>8099</v>
      </c>
      <c r="E944" s="23" t="s">
        <v>4688</v>
      </c>
      <c r="F944" s="23" t="s">
        <v>6968</v>
      </c>
      <c r="G944" s="22">
        <v>2008</v>
      </c>
      <c r="H944" s="24">
        <v>39609</v>
      </c>
      <c r="I944" s="23"/>
      <c r="J944" s="23"/>
      <c r="K944" s="23"/>
      <c r="L944" s="23"/>
      <c r="M944" s="23"/>
    </row>
    <row r="945" spans="1:13" ht="15.75" customHeight="1">
      <c r="A945" s="22">
        <v>2177773</v>
      </c>
      <c r="B945" s="23" t="s">
        <v>8100</v>
      </c>
      <c r="C945" s="23" t="s">
        <v>8101</v>
      </c>
      <c r="D945" s="23" t="s">
        <v>8102</v>
      </c>
      <c r="E945" s="23" t="s">
        <v>465</v>
      </c>
      <c r="F945" s="23" t="s">
        <v>4923</v>
      </c>
      <c r="G945" s="22">
        <v>1990</v>
      </c>
      <c r="H945" s="24">
        <v>33147</v>
      </c>
      <c r="I945" s="23"/>
      <c r="J945" s="23"/>
      <c r="K945" s="26" t="s">
        <v>1221</v>
      </c>
      <c r="L945" s="27"/>
      <c r="M945" s="23"/>
    </row>
    <row r="946" spans="1:13" ht="15.75" customHeight="1">
      <c r="A946" s="22">
        <v>16444956</v>
      </c>
      <c r="B946" s="23" t="s">
        <v>8103</v>
      </c>
      <c r="C946" s="23" t="s">
        <v>7227</v>
      </c>
      <c r="D946" s="23" t="s">
        <v>8104</v>
      </c>
      <c r="E946" s="23" t="s">
        <v>4579</v>
      </c>
      <c r="F946" s="23" t="s">
        <v>5047</v>
      </c>
      <c r="G946" s="22">
        <v>2005</v>
      </c>
      <c r="H946" s="24">
        <v>38749</v>
      </c>
      <c r="I946" s="23"/>
      <c r="J946" s="23"/>
      <c r="K946" s="23"/>
      <c r="L946" s="23"/>
      <c r="M946" s="23"/>
    </row>
    <row r="947" spans="1:13" ht="15.75" customHeight="1">
      <c r="A947" s="22">
        <v>23000642</v>
      </c>
      <c r="B947" s="23" t="s">
        <v>8105</v>
      </c>
      <c r="C947" s="23" t="s">
        <v>8106</v>
      </c>
      <c r="D947" s="23" t="s">
        <v>8107</v>
      </c>
      <c r="E947" s="23" t="s">
        <v>3905</v>
      </c>
      <c r="F947" s="23" t="s">
        <v>4863</v>
      </c>
      <c r="G947" s="22">
        <v>2013</v>
      </c>
      <c r="H947" s="24">
        <v>41177</v>
      </c>
      <c r="I947" s="23"/>
      <c r="J947" s="23"/>
      <c r="K947" s="26" t="s">
        <v>3906</v>
      </c>
      <c r="L947" s="27"/>
      <c r="M947" s="23"/>
    </row>
    <row r="948" spans="1:13" ht="15.75" customHeight="1">
      <c r="A948" s="22">
        <v>15608657</v>
      </c>
      <c r="B948" s="23" t="s">
        <v>8108</v>
      </c>
      <c r="C948" s="23" t="s">
        <v>8109</v>
      </c>
      <c r="D948" s="23" t="s">
        <v>8110</v>
      </c>
      <c r="E948" s="23" t="s">
        <v>766</v>
      </c>
      <c r="F948" s="23" t="s">
        <v>4863</v>
      </c>
      <c r="G948" s="22">
        <v>2005</v>
      </c>
      <c r="H948" s="24">
        <v>38342</v>
      </c>
      <c r="I948" s="23"/>
      <c r="J948" s="23"/>
      <c r="K948" s="26" t="s">
        <v>3319</v>
      </c>
      <c r="L948" s="27"/>
      <c r="M948" s="23"/>
    </row>
    <row r="949" spans="1:13" ht="15.75" customHeight="1">
      <c r="A949" s="22">
        <v>37661776</v>
      </c>
      <c r="B949" s="23" t="s">
        <v>8111</v>
      </c>
      <c r="C949" s="23" t="s">
        <v>8112</v>
      </c>
      <c r="D949" s="23" t="s">
        <v>8113</v>
      </c>
      <c r="E949" s="23" t="s">
        <v>1442</v>
      </c>
      <c r="F949" s="23" t="s">
        <v>8114</v>
      </c>
      <c r="G949" s="22">
        <v>2023</v>
      </c>
      <c r="H949" s="24">
        <v>45173</v>
      </c>
      <c r="I949" s="23"/>
      <c r="J949" s="23"/>
      <c r="K949" s="26" t="s">
        <v>1443</v>
      </c>
      <c r="L949" s="27"/>
      <c r="M949" s="23"/>
    </row>
    <row r="950" spans="1:13" ht="15.75" customHeight="1">
      <c r="A950" s="22">
        <v>11938792</v>
      </c>
      <c r="B950" s="23" t="s">
        <v>8115</v>
      </c>
      <c r="C950" s="23" t="s">
        <v>8116</v>
      </c>
      <c r="D950" s="23" t="s">
        <v>8117</v>
      </c>
      <c r="E950" s="23" t="s">
        <v>4412</v>
      </c>
      <c r="F950" s="23" t="s">
        <v>7601</v>
      </c>
      <c r="G950" s="22">
        <v>1999</v>
      </c>
      <c r="H950" s="24">
        <v>37356</v>
      </c>
      <c r="I950" s="23"/>
      <c r="J950" s="23"/>
      <c r="K950" s="23"/>
      <c r="L950" s="23"/>
      <c r="M950" s="23"/>
    </row>
    <row r="951" spans="1:13" ht="15.75" customHeight="1">
      <c r="A951" s="22">
        <v>17448218</v>
      </c>
      <c r="B951" s="23" t="s">
        <v>8118</v>
      </c>
      <c r="C951" s="23" t="s">
        <v>8119</v>
      </c>
      <c r="D951" s="23" t="s">
        <v>8120</v>
      </c>
      <c r="E951" s="23" t="s">
        <v>814</v>
      </c>
      <c r="F951" s="23" t="s">
        <v>8121</v>
      </c>
      <c r="G951" s="22">
        <v>2007</v>
      </c>
      <c r="H951" s="24">
        <v>39196</v>
      </c>
      <c r="I951" s="23"/>
      <c r="J951" s="23"/>
      <c r="K951" s="26" t="s">
        <v>815</v>
      </c>
      <c r="L951" s="27"/>
      <c r="M951" s="27"/>
    </row>
    <row r="952" spans="1:13" ht="15.75" customHeight="1">
      <c r="A952" s="22">
        <v>8737717</v>
      </c>
      <c r="B952" s="23" t="s">
        <v>8122</v>
      </c>
      <c r="C952" s="23" t="s">
        <v>8123</v>
      </c>
      <c r="D952" s="23" t="s">
        <v>8124</v>
      </c>
      <c r="E952" s="23" t="s">
        <v>2028</v>
      </c>
      <c r="F952" s="23" t="s">
        <v>8125</v>
      </c>
      <c r="G952" s="22">
        <v>1996</v>
      </c>
      <c r="H952" s="24">
        <v>35125</v>
      </c>
      <c r="I952" s="23"/>
      <c r="J952" s="23"/>
      <c r="K952" s="23"/>
      <c r="L952" s="23"/>
      <c r="M952" s="23"/>
    </row>
    <row r="953" spans="1:13" ht="15.75" customHeight="1">
      <c r="A953" s="22">
        <v>10738970</v>
      </c>
      <c r="B953" s="23" t="s">
        <v>8126</v>
      </c>
      <c r="C953" s="23" t="s">
        <v>8127</v>
      </c>
      <c r="D953" s="23" t="s">
        <v>8128</v>
      </c>
      <c r="E953" s="23" t="s">
        <v>4355</v>
      </c>
      <c r="F953" s="23" t="s">
        <v>8129</v>
      </c>
      <c r="G953" s="22">
        <v>2000</v>
      </c>
      <c r="H953" s="24">
        <v>36615</v>
      </c>
      <c r="I953" s="23"/>
      <c r="J953" s="23"/>
      <c r="K953" s="26" t="s">
        <v>4356</v>
      </c>
      <c r="L953" s="27"/>
      <c r="M953" s="27"/>
    </row>
    <row r="954" spans="1:13" ht="15.75" customHeight="1">
      <c r="A954" s="22">
        <v>23347211</v>
      </c>
      <c r="B954" s="23" t="s">
        <v>8130</v>
      </c>
      <c r="C954" s="23" t="s">
        <v>8131</v>
      </c>
      <c r="D954" s="23" t="s">
        <v>8132</v>
      </c>
      <c r="E954" s="23" t="s">
        <v>4070</v>
      </c>
      <c r="F954" s="23" t="s">
        <v>5726</v>
      </c>
      <c r="G954" s="22">
        <v>2013</v>
      </c>
      <c r="H954" s="24">
        <v>41300</v>
      </c>
      <c r="I954" s="23"/>
      <c r="J954" s="23"/>
      <c r="K954" s="26" t="s">
        <v>4071</v>
      </c>
      <c r="L954" s="27"/>
      <c r="M954" s="23"/>
    </row>
    <row r="955" spans="1:13" ht="15.75" customHeight="1">
      <c r="A955" s="22">
        <v>21620083</v>
      </c>
      <c r="B955" s="23" t="s">
        <v>8133</v>
      </c>
      <c r="C955" s="23" t="s">
        <v>8134</v>
      </c>
      <c r="D955" s="23" t="s">
        <v>8135</v>
      </c>
      <c r="E955" s="23" t="s">
        <v>3085</v>
      </c>
      <c r="F955" s="23" t="s">
        <v>5696</v>
      </c>
      <c r="G955" s="22">
        <v>2011</v>
      </c>
      <c r="H955" s="24">
        <v>40694</v>
      </c>
      <c r="I955" s="23"/>
      <c r="J955" s="23"/>
      <c r="K955" s="26" t="s">
        <v>3086</v>
      </c>
      <c r="L955" s="27"/>
      <c r="M955" s="27"/>
    </row>
    <row r="956" spans="1:13" ht="15.75" customHeight="1">
      <c r="A956" s="22">
        <v>16732999</v>
      </c>
      <c r="B956" s="23" t="s">
        <v>8136</v>
      </c>
      <c r="C956" s="23" t="s">
        <v>4915</v>
      </c>
      <c r="D956" s="23" t="s">
        <v>8137</v>
      </c>
      <c r="E956" s="23" t="s">
        <v>197</v>
      </c>
      <c r="F956" s="23" t="s">
        <v>5449</v>
      </c>
      <c r="G956" s="22">
        <v>2006</v>
      </c>
      <c r="H956" s="24">
        <v>38868</v>
      </c>
      <c r="I956" s="23"/>
      <c r="J956" s="23"/>
      <c r="K956" s="23"/>
      <c r="L956" s="23"/>
      <c r="M956" s="23"/>
    </row>
    <row r="957" spans="1:13" ht="15.75" customHeight="1">
      <c r="A957" s="22">
        <v>22641196</v>
      </c>
      <c r="B957" s="23" t="s">
        <v>8138</v>
      </c>
      <c r="C957" s="23" t="s">
        <v>8139</v>
      </c>
      <c r="D957" s="23" t="s">
        <v>8140</v>
      </c>
      <c r="E957" s="23" t="s">
        <v>197</v>
      </c>
      <c r="F957" s="23" t="s">
        <v>5076</v>
      </c>
      <c r="G957" s="22">
        <v>2012</v>
      </c>
      <c r="H957" s="24">
        <v>41059</v>
      </c>
      <c r="I957" s="23" t="s">
        <v>8141</v>
      </c>
      <c r="J957" s="23" t="s">
        <v>8142</v>
      </c>
      <c r="K957" s="26" t="s">
        <v>1018</v>
      </c>
      <c r="L957" s="27"/>
      <c r="M957" s="27"/>
    </row>
    <row r="958" spans="1:13" ht="15.75" customHeight="1">
      <c r="A958" s="22">
        <v>1677066</v>
      </c>
      <c r="B958" s="23" t="s">
        <v>8143</v>
      </c>
      <c r="C958" s="23" t="s">
        <v>8144</v>
      </c>
      <c r="D958" s="23" t="s">
        <v>8145</v>
      </c>
      <c r="E958" s="23" t="s">
        <v>513</v>
      </c>
      <c r="F958" s="23" t="s">
        <v>6147</v>
      </c>
      <c r="G958" s="22">
        <v>1991</v>
      </c>
      <c r="H958" s="24">
        <v>33439</v>
      </c>
      <c r="I958" s="23"/>
      <c r="J958" s="23"/>
      <c r="K958" s="26" t="s">
        <v>1528</v>
      </c>
      <c r="L958" s="27"/>
      <c r="M958" s="27"/>
    </row>
    <row r="959" spans="1:13" ht="15.75" customHeight="1">
      <c r="A959" s="22">
        <v>30374827</v>
      </c>
      <c r="B959" s="23" t="s">
        <v>8146</v>
      </c>
      <c r="C959" s="23" t="s">
        <v>8147</v>
      </c>
      <c r="D959" s="23" t="s">
        <v>8148</v>
      </c>
      <c r="E959" s="23" t="s">
        <v>2975</v>
      </c>
      <c r="F959" s="23" t="s">
        <v>8149</v>
      </c>
      <c r="G959" s="22">
        <v>2018</v>
      </c>
      <c r="H959" s="24">
        <v>43404</v>
      </c>
      <c r="I959" s="26" t="s">
        <v>8150</v>
      </c>
      <c r="J959" s="27"/>
      <c r="K959" s="26" t="s">
        <v>2976</v>
      </c>
      <c r="L959" s="27"/>
      <c r="M959" s="27"/>
    </row>
    <row r="960" spans="1:13" ht="15.75" customHeight="1">
      <c r="A960" s="22">
        <v>8083655</v>
      </c>
      <c r="B960" s="23" t="s">
        <v>8151</v>
      </c>
      <c r="C960" s="23" t="s">
        <v>8152</v>
      </c>
      <c r="D960" s="23" t="s">
        <v>8153</v>
      </c>
      <c r="E960" s="23" t="s">
        <v>2603</v>
      </c>
      <c r="F960" s="23" t="s">
        <v>4923</v>
      </c>
      <c r="G960" s="22">
        <v>1994</v>
      </c>
      <c r="H960" s="24">
        <v>34455</v>
      </c>
      <c r="I960" s="23"/>
      <c r="J960" s="23"/>
      <c r="K960" s="26" t="s">
        <v>2604</v>
      </c>
      <c r="L960" s="27"/>
      <c r="M960" s="23"/>
    </row>
    <row r="961" spans="1:13" ht="15.75" customHeight="1">
      <c r="A961" s="22">
        <v>32188617</v>
      </c>
      <c r="B961" s="23" t="s">
        <v>8154</v>
      </c>
      <c r="C961" s="23" t="s">
        <v>8155</v>
      </c>
      <c r="D961" s="23" t="s">
        <v>8156</v>
      </c>
      <c r="E961" s="23" t="s">
        <v>1083</v>
      </c>
      <c r="F961" s="23" t="s">
        <v>8157</v>
      </c>
      <c r="G961" s="22">
        <v>2020</v>
      </c>
      <c r="H961" s="24">
        <v>43910</v>
      </c>
      <c r="I961" s="26" t="s">
        <v>8158</v>
      </c>
      <c r="J961" s="27"/>
      <c r="K961" s="26" t="s">
        <v>1084</v>
      </c>
      <c r="L961" s="27"/>
      <c r="M961" s="27"/>
    </row>
    <row r="962" spans="1:13" ht="15.75" customHeight="1">
      <c r="A962" s="22">
        <v>11380440</v>
      </c>
      <c r="B962" s="23" t="s">
        <v>8159</v>
      </c>
      <c r="C962" s="23" t="s">
        <v>8160</v>
      </c>
      <c r="D962" s="23" t="s">
        <v>8161</v>
      </c>
      <c r="E962" s="23" t="s">
        <v>2952</v>
      </c>
      <c r="F962" s="23" t="s">
        <v>5211</v>
      </c>
      <c r="G962" s="22">
        <v>2001</v>
      </c>
      <c r="H962" s="24">
        <v>37042</v>
      </c>
      <c r="I962" s="23"/>
      <c r="J962" s="23"/>
      <c r="K962" s="26" t="s">
        <v>2953</v>
      </c>
      <c r="L962" s="27"/>
      <c r="M962" s="27"/>
    </row>
    <row r="963" spans="1:13" ht="15.75" customHeight="1">
      <c r="A963" s="22">
        <v>1658424</v>
      </c>
      <c r="B963" s="23" t="s">
        <v>8162</v>
      </c>
      <c r="C963" s="23" t="s">
        <v>8163</v>
      </c>
      <c r="D963" s="23" t="s">
        <v>8164</v>
      </c>
      <c r="E963" s="23" t="s">
        <v>4480</v>
      </c>
      <c r="F963" s="23" t="s">
        <v>7492</v>
      </c>
      <c r="G963" s="22">
        <v>1991</v>
      </c>
      <c r="H963" s="24">
        <v>33482</v>
      </c>
      <c r="I963" s="23"/>
      <c r="J963" s="23"/>
      <c r="K963" s="23"/>
      <c r="L963" s="23"/>
      <c r="M963" s="23"/>
    </row>
    <row r="964" spans="1:13" ht="15.75" customHeight="1">
      <c r="A964" s="22">
        <v>22421649</v>
      </c>
      <c r="B964" s="23" t="s">
        <v>8165</v>
      </c>
      <c r="C964" s="23" t="s">
        <v>8166</v>
      </c>
      <c r="D964" s="23" t="s">
        <v>8167</v>
      </c>
      <c r="E964" s="23" t="s">
        <v>3755</v>
      </c>
      <c r="F964" s="23" t="s">
        <v>8168</v>
      </c>
      <c r="G964" s="22">
        <v>2012</v>
      </c>
      <c r="H964" s="24">
        <v>40985</v>
      </c>
      <c r="I964" s="23"/>
      <c r="J964" s="23"/>
      <c r="K964" s="26" t="s">
        <v>3756</v>
      </c>
      <c r="L964" s="27"/>
      <c r="M964" s="27"/>
    </row>
    <row r="965" spans="1:13" ht="15.75" customHeight="1">
      <c r="A965" s="22">
        <v>10516706</v>
      </c>
      <c r="B965" s="23" t="s">
        <v>8169</v>
      </c>
      <c r="C965" s="23" t="s">
        <v>8170</v>
      </c>
      <c r="D965" s="23" t="s">
        <v>8171</v>
      </c>
      <c r="E965" s="23" t="s">
        <v>3145</v>
      </c>
      <c r="F965" s="23" t="s">
        <v>4863</v>
      </c>
      <c r="G965" s="22">
        <v>1999</v>
      </c>
      <c r="H965" s="24">
        <v>36445</v>
      </c>
      <c r="I965" s="23"/>
      <c r="J965" s="23"/>
      <c r="K965" s="26" t="s">
        <v>3146</v>
      </c>
      <c r="L965" s="27"/>
      <c r="M965" s="23"/>
    </row>
    <row r="966" spans="1:13" ht="15.75" customHeight="1">
      <c r="A966" s="22">
        <v>24852190</v>
      </c>
      <c r="B966" s="23" t="s">
        <v>8172</v>
      </c>
      <c r="C966" s="23" t="s">
        <v>8173</v>
      </c>
      <c r="D966" s="23" t="s">
        <v>8174</v>
      </c>
      <c r="E966" s="23" t="s">
        <v>3259</v>
      </c>
      <c r="F966" s="23" t="s">
        <v>8175</v>
      </c>
      <c r="G966" s="22">
        <v>2013</v>
      </c>
      <c r="H966" s="24">
        <v>41783</v>
      </c>
      <c r="I966" s="23"/>
      <c r="J966" s="23"/>
      <c r="K966" s="26" t="s">
        <v>3260</v>
      </c>
      <c r="L966" s="27"/>
      <c r="M966" s="23"/>
    </row>
    <row r="967" spans="1:13" ht="15.75" customHeight="1">
      <c r="A967" s="22">
        <v>29181879</v>
      </c>
      <c r="B967" s="23" t="s">
        <v>8176</v>
      </c>
      <c r="C967" s="23" t="s">
        <v>8177</v>
      </c>
      <c r="D967" s="23" t="s">
        <v>8178</v>
      </c>
      <c r="E967" s="23" t="s">
        <v>300</v>
      </c>
      <c r="F967" s="23" t="s">
        <v>5543</v>
      </c>
      <c r="G967" s="22">
        <v>2018</v>
      </c>
      <c r="H967" s="24">
        <v>43068</v>
      </c>
      <c r="I967" s="23" t="s">
        <v>8179</v>
      </c>
      <c r="J967" s="23" t="s">
        <v>8180</v>
      </c>
      <c r="K967" s="26" t="s">
        <v>432</v>
      </c>
      <c r="L967" s="27"/>
      <c r="M967" s="23"/>
    </row>
    <row r="968" spans="1:13" ht="15.75" customHeight="1">
      <c r="A968" s="22">
        <v>18181741</v>
      </c>
      <c r="B968" s="23" t="s">
        <v>8181</v>
      </c>
      <c r="C968" s="23" t="s">
        <v>8182</v>
      </c>
      <c r="D968" s="23" t="s">
        <v>8183</v>
      </c>
      <c r="E968" s="23" t="s">
        <v>2265</v>
      </c>
      <c r="F968" s="23" t="s">
        <v>5080</v>
      </c>
      <c r="G968" s="22">
        <v>2008</v>
      </c>
      <c r="H968" s="24">
        <v>39457</v>
      </c>
      <c r="I968" s="23"/>
      <c r="J968" s="23"/>
      <c r="K968" s="26" t="s">
        <v>2268</v>
      </c>
      <c r="L968" s="27"/>
      <c r="M968" s="23"/>
    </row>
    <row r="969" spans="1:13" ht="15.75" customHeight="1">
      <c r="A969" s="22">
        <v>25072620</v>
      </c>
      <c r="B969" s="23" t="s">
        <v>8184</v>
      </c>
      <c r="C969" s="23" t="s">
        <v>8185</v>
      </c>
      <c r="D969" s="23" t="s">
        <v>8186</v>
      </c>
      <c r="E969" s="23" t="s">
        <v>139</v>
      </c>
      <c r="F969" s="23" t="s">
        <v>6982</v>
      </c>
      <c r="G969" s="22">
        <v>2014</v>
      </c>
      <c r="H969" s="24">
        <v>41850</v>
      </c>
      <c r="I969" s="23"/>
      <c r="J969" s="23"/>
      <c r="K969" s="26" t="s">
        <v>377</v>
      </c>
      <c r="L969" s="27"/>
      <c r="M969" s="27"/>
    </row>
    <row r="970" spans="1:13" ht="15.75" customHeight="1">
      <c r="A970" s="22">
        <v>28008656</v>
      </c>
      <c r="B970" s="23" t="s">
        <v>8187</v>
      </c>
      <c r="C970" s="23" t="s">
        <v>8188</v>
      </c>
      <c r="D970" s="23" t="s">
        <v>8189</v>
      </c>
      <c r="E970" s="23" t="s">
        <v>2577</v>
      </c>
      <c r="F970" s="23" t="s">
        <v>8114</v>
      </c>
      <c r="G970" s="22">
        <v>2017</v>
      </c>
      <c r="H970" s="24">
        <v>42728</v>
      </c>
      <c r="I970" s="23"/>
      <c r="J970" s="23"/>
      <c r="K970" s="26" t="s">
        <v>2578</v>
      </c>
      <c r="L970" s="27"/>
      <c r="M970" s="23"/>
    </row>
    <row r="971" spans="1:13" ht="15.75" customHeight="1">
      <c r="A971" s="22">
        <v>15920733</v>
      </c>
      <c r="B971" s="23" t="s">
        <v>8190</v>
      </c>
      <c r="C971" s="23" t="s">
        <v>8191</v>
      </c>
      <c r="D971" s="23" t="s">
        <v>8192</v>
      </c>
      <c r="E971" s="23" t="s">
        <v>1556</v>
      </c>
      <c r="F971" s="23" t="s">
        <v>5358</v>
      </c>
      <c r="G971" s="22">
        <v>2005</v>
      </c>
      <c r="H971" s="24">
        <v>38500</v>
      </c>
      <c r="I971" s="23"/>
      <c r="J971" s="23"/>
      <c r="K971" s="26" t="s">
        <v>1557</v>
      </c>
      <c r="L971" s="27"/>
      <c r="M971" s="23"/>
    </row>
    <row r="972" spans="1:13" ht="15.75" customHeight="1">
      <c r="A972" s="22">
        <v>8627701</v>
      </c>
      <c r="B972" s="23" t="s">
        <v>8193</v>
      </c>
      <c r="C972" s="23" t="s">
        <v>8194</v>
      </c>
      <c r="D972" s="23" t="s">
        <v>8195</v>
      </c>
      <c r="E972" s="23" t="s">
        <v>2051</v>
      </c>
      <c r="F972" s="23" t="s">
        <v>4891</v>
      </c>
      <c r="G972" s="22">
        <v>1996</v>
      </c>
      <c r="H972" s="24">
        <v>35125</v>
      </c>
      <c r="I972" s="23" t="s">
        <v>8196</v>
      </c>
      <c r="J972" s="23"/>
      <c r="K972" s="26" t="s">
        <v>2057</v>
      </c>
      <c r="L972" s="27"/>
      <c r="M972" s="27"/>
    </row>
    <row r="973" spans="1:13" ht="15.75" customHeight="1">
      <c r="A973" s="22">
        <v>16123732</v>
      </c>
      <c r="B973" s="23" t="s">
        <v>8197</v>
      </c>
      <c r="C973" s="23" t="s">
        <v>8198</v>
      </c>
      <c r="D973" s="23" t="s">
        <v>8199</v>
      </c>
      <c r="E973" s="23" t="s">
        <v>1806</v>
      </c>
      <c r="F973" s="23" t="s">
        <v>5445</v>
      </c>
      <c r="G973" s="22">
        <v>2005</v>
      </c>
      <c r="H973" s="24">
        <v>38591</v>
      </c>
      <c r="I973" s="23"/>
      <c r="J973" s="23"/>
      <c r="K973" s="26" t="s">
        <v>1807</v>
      </c>
      <c r="L973" s="27"/>
      <c r="M973" s="27"/>
    </row>
    <row r="974" spans="1:13" ht="15.75" customHeight="1">
      <c r="A974" s="22">
        <v>8106867</v>
      </c>
      <c r="B974" s="23" t="s">
        <v>8200</v>
      </c>
      <c r="C974" s="23" t="s">
        <v>8201</v>
      </c>
      <c r="D974" s="23" t="s">
        <v>8202</v>
      </c>
      <c r="E974" s="23" t="s">
        <v>195</v>
      </c>
      <c r="F974" s="23" t="s">
        <v>4923</v>
      </c>
      <c r="G974" s="22">
        <v>1993</v>
      </c>
      <c r="H974" s="24">
        <v>34304</v>
      </c>
      <c r="I974" s="23"/>
      <c r="J974" s="23"/>
      <c r="K974" s="26" t="s">
        <v>4663</v>
      </c>
      <c r="L974" s="27"/>
      <c r="M974" s="23"/>
    </row>
    <row r="975" spans="1:13" ht="15.75" customHeight="1">
      <c r="A975" s="22">
        <v>16628583</v>
      </c>
      <c r="B975" s="23" t="s">
        <v>8203</v>
      </c>
      <c r="C975" s="23" t="s">
        <v>8204</v>
      </c>
      <c r="D975" s="23" t="s">
        <v>8205</v>
      </c>
      <c r="E975" s="23" t="s">
        <v>2294</v>
      </c>
      <c r="F975" s="23" t="s">
        <v>4923</v>
      </c>
      <c r="G975" s="22">
        <v>2006</v>
      </c>
      <c r="H975" s="24">
        <v>38829</v>
      </c>
      <c r="I975" s="23"/>
      <c r="J975" s="23"/>
      <c r="K975" s="26" t="s">
        <v>2303</v>
      </c>
      <c r="L975" s="27"/>
      <c r="M975" s="23"/>
    </row>
    <row r="976" spans="1:13" ht="15.75" customHeight="1">
      <c r="A976" s="22">
        <v>24367281</v>
      </c>
      <c r="B976" s="23" t="s">
        <v>8206</v>
      </c>
      <c r="C976" s="23" t="s">
        <v>8207</v>
      </c>
      <c r="D976" s="23" t="s">
        <v>8208</v>
      </c>
      <c r="E976" s="23" t="s">
        <v>3649</v>
      </c>
      <c r="F976" s="23" t="s">
        <v>8209</v>
      </c>
      <c r="G976" s="22">
        <v>2013</v>
      </c>
      <c r="H976" s="24">
        <v>41633</v>
      </c>
      <c r="I976" s="26" t="s">
        <v>8210</v>
      </c>
      <c r="J976" s="27"/>
      <c r="K976" s="26" t="s">
        <v>3650</v>
      </c>
      <c r="L976" s="27"/>
      <c r="M976" s="27"/>
    </row>
    <row r="977" spans="1:13" ht="15.75" customHeight="1">
      <c r="A977" s="22">
        <v>8673847</v>
      </c>
      <c r="B977" s="23" t="s">
        <v>8211</v>
      </c>
      <c r="C977" s="23" t="s">
        <v>8212</v>
      </c>
      <c r="D977" s="23" t="s">
        <v>8213</v>
      </c>
      <c r="E977" s="23" t="s">
        <v>1570</v>
      </c>
      <c r="F977" s="23" t="s">
        <v>5103</v>
      </c>
      <c r="G977" s="22">
        <v>1996</v>
      </c>
      <c r="H977" s="24">
        <v>35065</v>
      </c>
      <c r="I977" s="23"/>
      <c r="J977" s="23"/>
      <c r="K977" s="23"/>
      <c r="L977" s="23"/>
      <c r="M977" s="23"/>
    </row>
    <row r="978" spans="1:13" ht="15.75" customHeight="1">
      <c r="A978" s="22">
        <v>16687586</v>
      </c>
      <c r="B978" s="23" t="s">
        <v>8214</v>
      </c>
      <c r="C978" s="23" t="s">
        <v>8215</v>
      </c>
      <c r="D978" s="23" t="s">
        <v>8216</v>
      </c>
      <c r="E978" s="23" t="s">
        <v>1570</v>
      </c>
      <c r="F978" s="23" t="s">
        <v>5005</v>
      </c>
      <c r="G978" s="22">
        <v>2006</v>
      </c>
      <c r="H978" s="24">
        <v>38849</v>
      </c>
      <c r="I978" s="23"/>
      <c r="J978" s="23"/>
      <c r="K978" s="26" t="s">
        <v>1576</v>
      </c>
      <c r="L978" s="27"/>
      <c r="M978" s="23"/>
    </row>
    <row r="979" spans="1:13" ht="15.75" customHeight="1">
      <c r="A979" s="22">
        <v>12361757</v>
      </c>
      <c r="B979" s="23" t="s">
        <v>8217</v>
      </c>
      <c r="C979" s="23" t="s">
        <v>8218</v>
      </c>
      <c r="D979" s="23" t="s">
        <v>8219</v>
      </c>
      <c r="E979" s="23" t="s">
        <v>2875</v>
      </c>
      <c r="F979" s="23" t="s">
        <v>4896</v>
      </c>
      <c r="G979" s="22">
        <v>2002</v>
      </c>
      <c r="H979" s="24">
        <v>37533</v>
      </c>
      <c r="I979" s="23"/>
      <c r="J979" s="23"/>
      <c r="K979" s="26" t="s">
        <v>2884</v>
      </c>
      <c r="L979" s="27"/>
      <c r="M979" s="27"/>
    </row>
    <row r="980" spans="1:13" ht="15.75" customHeight="1">
      <c r="A980" s="22">
        <v>36286647</v>
      </c>
      <c r="B980" s="23" t="s">
        <v>8220</v>
      </c>
      <c r="C980" s="23" t="s">
        <v>8221</v>
      </c>
      <c r="D980" s="23" t="s">
        <v>8222</v>
      </c>
      <c r="E980" s="23" t="s">
        <v>1934</v>
      </c>
      <c r="F980" s="23" t="s">
        <v>8223</v>
      </c>
      <c r="G980" s="22">
        <v>2021</v>
      </c>
      <c r="H980" s="24">
        <v>44860</v>
      </c>
      <c r="I980" s="23"/>
      <c r="J980" s="23"/>
      <c r="K980" s="26" t="s">
        <v>1935</v>
      </c>
      <c r="L980" s="27"/>
      <c r="M980" s="27"/>
    </row>
    <row r="981" spans="1:13" ht="15.75" customHeight="1">
      <c r="A981" s="22">
        <v>10477848</v>
      </c>
      <c r="B981" s="23" t="s">
        <v>8224</v>
      </c>
      <c r="C981" s="23" t="s">
        <v>8225</v>
      </c>
      <c r="D981" s="23" t="s">
        <v>8226</v>
      </c>
      <c r="E981" s="23" t="s">
        <v>3535</v>
      </c>
      <c r="F981" s="23" t="s">
        <v>8227</v>
      </c>
      <c r="G981" s="22">
        <v>1999</v>
      </c>
      <c r="H981" s="24">
        <v>36412</v>
      </c>
      <c r="I981" s="23"/>
      <c r="J981" s="23"/>
      <c r="K981" s="26" t="s">
        <v>3536</v>
      </c>
      <c r="L981" s="27"/>
      <c r="M981" s="23"/>
    </row>
    <row r="982" spans="1:13" ht="15.75" customHeight="1">
      <c r="A982" s="22">
        <v>7699322</v>
      </c>
      <c r="B982" s="23" t="s">
        <v>8228</v>
      </c>
      <c r="C982" s="23" t="s">
        <v>8229</v>
      </c>
      <c r="D982" s="23" t="s">
        <v>8230</v>
      </c>
      <c r="E982" s="23" t="s">
        <v>3041</v>
      </c>
      <c r="F982" s="23" t="s">
        <v>5170</v>
      </c>
      <c r="G982" s="22">
        <v>1995</v>
      </c>
      <c r="H982" s="24">
        <v>34790</v>
      </c>
      <c r="I982" s="26" t="s">
        <v>8231</v>
      </c>
      <c r="J982" s="27"/>
      <c r="K982" s="26" t="s">
        <v>3057</v>
      </c>
      <c r="L982" s="27"/>
      <c r="M982" s="23"/>
    </row>
    <row r="983" spans="1:13" ht="15.75" customHeight="1">
      <c r="A983" s="22">
        <v>15494267</v>
      </c>
      <c r="B983" s="23" t="s">
        <v>8232</v>
      </c>
      <c r="C983" s="23" t="s">
        <v>8233</v>
      </c>
      <c r="D983" s="23" t="s">
        <v>8234</v>
      </c>
      <c r="E983" s="23" t="s">
        <v>1520</v>
      </c>
      <c r="F983" s="23" t="s">
        <v>4896</v>
      </c>
      <c r="G983" s="22">
        <v>2004</v>
      </c>
      <c r="H983" s="24">
        <v>38281</v>
      </c>
      <c r="I983" s="23"/>
      <c r="J983" s="23"/>
      <c r="K983" s="26" t="s">
        <v>1521</v>
      </c>
      <c r="L983" s="27"/>
      <c r="M983" s="27"/>
    </row>
    <row r="984" spans="1:13" ht="15.75" customHeight="1">
      <c r="A984" s="22">
        <v>27646062</v>
      </c>
      <c r="B984" s="23" t="s">
        <v>8235</v>
      </c>
      <c r="C984" s="23" t="s">
        <v>8236</v>
      </c>
      <c r="D984" s="23" t="s">
        <v>8237</v>
      </c>
      <c r="E984" s="23" t="s">
        <v>1772</v>
      </c>
      <c r="F984" s="23" t="s">
        <v>7865</v>
      </c>
      <c r="G984" s="22">
        <v>2016</v>
      </c>
      <c r="H984" s="24">
        <v>42634</v>
      </c>
      <c r="I984" s="23"/>
      <c r="J984" s="23"/>
      <c r="K984" s="26" t="s">
        <v>1775</v>
      </c>
      <c r="L984" s="27"/>
      <c r="M984" s="27"/>
    </row>
    <row r="985" spans="1:13" ht="15.75" customHeight="1">
      <c r="A985" s="22">
        <v>37071595</v>
      </c>
      <c r="B985" s="23" t="s">
        <v>8238</v>
      </c>
      <c r="C985" s="23" t="s">
        <v>8239</v>
      </c>
      <c r="D985" s="23" t="s">
        <v>8240</v>
      </c>
      <c r="E985" s="23" t="s">
        <v>2504</v>
      </c>
      <c r="F985" s="23" t="s">
        <v>5453</v>
      </c>
      <c r="G985" s="22">
        <v>2023</v>
      </c>
      <c r="H985" s="24">
        <v>45034</v>
      </c>
      <c r="I985" s="23"/>
      <c r="J985" s="23"/>
      <c r="K985" s="26" t="s">
        <v>2505</v>
      </c>
      <c r="L985" s="27"/>
      <c r="M985" s="23"/>
    </row>
    <row r="986" spans="1:13" ht="15.75" customHeight="1">
      <c r="A986" s="22">
        <v>27459097</v>
      </c>
      <c r="B986" s="23" t="s">
        <v>8241</v>
      </c>
      <c r="C986" s="23" t="s">
        <v>8242</v>
      </c>
      <c r="D986" s="23" t="s">
        <v>8243</v>
      </c>
      <c r="E986" s="23" t="s">
        <v>3285</v>
      </c>
      <c r="F986" s="23" t="s">
        <v>4974</v>
      </c>
      <c r="G986" s="22">
        <v>2016</v>
      </c>
      <c r="H986" s="24">
        <v>42578</v>
      </c>
      <c r="I986" s="23"/>
      <c r="J986" s="23"/>
      <c r="K986" s="26" t="s">
        <v>3286</v>
      </c>
      <c r="L986" s="27"/>
      <c r="M986" s="23"/>
    </row>
    <row r="987" spans="1:13" ht="15.75" customHeight="1">
      <c r="A987" s="22">
        <v>9586694</v>
      </c>
      <c r="B987" s="23" t="s">
        <v>8244</v>
      </c>
      <c r="C987" s="23" t="s">
        <v>8245</v>
      </c>
      <c r="D987" s="23" t="s">
        <v>8246</v>
      </c>
      <c r="E987" s="23" t="s">
        <v>2749</v>
      </c>
      <c r="F987" s="23" t="s">
        <v>7855</v>
      </c>
      <c r="G987" s="22">
        <v>1998</v>
      </c>
      <c r="H987" s="24">
        <v>35935</v>
      </c>
      <c r="I987" s="23"/>
      <c r="J987" s="23"/>
      <c r="K987" s="26" t="s">
        <v>2750</v>
      </c>
      <c r="L987" s="27"/>
      <c r="M987" s="23"/>
    </row>
    <row r="988" spans="1:13" ht="15.75" customHeight="1">
      <c r="A988" s="22">
        <v>9443944</v>
      </c>
      <c r="B988" s="23" t="s">
        <v>8247</v>
      </c>
      <c r="C988" s="23" t="s">
        <v>8248</v>
      </c>
      <c r="D988" s="23" t="s">
        <v>8249</v>
      </c>
      <c r="E988" s="23" t="s">
        <v>3370</v>
      </c>
      <c r="F988" s="23" t="s">
        <v>6356</v>
      </c>
      <c r="G988" s="22">
        <v>1998</v>
      </c>
      <c r="H988" s="24">
        <v>35823</v>
      </c>
      <c r="I988" s="23"/>
      <c r="J988" s="23"/>
      <c r="K988" s="26" t="s">
        <v>3371</v>
      </c>
      <c r="L988" s="27"/>
      <c r="M988" s="23"/>
    </row>
    <row r="989" spans="1:13" ht="15.75" customHeight="1">
      <c r="A989" s="22">
        <v>24400550</v>
      </c>
      <c r="B989" s="23" t="s">
        <v>8250</v>
      </c>
      <c r="C989" s="23" t="s">
        <v>8251</v>
      </c>
      <c r="D989" s="23" t="s">
        <v>8252</v>
      </c>
      <c r="E989" s="23" t="s">
        <v>4112</v>
      </c>
      <c r="F989" s="23" t="s">
        <v>8032</v>
      </c>
      <c r="G989" s="22">
        <v>2013</v>
      </c>
      <c r="H989" s="24">
        <v>41649</v>
      </c>
      <c r="I989" s="23"/>
      <c r="J989" s="23"/>
      <c r="K989" s="26" t="s">
        <v>4113</v>
      </c>
      <c r="L989" s="27"/>
      <c r="M989" s="23"/>
    </row>
    <row r="990" spans="1:13" ht="15.75" customHeight="1">
      <c r="A990" s="22">
        <v>12833890</v>
      </c>
      <c r="B990" s="23" t="s">
        <v>8253</v>
      </c>
      <c r="C990" s="23" t="s">
        <v>8254</v>
      </c>
      <c r="D990" s="23" t="s">
        <v>8255</v>
      </c>
      <c r="E990" s="23" t="s">
        <v>3288</v>
      </c>
      <c r="F990" s="23" t="s">
        <v>8256</v>
      </c>
      <c r="G990" s="22">
        <v>2003</v>
      </c>
      <c r="H990" s="24">
        <v>37804</v>
      </c>
      <c r="I990" s="23"/>
      <c r="J990" s="23"/>
      <c r="K990" s="23"/>
      <c r="L990" s="23"/>
      <c r="M990" s="23"/>
    </row>
    <row r="991" spans="1:13" ht="15.75" customHeight="1">
      <c r="A991" s="22">
        <v>11874884</v>
      </c>
      <c r="B991" s="23" t="s">
        <v>8257</v>
      </c>
      <c r="C991" s="23" t="s">
        <v>8258</v>
      </c>
      <c r="D991" s="23" t="s">
        <v>8259</v>
      </c>
      <c r="E991" s="23" t="s">
        <v>4621</v>
      </c>
      <c r="F991" s="23" t="s">
        <v>7605</v>
      </c>
      <c r="G991" s="22">
        <v>2002</v>
      </c>
      <c r="H991" s="24">
        <v>37320</v>
      </c>
      <c r="I991" s="23" t="s">
        <v>8260</v>
      </c>
      <c r="J991" s="23"/>
      <c r="K991" s="26" t="s">
        <v>4628</v>
      </c>
      <c r="L991" s="27"/>
      <c r="M991" s="27"/>
    </row>
    <row r="992" spans="1:13" ht="15.75" customHeight="1">
      <c r="A992" s="22">
        <v>10773849</v>
      </c>
      <c r="B992" s="23" t="s">
        <v>8261</v>
      </c>
      <c r="C992" s="23" t="s">
        <v>8262</v>
      </c>
      <c r="D992" s="23" t="s">
        <v>8263</v>
      </c>
      <c r="E992" s="23" t="s">
        <v>2333</v>
      </c>
      <c r="F992" s="23" t="s">
        <v>5191</v>
      </c>
      <c r="G992" s="22">
        <v>2000</v>
      </c>
      <c r="H992" s="24">
        <v>36641</v>
      </c>
      <c r="I992" s="23"/>
      <c r="J992" s="23"/>
      <c r="K992" s="26" t="s">
        <v>2334</v>
      </c>
      <c r="L992" s="27"/>
      <c r="M992" s="27"/>
    </row>
    <row r="993" spans="1:13" ht="15.75" customHeight="1">
      <c r="A993" s="22">
        <v>9120486</v>
      </c>
      <c r="B993" s="23" t="s">
        <v>8264</v>
      </c>
      <c r="C993" s="23" t="s">
        <v>8265</v>
      </c>
      <c r="D993" s="23" t="s">
        <v>8266</v>
      </c>
      <c r="E993" s="23" t="s">
        <v>3185</v>
      </c>
      <c r="F993" s="23" t="s">
        <v>7352</v>
      </c>
      <c r="G993" s="22">
        <v>1996</v>
      </c>
      <c r="H993" s="24">
        <v>35156</v>
      </c>
      <c r="I993" s="23"/>
      <c r="J993" s="23"/>
      <c r="K993" s="26" t="s">
        <v>3188</v>
      </c>
      <c r="L993" s="27"/>
      <c r="M993" s="27"/>
    </row>
    <row r="994" spans="1:13" ht="15.75" customHeight="1">
      <c r="A994" s="22">
        <v>8380842</v>
      </c>
      <c r="B994" s="23" t="s">
        <v>8267</v>
      </c>
      <c r="C994" s="23" t="s">
        <v>8268</v>
      </c>
      <c r="D994" s="23" t="s">
        <v>8269</v>
      </c>
      <c r="E994" s="23" t="s">
        <v>4435</v>
      </c>
      <c r="F994" s="23" t="s">
        <v>4923</v>
      </c>
      <c r="G994" s="22">
        <v>1993</v>
      </c>
      <c r="H994" s="24">
        <v>33970</v>
      </c>
      <c r="I994" s="23"/>
      <c r="J994" s="23"/>
      <c r="K994" s="26" t="s">
        <v>4444</v>
      </c>
      <c r="L994" s="27"/>
      <c r="M994" s="23"/>
    </row>
    <row r="995" spans="1:13" ht="15.75" customHeight="1">
      <c r="A995" s="22">
        <v>31722836</v>
      </c>
      <c r="B995" s="23" t="s">
        <v>8270</v>
      </c>
      <c r="C995" s="23" t="s">
        <v>8271</v>
      </c>
      <c r="D995" s="23" t="s">
        <v>8272</v>
      </c>
      <c r="E995" s="23" t="s">
        <v>2929</v>
      </c>
      <c r="F995" s="23" t="s">
        <v>8273</v>
      </c>
      <c r="G995" s="22">
        <v>2020</v>
      </c>
      <c r="H995" s="24">
        <v>43784</v>
      </c>
      <c r="I995" s="23"/>
      <c r="J995" s="23"/>
      <c r="K995" s="26" t="s">
        <v>2930</v>
      </c>
      <c r="L995" s="27"/>
      <c r="M995" s="27"/>
    </row>
    <row r="996" spans="1:13" ht="15.75" customHeight="1">
      <c r="A996" s="22">
        <v>10590066</v>
      </c>
      <c r="B996" s="23" t="s">
        <v>8274</v>
      </c>
      <c r="C996" s="23" t="s">
        <v>8275</v>
      </c>
      <c r="D996" s="23" t="s">
        <v>8276</v>
      </c>
      <c r="E996" s="23" t="s">
        <v>2201</v>
      </c>
      <c r="F996" s="23" t="s">
        <v>5343</v>
      </c>
      <c r="G996" s="22">
        <v>1999</v>
      </c>
      <c r="H996" s="24">
        <v>36504</v>
      </c>
      <c r="I996" s="23"/>
      <c r="J996" s="23"/>
      <c r="K996" s="23"/>
      <c r="L996" s="23"/>
      <c r="M996" s="23"/>
    </row>
    <row r="997" spans="1:13" ht="15.75" customHeight="1">
      <c r="A997" s="22">
        <v>9244628</v>
      </c>
      <c r="B997" s="23" t="s">
        <v>8277</v>
      </c>
      <c r="C997" s="23" t="s">
        <v>8278</v>
      </c>
      <c r="D997" s="23" t="s">
        <v>8279</v>
      </c>
      <c r="E997" s="23" t="s">
        <v>1211</v>
      </c>
      <c r="F997" s="23" t="s">
        <v>8280</v>
      </c>
      <c r="G997" s="22">
        <v>1997</v>
      </c>
      <c r="H997" s="24">
        <v>35582</v>
      </c>
      <c r="I997" s="23"/>
      <c r="J997" s="23"/>
      <c r="K997" s="23"/>
      <c r="L997" s="23"/>
      <c r="M997" s="23"/>
    </row>
    <row r="998" spans="1:13" ht="15.75" customHeight="1">
      <c r="A998" s="22">
        <v>34721381</v>
      </c>
      <c r="B998" s="23" t="s">
        <v>8281</v>
      </c>
      <c r="C998" s="23" t="s">
        <v>8282</v>
      </c>
      <c r="D998" s="23" t="s">
        <v>8283</v>
      </c>
      <c r="E998" s="23" t="s">
        <v>1593</v>
      </c>
      <c r="F998" s="23" t="s">
        <v>4912</v>
      </c>
      <c r="G998" s="22">
        <v>2021</v>
      </c>
      <c r="H998" s="24">
        <v>44501</v>
      </c>
      <c r="I998" s="26" t="s">
        <v>8284</v>
      </c>
      <c r="J998" s="27"/>
      <c r="K998" s="26" t="s">
        <v>1594</v>
      </c>
      <c r="L998" s="27"/>
      <c r="M998" s="27"/>
    </row>
    <row r="999" spans="1:13" ht="15.75" customHeight="1">
      <c r="A999" s="22">
        <v>16504686</v>
      </c>
      <c r="B999" s="23" t="s">
        <v>8285</v>
      </c>
      <c r="C999" s="23" t="s">
        <v>8286</v>
      </c>
      <c r="D999" s="23" t="s">
        <v>8287</v>
      </c>
      <c r="E999" s="23" t="s">
        <v>1832</v>
      </c>
      <c r="F999" s="23" t="s">
        <v>5696</v>
      </c>
      <c r="G999" s="22">
        <v>2006</v>
      </c>
      <c r="H999" s="24">
        <v>38777</v>
      </c>
      <c r="I999" s="23"/>
      <c r="J999" s="23"/>
      <c r="K999" s="26" t="s">
        <v>1836</v>
      </c>
      <c r="L999" s="27"/>
      <c r="M999" s="27"/>
    </row>
    <row r="1000" spans="1:13" ht="15.75" customHeight="1">
      <c r="A1000" s="22">
        <v>9529560</v>
      </c>
      <c r="B1000" s="23" t="s">
        <v>8288</v>
      </c>
      <c r="C1000" s="23" t="s">
        <v>8289</v>
      </c>
      <c r="D1000" s="23" t="s">
        <v>8290</v>
      </c>
      <c r="E1000" s="23" t="s">
        <v>1905</v>
      </c>
      <c r="F1000" s="23" t="s">
        <v>8291</v>
      </c>
      <c r="G1000" s="22">
        <v>1997</v>
      </c>
      <c r="H1000" s="24">
        <v>35431</v>
      </c>
      <c r="I1000" s="23"/>
      <c r="J1000" s="23"/>
      <c r="K1000" s="26" t="s">
        <v>1914</v>
      </c>
      <c r="L1000" s="27"/>
      <c r="M1000" s="23"/>
    </row>
    <row r="1001" spans="1:13" ht="15.75" customHeight="1">
      <c r="A1001" s="22">
        <v>17936368</v>
      </c>
      <c r="B1001" s="23" t="s">
        <v>8292</v>
      </c>
      <c r="C1001" s="23" t="s">
        <v>8293</v>
      </c>
      <c r="D1001" s="23" t="s">
        <v>8294</v>
      </c>
      <c r="E1001" s="23" t="s">
        <v>1225</v>
      </c>
      <c r="F1001" s="23" t="s">
        <v>7473</v>
      </c>
      <c r="G1001" s="22">
        <v>2007</v>
      </c>
      <c r="H1001" s="24">
        <v>39371</v>
      </c>
      <c r="I1001" s="23" t="s">
        <v>8295</v>
      </c>
      <c r="J1001" s="23" t="s">
        <v>8296</v>
      </c>
      <c r="K1001" s="26" t="s">
        <v>1226</v>
      </c>
      <c r="L1001" s="27"/>
      <c r="M1001" s="27"/>
    </row>
    <row r="1002" spans="1:13" ht="15.75" customHeight="1">
      <c r="A1002" s="22">
        <v>10423975</v>
      </c>
      <c r="B1002" s="23" t="s">
        <v>8297</v>
      </c>
      <c r="C1002" s="23" t="s">
        <v>8298</v>
      </c>
      <c r="D1002" s="23" t="s">
        <v>8299</v>
      </c>
      <c r="E1002" s="23" t="s">
        <v>1308</v>
      </c>
      <c r="F1002" s="23" t="s">
        <v>8300</v>
      </c>
      <c r="G1002" s="22">
        <v>1999</v>
      </c>
      <c r="H1002" s="24">
        <v>36370</v>
      </c>
      <c r="I1002" s="23"/>
      <c r="J1002" s="23"/>
      <c r="K1002" s="23"/>
      <c r="L1002" s="23"/>
      <c r="M1002" s="23"/>
    </row>
    <row r="1003" spans="1:13" ht="15.75" customHeight="1">
      <c r="A1003" s="22">
        <v>11512088</v>
      </c>
      <c r="B1003" s="23" t="s">
        <v>4844</v>
      </c>
      <c r="C1003" s="23" t="s">
        <v>8301</v>
      </c>
      <c r="D1003" s="23" t="s">
        <v>8302</v>
      </c>
      <c r="E1003" s="23" t="s">
        <v>1543</v>
      </c>
      <c r="F1003" s="23" t="s">
        <v>5080</v>
      </c>
      <c r="G1003" s="22">
        <v>2001</v>
      </c>
      <c r="H1003" s="24">
        <v>37124</v>
      </c>
      <c r="I1003" s="23"/>
      <c r="J1003" s="23"/>
      <c r="K1003" s="26" t="s">
        <v>1552</v>
      </c>
      <c r="L1003" s="27"/>
      <c r="M1003" s="23"/>
    </row>
    <row r="1004" spans="1:13" ht="15.75" customHeight="1">
      <c r="A1004" s="22">
        <v>11965036</v>
      </c>
      <c r="B1004" s="23" t="s">
        <v>8303</v>
      </c>
      <c r="C1004" s="23" t="s">
        <v>8304</v>
      </c>
      <c r="D1004" s="23" t="s">
        <v>8305</v>
      </c>
      <c r="E1004" s="23" t="s">
        <v>3076</v>
      </c>
      <c r="F1004" s="23" t="s">
        <v>5445</v>
      </c>
      <c r="G1004" s="22">
        <v>2002</v>
      </c>
      <c r="H1004" s="24">
        <v>37366</v>
      </c>
      <c r="I1004" s="23"/>
      <c r="J1004" s="23"/>
      <c r="K1004" s="26" t="s">
        <v>3077</v>
      </c>
      <c r="L1004" s="27"/>
      <c r="M1004" s="27"/>
    </row>
    <row r="1005" spans="1:13" ht="15.75" customHeight="1">
      <c r="A1005" s="22">
        <v>36243759</v>
      </c>
      <c r="B1005" s="23" t="s">
        <v>8306</v>
      </c>
      <c r="C1005" s="23" t="s">
        <v>8307</v>
      </c>
      <c r="D1005" s="23" t="s">
        <v>8308</v>
      </c>
      <c r="E1005" s="23" t="s">
        <v>994</v>
      </c>
      <c r="F1005" s="23" t="s">
        <v>4863</v>
      </c>
      <c r="G1005" s="22">
        <v>2023</v>
      </c>
      <c r="H1005" s="24">
        <v>44849</v>
      </c>
      <c r="I1005" s="26" t="s">
        <v>8309</v>
      </c>
      <c r="J1005" s="27"/>
      <c r="K1005" s="26" t="s">
        <v>995</v>
      </c>
      <c r="L1005" s="27"/>
      <c r="M1005" s="27"/>
    </row>
    <row r="1006" spans="1:13" ht="15.75" customHeight="1">
      <c r="A1006" s="22">
        <v>1851860</v>
      </c>
      <c r="B1006" s="23" t="s">
        <v>8310</v>
      </c>
      <c r="C1006" s="23" t="s">
        <v>8311</v>
      </c>
      <c r="D1006" s="23" t="s">
        <v>8312</v>
      </c>
      <c r="E1006" s="23" t="s">
        <v>1587</v>
      </c>
      <c r="F1006" s="23" t="s">
        <v>4891</v>
      </c>
      <c r="G1006" s="22">
        <v>1991</v>
      </c>
      <c r="H1006" s="24">
        <v>33390</v>
      </c>
      <c r="I1006" s="23" t="s">
        <v>8313</v>
      </c>
      <c r="J1006" s="23"/>
      <c r="K1006" s="26" t="s">
        <v>1588</v>
      </c>
      <c r="L1006" s="27"/>
      <c r="M1006" s="27"/>
    </row>
    <row r="1007" spans="1:13" ht="15.75" customHeight="1">
      <c r="A1007" s="22">
        <v>16289345</v>
      </c>
      <c r="B1007" s="23" t="s">
        <v>8314</v>
      </c>
      <c r="C1007" s="23" t="s">
        <v>8315</v>
      </c>
      <c r="D1007" s="23" t="s">
        <v>8316</v>
      </c>
      <c r="E1007" s="23" t="s">
        <v>4145</v>
      </c>
      <c r="F1007" s="23" t="s">
        <v>5267</v>
      </c>
      <c r="G1007" s="22">
        <v>2006</v>
      </c>
      <c r="H1007" s="24">
        <v>38674</v>
      </c>
      <c r="I1007" s="23"/>
      <c r="J1007" s="23"/>
      <c r="K1007" s="26" t="s">
        <v>4146</v>
      </c>
      <c r="L1007" s="27"/>
      <c r="M1007" s="27"/>
    </row>
    <row r="1008" spans="1:13" ht="15.75" customHeight="1">
      <c r="A1008" s="22">
        <v>22750998</v>
      </c>
      <c r="B1008" s="23" t="s">
        <v>8317</v>
      </c>
      <c r="C1008" s="23" t="s">
        <v>8318</v>
      </c>
      <c r="D1008" s="23" t="s">
        <v>8319</v>
      </c>
      <c r="E1008" s="23" t="s">
        <v>151</v>
      </c>
      <c r="F1008" s="23" t="s">
        <v>4863</v>
      </c>
      <c r="G1008" s="22">
        <v>2013</v>
      </c>
      <c r="H1008" s="24">
        <v>41094</v>
      </c>
      <c r="I1008" s="23"/>
      <c r="J1008" s="23"/>
      <c r="K1008" s="26" t="s">
        <v>801</v>
      </c>
      <c r="L1008" s="27"/>
      <c r="M1008" s="23"/>
    </row>
    <row r="1009" spans="1:13" ht="15.75" customHeight="1">
      <c r="A1009" s="22">
        <v>12120696</v>
      </c>
      <c r="B1009" s="23" t="s">
        <v>8320</v>
      </c>
      <c r="C1009" s="23" t="s">
        <v>8321</v>
      </c>
      <c r="D1009" s="23" t="s">
        <v>8322</v>
      </c>
      <c r="E1009" s="23" t="s">
        <v>2400</v>
      </c>
      <c r="F1009" s="23" t="s">
        <v>5191</v>
      </c>
      <c r="G1009" s="22">
        <v>2002</v>
      </c>
      <c r="H1009" s="24">
        <v>37455</v>
      </c>
      <c r="I1009" s="23"/>
      <c r="J1009" s="23"/>
      <c r="K1009" s="26" t="s">
        <v>2401</v>
      </c>
      <c r="L1009" s="27"/>
      <c r="M1009" s="27"/>
    </row>
    <row r="1010" spans="1:13" ht="15.75" customHeight="1">
      <c r="A1010" s="22">
        <v>20881490</v>
      </c>
      <c r="B1010" s="23" t="s">
        <v>8323</v>
      </c>
      <c r="C1010" s="23" t="s">
        <v>7159</v>
      </c>
      <c r="D1010" s="23" t="s">
        <v>8324</v>
      </c>
      <c r="E1010" s="23" t="s">
        <v>3695</v>
      </c>
      <c r="F1010" s="23" t="s">
        <v>8325</v>
      </c>
      <c r="G1010" s="22">
        <v>2010</v>
      </c>
      <c r="H1010" s="24">
        <v>40452</v>
      </c>
      <c r="I1010" s="23"/>
      <c r="J1010" s="23"/>
      <c r="K1010" s="26" t="s">
        <v>3706</v>
      </c>
      <c r="L1010" s="27"/>
      <c r="M1010" s="27"/>
    </row>
    <row r="1011" spans="1:13" ht="15.75" customHeight="1">
      <c r="A1011" s="22">
        <v>38793689</v>
      </c>
      <c r="B1011" s="23" t="s">
        <v>8326</v>
      </c>
      <c r="C1011" s="23" t="s">
        <v>8327</v>
      </c>
      <c r="D1011" s="23" t="s">
        <v>8328</v>
      </c>
      <c r="E1011" s="23" t="s">
        <v>4765</v>
      </c>
      <c r="F1011" s="23" t="s">
        <v>4842</v>
      </c>
      <c r="G1011" s="22">
        <v>2024</v>
      </c>
      <c r="H1011" s="24">
        <v>45437</v>
      </c>
      <c r="I1011" s="26" t="s">
        <v>8329</v>
      </c>
      <c r="J1011" s="27"/>
      <c r="K1011" s="26" t="s">
        <v>4766</v>
      </c>
      <c r="L1011" s="27"/>
      <c r="M1011" s="23"/>
    </row>
    <row r="1012" spans="1:13" ht="15.75" customHeight="1">
      <c r="A1012" s="22">
        <v>22301197</v>
      </c>
      <c r="B1012" s="23" t="s">
        <v>8330</v>
      </c>
      <c r="C1012" s="23" t="s">
        <v>8331</v>
      </c>
      <c r="D1012" s="23" t="s">
        <v>8332</v>
      </c>
      <c r="E1012" s="23" t="s">
        <v>2614</v>
      </c>
      <c r="F1012" s="23" t="s">
        <v>5267</v>
      </c>
      <c r="G1012" s="22">
        <v>2012</v>
      </c>
      <c r="H1012" s="24">
        <v>40943</v>
      </c>
      <c r="I1012" s="23"/>
      <c r="J1012" s="23"/>
      <c r="K1012" s="26" t="s">
        <v>2615</v>
      </c>
      <c r="L1012" s="27"/>
      <c r="M1012" s="27"/>
    </row>
    <row r="1013" spans="1:13" ht="15.75" customHeight="1">
      <c r="A1013" s="22">
        <v>11757726</v>
      </c>
      <c r="B1013" s="23" t="s">
        <v>8333</v>
      </c>
      <c r="C1013" s="23" t="s">
        <v>8334</v>
      </c>
      <c r="D1013" s="23" t="s">
        <v>8335</v>
      </c>
      <c r="E1013" s="23" t="s">
        <v>2797</v>
      </c>
      <c r="F1013" s="23" t="s">
        <v>5319</v>
      </c>
      <c r="G1013" s="22">
        <v>2001</v>
      </c>
      <c r="H1013" s="24">
        <v>37261</v>
      </c>
      <c r="I1013" s="23"/>
      <c r="J1013" s="23"/>
      <c r="K1013" s="26" t="s">
        <v>2798</v>
      </c>
      <c r="L1013" s="27"/>
      <c r="M1013" s="23"/>
    </row>
    <row r="1014" spans="1:13" ht="15.75" customHeight="1">
      <c r="A1014" s="22">
        <v>15365027</v>
      </c>
      <c r="B1014" s="23" t="s">
        <v>8336</v>
      </c>
      <c r="C1014" s="23" t="s">
        <v>8337</v>
      </c>
      <c r="D1014" s="23" t="s">
        <v>8338</v>
      </c>
      <c r="E1014" s="23" t="s">
        <v>3920</v>
      </c>
      <c r="F1014" s="23" t="s">
        <v>5331</v>
      </c>
      <c r="G1014" s="22">
        <v>2004</v>
      </c>
      <c r="H1014" s="24">
        <v>38245</v>
      </c>
      <c r="I1014" s="23" t="s">
        <v>8339</v>
      </c>
      <c r="J1014" s="23"/>
      <c r="K1014" s="26" t="s">
        <v>3921</v>
      </c>
      <c r="L1014" s="27"/>
      <c r="M1014" s="27"/>
    </row>
    <row r="1015" spans="1:13" ht="15.75" customHeight="1">
      <c r="A1015" s="22">
        <v>29744372</v>
      </c>
      <c r="B1015" s="23" t="s">
        <v>8340</v>
      </c>
      <c r="C1015" s="23" t="s">
        <v>8341</v>
      </c>
      <c r="D1015" s="23" t="s">
        <v>8342</v>
      </c>
      <c r="E1015" s="23" t="s">
        <v>4456</v>
      </c>
      <c r="F1015" s="23" t="s">
        <v>5017</v>
      </c>
      <c r="G1015" s="22">
        <v>2018</v>
      </c>
      <c r="H1015" s="24">
        <v>43231</v>
      </c>
      <c r="I1015" s="26" t="s">
        <v>8343</v>
      </c>
      <c r="J1015" s="27"/>
      <c r="K1015" s="26" t="s">
        <v>4457</v>
      </c>
      <c r="L1015" s="27"/>
      <c r="M1015" s="23"/>
    </row>
    <row r="1016" spans="1:13" ht="15.75" customHeight="1">
      <c r="A1016" s="22">
        <v>18250297</v>
      </c>
      <c r="B1016" s="23" t="s">
        <v>8344</v>
      </c>
      <c r="C1016" s="23" t="s">
        <v>8345</v>
      </c>
      <c r="D1016" s="23" t="s">
        <v>8346</v>
      </c>
      <c r="E1016" s="23" t="s">
        <v>1581</v>
      </c>
      <c r="F1016" s="23" t="s">
        <v>7413</v>
      </c>
      <c r="G1016" s="22">
        <v>2008</v>
      </c>
      <c r="H1016" s="24">
        <v>39484</v>
      </c>
      <c r="I1016" s="23"/>
      <c r="J1016" s="23"/>
      <c r="K1016" s="26" t="s">
        <v>1582</v>
      </c>
      <c r="L1016" s="27"/>
      <c r="M1016" s="27"/>
    </row>
    <row r="1017" spans="1:13" ht="15.75" customHeight="1">
      <c r="A1017" s="22">
        <v>31818546</v>
      </c>
      <c r="B1017" s="23" t="s">
        <v>8347</v>
      </c>
      <c r="C1017" s="23" t="s">
        <v>8348</v>
      </c>
      <c r="D1017" s="23" t="s">
        <v>8349</v>
      </c>
      <c r="E1017" s="23" t="s">
        <v>3831</v>
      </c>
      <c r="F1017" s="23" t="s">
        <v>8350</v>
      </c>
      <c r="G1017" s="22">
        <v>2020</v>
      </c>
      <c r="H1017" s="24">
        <v>43810</v>
      </c>
      <c r="I1017" s="23" t="s">
        <v>8351</v>
      </c>
      <c r="J1017" s="23" t="s">
        <v>8352</v>
      </c>
      <c r="K1017" s="26" t="s">
        <v>3832</v>
      </c>
      <c r="L1017" s="27"/>
      <c r="M1017" s="27"/>
    </row>
    <row r="1018" spans="1:13" ht="15.75" customHeight="1">
      <c r="A1018" s="22">
        <v>9414312</v>
      </c>
      <c r="B1018" s="23" t="s">
        <v>8353</v>
      </c>
      <c r="C1018" s="23" t="s">
        <v>8354</v>
      </c>
      <c r="D1018" s="23" t="s">
        <v>8355</v>
      </c>
      <c r="E1018" s="23" t="s">
        <v>820</v>
      </c>
      <c r="F1018" s="23" t="s">
        <v>5343</v>
      </c>
      <c r="G1018" s="22">
        <v>1998</v>
      </c>
      <c r="H1018" s="24">
        <v>35833</v>
      </c>
      <c r="I1018" s="23"/>
      <c r="J1018" s="23"/>
      <c r="K1018" s="23"/>
      <c r="L1018" s="23"/>
      <c r="M1018" s="23"/>
    </row>
    <row r="1019" spans="1:13" ht="15.75" customHeight="1">
      <c r="A1019" s="22">
        <v>32053411</v>
      </c>
      <c r="B1019" s="23" t="s">
        <v>8356</v>
      </c>
      <c r="C1019" s="23" t="s">
        <v>8357</v>
      </c>
      <c r="D1019" s="23" t="s">
        <v>8358</v>
      </c>
      <c r="E1019" s="23" t="s">
        <v>1216</v>
      </c>
      <c r="F1019" s="23" t="s">
        <v>8359</v>
      </c>
      <c r="G1019" s="22">
        <v>2020</v>
      </c>
      <c r="H1019" s="24">
        <v>43875</v>
      </c>
      <c r="I1019" s="23"/>
      <c r="J1019" s="23"/>
      <c r="K1019" s="26" t="s">
        <v>1217</v>
      </c>
      <c r="L1019" s="27"/>
      <c r="M1019" s="27"/>
    </row>
    <row r="1020" spans="1:13" ht="15.75" customHeight="1">
      <c r="A1020" s="22">
        <v>18059145</v>
      </c>
      <c r="B1020" s="23" t="s">
        <v>8360</v>
      </c>
      <c r="C1020" s="23" t="s">
        <v>6498</v>
      </c>
      <c r="D1020" s="23" t="s">
        <v>8361</v>
      </c>
      <c r="E1020" s="23" t="s">
        <v>4264</v>
      </c>
      <c r="F1020" s="23" t="s">
        <v>8362</v>
      </c>
      <c r="G1020" s="22">
        <v>2007</v>
      </c>
      <c r="H1020" s="24">
        <v>39423</v>
      </c>
      <c r="I1020" s="23"/>
      <c r="J1020" s="23"/>
      <c r="K1020" s="23"/>
      <c r="L1020" s="23"/>
      <c r="M1020" s="23"/>
    </row>
    <row r="1021" spans="1:13" ht="15.75" customHeight="1">
      <c r="A1021" s="22">
        <v>9695306</v>
      </c>
      <c r="B1021" s="23" t="s">
        <v>8363</v>
      </c>
      <c r="C1021" s="23" t="s">
        <v>8364</v>
      </c>
      <c r="D1021" s="23" t="s">
        <v>8365</v>
      </c>
      <c r="E1021" s="23" t="s">
        <v>195</v>
      </c>
      <c r="F1021" s="23" t="s">
        <v>8366</v>
      </c>
      <c r="G1021" s="22">
        <v>1998</v>
      </c>
      <c r="H1021" s="24">
        <v>36015</v>
      </c>
      <c r="I1021" s="23"/>
      <c r="J1021" s="23"/>
      <c r="K1021" s="26" t="s">
        <v>4665</v>
      </c>
      <c r="L1021" s="27"/>
      <c r="M1021" s="27"/>
    </row>
    <row r="1022" spans="1:13" ht="15.75" customHeight="1">
      <c r="A1022" s="22">
        <v>35176506</v>
      </c>
      <c r="B1022" s="23" t="s">
        <v>8367</v>
      </c>
      <c r="C1022" s="23" t="s">
        <v>8368</v>
      </c>
      <c r="D1022" s="23" t="s">
        <v>8369</v>
      </c>
      <c r="E1022" s="23" t="s">
        <v>2270</v>
      </c>
      <c r="F1022" s="23" t="s">
        <v>8370</v>
      </c>
      <c r="G1022" s="22">
        <v>2022</v>
      </c>
      <c r="H1022" s="24">
        <v>44609</v>
      </c>
      <c r="I1022" s="23" t="s">
        <v>8371</v>
      </c>
      <c r="J1022" s="23" t="s">
        <v>8372</v>
      </c>
      <c r="K1022" s="26" t="s">
        <v>2271</v>
      </c>
      <c r="L1022" s="27"/>
      <c r="M1022" s="27"/>
    </row>
    <row r="1023" spans="1:13" ht="15.75" customHeight="1">
      <c r="A1023" s="22">
        <v>19034008</v>
      </c>
      <c r="B1023" s="23" t="s">
        <v>8373</v>
      </c>
      <c r="C1023" s="23" t="s">
        <v>8374</v>
      </c>
      <c r="D1023" s="23" t="s">
        <v>8375</v>
      </c>
      <c r="E1023" s="23" t="s">
        <v>545</v>
      </c>
      <c r="F1023" s="23" t="s">
        <v>5445</v>
      </c>
      <c r="G1023" s="22">
        <v>2008</v>
      </c>
      <c r="H1023" s="24">
        <v>39779</v>
      </c>
      <c r="I1023" s="23"/>
      <c r="J1023" s="23"/>
      <c r="K1023" s="26" t="s">
        <v>546</v>
      </c>
      <c r="L1023" s="27"/>
      <c r="M1023" s="27"/>
    </row>
    <row r="1024" spans="1:13" ht="15.75" customHeight="1">
      <c r="A1024" s="22">
        <v>22171136</v>
      </c>
      <c r="B1024" s="23" t="s">
        <v>8376</v>
      </c>
      <c r="C1024" s="23" t="s">
        <v>8377</v>
      </c>
      <c r="D1024" s="23" t="s">
        <v>8378</v>
      </c>
      <c r="E1024" s="23" t="s">
        <v>3239</v>
      </c>
      <c r="F1024" s="23" t="s">
        <v>6632</v>
      </c>
      <c r="G1024" s="22">
        <v>2011</v>
      </c>
      <c r="H1024" s="24">
        <v>40893</v>
      </c>
      <c r="I1024" s="26" t="s">
        <v>8379</v>
      </c>
      <c r="J1024" s="27"/>
      <c r="K1024" s="26" t="s">
        <v>3240</v>
      </c>
      <c r="L1024" s="27"/>
      <c r="M1024" s="23"/>
    </row>
    <row r="1025" spans="1:13" ht="15.75" customHeight="1">
      <c r="A1025" s="22">
        <v>18044207</v>
      </c>
      <c r="B1025" s="23" t="s">
        <v>8380</v>
      </c>
      <c r="C1025" s="23" t="s">
        <v>8381</v>
      </c>
      <c r="D1025" s="23" t="s">
        <v>8382</v>
      </c>
      <c r="E1025" s="23" t="s">
        <v>2655</v>
      </c>
      <c r="F1025" s="23" t="s">
        <v>4970</v>
      </c>
      <c r="G1025" s="22">
        <v>2007</v>
      </c>
      <c r="H1025" s="24">
        <v>39416</v>
      </c>
      <c r="I1025" s="23"/>
      <c r="J1025" s="23"/>
      <c r="K1025" s="23"/>
      <c r="L1025" s="23"/>
      <c r="M1025" s="23"/>
    </row>
    <row r="1026" spans="1:13" ht="15.75" customHeight="1">
      <c r="A1026" s="22">
        <v>9878013</v>
      </c>
      <c r="B1026" s="23" t="s">
        <v>8383</v>
      </c>
      <c r="C1026" s="23" t="s">
        <v>8384</v>
      </c>
      <c r="D1026" s="23" t="s">
        <v>8385</v>
      </c>
      <c r="E1026" s="23" t="s">
        <v>539</v>
      </c>
      <c r="F1026" s="23" t="s">
        <v>4992</v>
      </c>
      <c r="G1026" s="22">
        <v>1999</v>
      </c>
      <c r="H1026" s="24">
        <v>36167</v>
      </c>
      <c r="I1026" s="23"/>
      <c r="J1026" s="23"/>
      <c r="K1026" s="26" t="s">
        <v>1703</v>
      </c>
      <c r="L1026" s="27"/>
      <c r="M1026" s="23"/>
    </row>
    <row r="1027" spans="1:13" ht="15.75" customHeight="1">
      <c r="A1027" s="22">
        <v>24275367</v>
      </c>
      <c r="B1027" s="23" t="s">
        <v>8386</v>
      </c>
      <c r="C1027" s="23" t="s">
        <v>8387</v>
      </c>
      <c r="D1027" s="23" t="s">
        <v>8388</v>
      </c>
      <c r="E1027" s="23" t="s">
        <v>2230</v>
      </c>
      <c r="F1027" s="23" t="s">
        <v>8389</v>
      </c>
      <c r="G1027" s="22">
        <v>2014</v>
      </c>
      <c r="H1027" s="24">
        <v>41605</v>
      </c>
      <c r="I1027" s="26" t="s">
        <v>8390</v>
      </c>
      <c r="J1027" s="27"/>
      <c r="K1027" s="26" t="s">
        <v>2233</v>
      </c>
      <c r="L1027" s="27"/>
      <c r="M1027" s="27"/>
    </row>
    <row r="1028" spans="1:13" ht="15.75" customHeight="1">
      <c r="A1028" s="22">
        <v>37796084</v>
      </c>
      <c r="B1028" s="23" t="s">
        <v>8391</v>
      </c>
      <c r="C1028" s="23" t="s">
        <v>8392</v>
      </c>
      <c r="D1028" s="23" t="s">
        <v>8393</v>
      </c>
      <c r="E1028" s="23" t="s">
        <v>1998</v>
      </c>
      <c r="F1028" s="23" t="s">
        <v>4923</v>
      </c>
      <c r="G1028" s="22">
        <v>2023</v>
      </c>
      <c r="H1028" s="24">
        <v>45204</v>
      </c>
      <c r="I1028" s="23"/>
      <c r="J1028" s="23"/>
      <c r="K1028" s="26" t="s">
        <v>1999</v>
      </c>
      <c r="L1028" s="27"/>
      <c r="M1028" s="23"/>
    </row>
    <row r="1029" spans="1:13" ht="15.75" customHeight="1">
      <c r="A1029" s="22">
        <v>24395026</v>
      </c>
      <c r="B1029" s="23" t="s">
        <v>8394</v>
      </c>
      <c r="C1029" s="23" t="s">
        <v>8395</v>
      </c>
      <c r="D1029" s="23" t="s">
        <v>8396</v>
      </c>
      <c r="E1029" s="23" t="s">
        <v>2821</v>
      </c>
      <c r="F1029" s="23" t="s">
        <v>4923</v>
      </c>
      <c r="G1029" s="22">
        <v>2014</v>
      </c>
      <c r="H1029" s="24">
        <v>41647</v>
      </c>
      <c r="I1029" s="23"/>
      <c r="J1029" s="23"/>
      <c r="K1029" s="26" t="s">
        <v>2824</v>
      </c>
      <c r="L1029" s="27"/>
      <c r="M1029" s="23"/>
    </row>
    <row r="1030" spans="1:13" ht="15.75" customHeight="1">
      <c r="A1030" s="22">
        <v>30429336</v>
      </c>
      <c r="B1030" s="23" t="s">
        <v>8397</v>
      </c>
      <c r="C1030" s="23" t="s">
        <v>8398</v>
      </c>
      <c r="D1030" s="23" t="s">
        <v>8399</v>
      </c>
      <c r="E1030" s="23" t="s">
        <v>221</v>
      </c>
      <c r="F1030" s="23" t="s">
        <v>4891</v>
      </c>
      <c r="G1030" s="22">
        <v>2019</v>
      </c>
      <c r="H1030" s="24">
        <v>43420</v>
      </c>
      <c r="I1030" s="26" t="s">
        <v>8400</v>
      </c>
      <c r="J1030" s="27"/>
      <c r="K1030" s="26" t="s">
        <v>2371</v>
      </c>
      <c r="L1030" s="27"/>
      <c r="M1030" s="23"/>
    </row>
    <row r="1031" spans="1:13" ht="15.75" customHeight="1">
      <c r="A1031" s="22">
        <v>15899185</v>
      </c>
      <c r="B1031" s="23" t="s">
        <v>8401</v>
      </c>
      <c r="C1031" s="23" t="s">
        <v>8402</v>
      </c>
      <c r="D1031" s="23" t="s">
        <v>8403</v>
      </c>
      <c r="E1031" s="23" t="s">
        <v>1357</v>
      </c>
      <c r="F1031" s="23" t="s">
        <v>5143</v>
      </c>
      <c r="G1031" s="22">
        <v>2005</v>
      </c>
      <c r="H1031" s="24">
        <v>38491</v>
      </c>
      <c r="I1031" s="23"/>
      <c r="J1031" s="23"/>
      <c r="K1031" s="26" t="s">
        <v>1358</v>
      </c>
      <c r="L1031" s="27"/>
      <c r="M1031" s="23"/>
    </row>
    <row r="1032" spans="1:13" ht="15.75" customHeight="1">
      <c r="A1032" s="22">
        <v>28958731</v>
      </c>
      <c r="B1032" s="23" t="s">
        <v>8404</v>
      </c>
      <c r="C1032" s="23" t="s">
        <v>8405</v>
      </c>
      <c r="D1032" s="23" t="s">
        <v>8406</v>
      </c>
      <c r="E1032" s="23" t="s">
        <v>4380</v>
      </c>
      <c r="F1032" s="23" t="s">
        <v>8407</v>
      </c>
      <c r="G1032" s="22">
        <v>2018</v>
      </c>
      <c r="H1032" s="24">
        <v>43008</v>
      </c>
      <c r="I1032" s="23"/>
      <c r="J1032" s="23"/>
      <c r="K1032" s="26" t="s">
        <v>4381</v>
      </c>
      <c r="L1032" s="27"/>
      <c r="M1032" s="27"/>
    </row>
    <row r="1033" spans="1:13" ht="15.75" customHeight="1">
      <c r="A1033" s="22">
        <v>35482424</v>
      </c>
      <c r="B1033" s="23" t="s">
        <v>8408</v>
      </c>
      <c r="C1033" s="23" t="s">
        <v>8409</v>
      </c>
      <c r="D1033" s="23" t="s">
        <v>8410</v>
      </c>
      <c r="E1033" s="23" t="s">
        <v>1731</v>
      </c>
      <c r="F1033" s="23" t="s">
        <v>8411</v>
      </c>
      <c r="G1033" s="22">
        <v>2022</v>
      </c>
      <c r="H1033" s="24">
        <v>44679</v>
      </c>
      <c r="I1033" s="26" t="s">
        <v>8412</v>
      </c>
      <c r="J1033" s="27"/>
      <c r="K1033" s="26" t="s">
        <v>1732</v>
      </c>
      <c r="L1033" s="27"/>
      <c r="M1033" s="27"/>
    </row>
    <row r="1034" spans="1:13" ht="15.75" customHeight="1">
      <c r="A1034" s="22">
        <v>29434005</v>
      </c>
      <c r="B1034" s="23" t="s">
        <v>8413</v>
      </c>
      <c r="C1034" s="23" t="s">
        <v>8414</v>
      </c>
      <c r="D1034" s="23" t="s">
        <v>8415</v>
      </c>
      <c r="E1034" s="23" t="s">
        <v>2042</v>
      </c>
      <c r="F1034" s="23" t="s">
        <v>8416</v>
      </c>
      <c r="G1034" s="22">
        <v>2018</v>
      </c>
      <c r="H1034" s="24">
        <v>43145</v>
      </c>
      <c r="I1034" s="23"/>
      <c r="J1034" s="23"/>
      <c r="K1034" s="26" t="s">
        <v>2043</v>
      </c>
      <c r="L1034" s="27"/>
      <c r="M1034" s="27"/>
    </row>
    <row r="1035" spans="1:13" ht="15.75" customHeight="1">
      <c r="A1035" s="22">
        <v>26499513</v>
      </c>
      <c r="B1035" s="23" t="s">
        <v>8417</v>
      </c>
      <c r="C1035" s="23" t="s">
        <v>8418</v>
      </c>
      <c r="D1035" s="23" t="s">
        <v>8419</v>
      </c>
      <c r="E1035" s="23" t="s">
        <v>4014</v>
      </c>
      <c r="F1035" s="23" t="s">
        <v>8420</v>
      </c>
      <c r="G1035" s="22">
        <v>2016</v>
      </c>
      <c r="H1035" s="24">
        <v>42304</v>
      </c>
      <c r="I1035" s="23" t="s">
        <v>8421</v>
      </c>
      <c r="J1035" s="23" t="s">
        <v>8422</v>
      </c>
      <c r="K1035" s="26" t="s">
        <v>4015</v>
      </c>
      <c r="L1035" s="27"/>
      <c r="M1035" s="27"/>
    </row>
    <row r="1036" spans="1:13" ht="15.75" customHeight="1">
      <c r="A1036" s="22">
        <v>23138414</v>
      </c>
      <c r="B1036" s="23" t="s">
        <v>8423</v>
      </c>
      <c r="C1036" s="23" t="s">
        <v>8424</v>
      </c>
      <c r="D1036" s="23" t="s">
        <v>8425</v>
      </c>
      <c r="E1036" s="23" t="s">
        <v>2597</v>
      </c>
      <c r="F1036" s="23" t="s">
        <v>8426</v>
      </c>
      <c r="G1036" s="22">
        <v>2012</v>
      </c>
      <c r="H1036" s="24">
        <v>41223</v>
      </c>
      <c r="I1036" s="23"/>
      <c r="J1036" s="23"/>
      <c r="K1036" s="26" t="s">
        <v>2598</v>
      </c>
      <c r="L1036" s="27"/>
      <c r="M1036" s="23"/>
    </row>
    <row r="1037" spans="1:13" ht="15.75" customHeight="1">
      <c r="A1037" s="22">
        <v>32076716</v>
      </c>
      <c r="B1037" s="23" t="s">
        <v>8427</v>
      </c>
      <c r="C1037" s="23" t="s">
        <v>8428</v>
      </c>
      <c r="D1037" s="23" t="s">
        <v>8429</v>
      </c>
      <c r="E1037" s="23" t="s">
        <v>221</v>
      </c>
      <c r="F1037" s="23" t="s">
        <v>5343</v>
      </c>
      <c r="G1037" s="22">
        <v>2020</v>
      </c>
      <c r="H1037" s="24">
        <v>43882</v>
      </c>
      <c r="I1037" s="26" t="s">
        <v>8430</v>
      </c>
      <c r="J1037" s="27"/>
      <c r="K1037" s="26" t="s">
        <v>641</v>
      </c>
      <c r="L1037" s="27"/>
      <c r="M1037" s="27"/>
    </row>
    <row r="1038" spans="1:13" ht="15.75" customHeight="1">
      <c r="A1038" s="22">
        <v>15287524</v>
      </c>
      <c r="B1038" s="23" t="s">
        <v>8431</v>
      </c>
      <c r="C1038" s="23" t="s">
        <v>8432</v>
      </c>
      <c r="D1038" s="23" t="s">
        <v>8433</v>
      </c>
      <c r="E1038" s="23" t="s">
        <v>1625</v>
      </c>
      <c r="F1038" s="23" t="s">
        <v>5047</v>
      </c>
      <c r="G1038" s="22">
        <v>2004</v>
      </c>
      <c r="H1038" s="24">
        <v>38203</v>
      </c>
      <c r="I1038" s="23"/>
      <c r="J1038" s="23"/>
      <c r="K1038" s="23"/>
      <c r="L1038" s="23"/>
      <c r="M1038" s="23"/>
    </row>
    <row r="1039" spans="1:13" ht="15.75" customHeight="1">
      <c r="A1039" s="22">
        <v>12709076</v>
      </c>
      <c r="B1039" s="23" t="s">
        <v>8434</v>
      </c>
      <c r="C1039" s="23" t="s">
        <v>8435</v>
      </c>
      <c r="D1039" s="23" t="s">
        <v>8436</v>
      </c>
      <c r="E1039" s="23" t="s">
        <v>3695</v>
      </c>
      <c r="F1039" s="23" t="s">
        <v>5243</v>
      </c>
      <c r="G1039" s="22">
        <v>2003</v>
      </c>
      <c r="H1039" s="24">
        <v>37735</v>
      </c>
      <c r="I1039" s="23"/>
      <c r="J1039" s="23"/>
      <c r="K1039" s="26" t="s">
        <v>3708</v>
      </c>
      <c r="L1039" s="27"/>
      <c r="M1039" s="27"/>
    </row>
    <row r="1040" spans="1:13" ht="15.75" customHeight="1">
      <c r="A1040" s="22">
        <v>10762575</v>
      </c>
      <c r="B1040" s="23" t="s">
        <v>8437</v>
      </c>
      <c r="C1040" s="23" t="s">
        <v>8438</v>
      </c>
      <c r="D1040" s="23" t="s">
        <v>8439</v>
      </c>
      <c r="E1040" s="23" t="s">
        <v>651</v>
      </c>
      <c r="F1040" s="23" t="s">
        <v>4992</v>
      </c>
      <c r="G1040" s="22">
        <v>2000</v>
      </c>
      <c r="H1040" s="24">
        <v>36630</v>
      </c>
      <c r="I1040" s="23"/>
      <c r="J1040" s="23"/>
      <c r="K1040" s="26" t="s">
        <v>2454</v>
      </c>
      <c r="L1040" s="27"/>
      <c r="M1040" s="23"/>
    </row>
    <row r="1041" spans="1:13" ht="15.75" customHeight="1">
      <c r="A1041" s="22">
        <v>9455510</v>
      </c>
      <c r="B1041" s="23" t="s">
        <v>8440</v>
      </c>
      <c r="C1041" s="23" t="s">
        <v>8441</v>
      </c>
      <c r="D1041" s="23" t="s">
        <v>8442</v>
      </c>
      <c r="E1041" s="23" t="s">
        <v>1590</v>
      </c>
      <c r="F1041" s="23" t="s">
        <v>5080</v>
      </c>
      <c r="G1041" s="22">
        <v>1998</v>
      </c>
      <c r="H1041" s="24">
        <v>35836</v>
      </c>
      <c r="I1041" s="23"/>
      <c r="J1041" s="23"/>
      <c r="K1041" s="26" t="s">
        <v>1591</v>
      </c>
      <c r="L1041" s="27"/>
      <c r="M1041" s="23"/>
    </row>
    <row r="1042" spans="1:13" ht="15.75" customHeight="1">
      <c r="A1042" s="22">
        <v>26918962</v>
      </c>
      <c r="B1042" s="23" t="s">
        <v>8443</v>
      </c>
      <c r="C1042" s="23" t="s">
        <v>8444</v>
      </c>
      <c r="D1042" s="23" t="s">
        <v>8445</v>
      </c>
      <c r="E1042" s="23" t="s">
        <v>3911</v>
      </c>
      <c r="F1042" s="23" t="s">
        <v>4974</v>
      </c>
      <c r="G1042" s="22">
        <v>2016</v>
      </c>
      <c r="H1042" s="24">
        <v>42427</v>
      </c>
      <c r="I1042" s="23"/>
      <c r="J1042" s="23"/>
      <c r="K1042" s="26" t="s">
        <v>3912</v>
      </c>
      <c r="L1042" s="27"/>
      <c r="M1042" s="23"/>
    </row>
    <row r="1043" spans="1:13" ht="15.75" customHeight="1">
      <c r="A1043" s="22">
        <v>30414316</v>
      </c>
      <c r="B1043" s="23" t="s">
        <v>8446</v>
      </c>
      <c r="C1043" s="23" t="s">
        <v>8447</v>
      </c>
      <c r="D1043" s="23" t="s">
        <v>8448</v>
      </c>
      <c r="E1043" s="23" t="s">
        <v>663</v>
      </c>
      <c r="F1043" s="23" t="s">
        <v>4974</v>
      </c>
      <c r="G1043" s="22">
        <v>2019</v>
      </c>
      <c r="H1043" s="24">
        <v>43415</v>
      </c>
      <c r="I1043" s="23"/>
      <c r="J1043" s="23"/>
      <c r="K1043" s="26" t="s">
        <v>664</v>
      </c>
      <c r="L1043" s="27"/>
      <c r="M1043" s="23"/>
    </row>
    <row r="1044" spans="1:13" ht="15.75" customHeight="1">
      <c r="A1044" s="22">
        <v>22552456</v>
      </c>
      <c r="B1044" s="23" t="s">
        <v>8449</v>
      </c>
      <c r="C1044" s="23" t="s">
        <v>8450</v>
      </c>
      <c r="D1044" s="23" t="s">
        <v>8451</v>
      </c>
      <c r="E1044" s="23" t="s">
        <v>3932</v>
      </c>
      <c r="F1044" s="23" t="s">
        <v>8389</v>
      </c>
      <c r="G1044" s="22">
        <v>2012</v>
      </c>
      <c r="H1044" s="24">
        <v>41033</v>
      </c>
      <c r="I1044" s="23"/>
      <c r="J1044" s="23"/>
      <c r="K1044" s="26" t="s">
        <v>3933</v>
      </c>
      <c r="L1044" s="27"/>
      <c r="M1044" s="27"/>
    </row>
    <row r="1045" spans="1:13" ht="15.75" customHeight="1">
      <c r="A1045" s="22">
        <v>14966435</v>
      </c>
      <c r="B1045" s="23" t="s">
        <v>8452</v>
      </c>
      <c r="C1045" s="23" t="s">
        <v>8453</v>
      </c>
      <c r="D1045" s="23" t="s">
        <v>8454</v>
      </c>
      <c r="E1045" s="23" t="s">
        <v>3091</v>
      </c>
      <c r="F1045" s="23" t="s">
        <v>5445</v>
      </c>
      <c r="G1045" s="22">
        <v>2004</v>
      </c>
      <c r="H1045" s="24">
        <v>38035</v>
      </c>
      <c r="I1045" s="23"/>
      <c r="J1045" s="23"/>
      <c r="K1045" s="26" t="s">
        <v>3092</v>
      </c>
      <c r="L1045" s="27"/>
      <c r="M1045" s="27"/>
    </row>
    <row r="1046" spans="1:13" ht="15.75" customHeight="1">
      <c r="A1046" s="22">
        <v>29542206</v>
      </c>
      <c r="B1046" s="23" t="s">
        <v>8455</v>
      </c>
      <c r="C1046" s="23" t="s">
        <v>8456</v>
      </c>
      <c r="D1046" s="23" t="s">
        <v>8457</v>
      </c>
      <c r="E1046" s="23" t="s">
        <v>224</v>
      </c>
      <c r="F1046" s="23" t="s">
        <v>7613</v>
      </c>
      <c r="G1046" s="22">
        <v>2018</v>
      </c>
      <c r="H1046" s="24">
        <v>43175</v>
      </c>
      <c r="I1046" s="23"/>
      <c r="J1046" s="23"/>
      <c r="K1046" s="26" t="s">
        <v>356</v>
      </c>
      <c r="L1046" s="27"/>
      <c r="M1046" s="23"/>
    </row>
    <row r="1047" spans="1:13" ht="15.75" customHeight="1">
      <c r="A1047" s="22">
        <v>29022282</v>
      </c>
      <c r="B1047" s="23" t="s">
        <v>8458</v>
      </c>
      <c r="C1047" s="23" t="s">
        <v>8459</v>
      </c>
      <c r="D1047" s="23" t="s">
        <v>8460</v>
      </c>
      <c r="E1047" s="23" t="s">
        <v>936</v>
      </c>
      <c r="F1047" s="23" t="s">
        <v>4927</v>
      </c>
      <c r="G1047" s="22">
        <v>2018</v>
      </c>
      <c r="H1047" s="24">
        <v>43021</v>
      </c>
      <c r="I1047" s="23"/>
      <c r="J1047" s="23"/>
      <c r="K1047" s="26" t="s">
        <v>937</v>
      </c>
      <c r="L1047" s="27"/>
      <c r="M1047" s="27"/>
    </row>
    <row r="1048" spans="1:13" ht="15.75" customHeight="1">
      <c r="A1048" s="22">
        <v>18978824</v>
      </c>
      <c r="B1048" s="23" t="s">
        <v>8461</v>
      </c>
      <c r="C1048" s="23" t="s">
        <v>8462</v>
      </c>
      <c r="D1048" s="23" t="s">
        <v>8463</v>
      </c>
      <c r="E1048" s="23" t="s">
        <v>766</v>
      </c>
      <c r="F1048" s="23" t="s">
        <v>4863</v>
      </c>
      <c r="G1048" s="22">
        <v>2009</v>
      </c>
      <c r="H1048" s="24">
        <v>39756</v>
      </c>
      <c r="I1048" s="23"/>
      <c r="J1048" s="23"/>
      <c r="K1048" s="26" t="s">
        <v>767</v>
      </c>
      <c r="L1048" s="27"/>
      <c r="M1048" s="23"/>
    </row>
    <row r="1049" spans="1:13" ht="15.75" customHeight="1">
      <c r="A1049" s="22">
        <v>9153879</v>
      </c>
      <c r="B1049" s="23" t="s">
        <v>8464</v>
      </c>
      <c r="C1049" s="23" t="s">
        <v>8465</v>
      </c>
      <c r="D1049" s="23" t="s">
        <v>8466</v>
      </c>
      <c r="E1049" s="23" t="s">
        <v>2678</v>
      </c>
      <c r="F1049" s="23" t="s">
        <v>8467</v>
      </c>
      <c r="G1049" s="22">
        <v>1997</v>
      </c>
      <c r="H1049" s="24">
        <v>35491</v>
      </c>
      <c r="I1049" s="23"/>
      <c r="J1049" s="23"/>
      <c r="K1049" s="23"/>
      <c r="L1049" s="23"/>
      <c r="M1049" s="23"/>
    </row>
    <row r="1050" spans="1:13" ht="15.75" customHeight="1">
      <c r="A1050" s="22">
        <v>16019484</v>
      </c>
      <c r="B1050" s="23" t="s">
        <v>8468</v>
      </c>
      <c r="C1050" s="23" t="s">
        <v>8469</v>
      </c>
      <c r="D1050" s="23" t="s">
        <v>8470</v>
      </c>
      <c r="E1050" s="23" t="s">
        <v>4183</v>
      </c>
      <c r="F1050" s="23" t="s">
        <v>5099</v>
      </c>
      <c r="G1050" s="22">
        <v>2005</v>
      </c>
      <c r="H1050" s="24">
        <v>38549</v>
      </c>
      <c r="I1050" s="23"/>
      <c r="J1050" s="23"/>
      <c r="K1050" s="26" t="s">
        <v>4184</v>
      </c>
      <c r="L1050" s="27"/>
      <c r="M1050" s="27"/>
    </row>
    <row r="1051" spans="1:13" ht="15.75" customHeight="1">
      <c r="A1051" s="22">
        <v>23287444</v>
      </c>
      <c r="B1051" s="23" t="s">
        <v>8471</v>
      </c>
      <c r="C1051" s="23" t="s">
        <v>8472</v>
      </c>
      <c r="D1051" s="23" t="s">
        <v>8473</v>
      </c>
      <c r="E1051" s="23" t="s">
        <v>200</v>
      </c>
      <c r="F1051" s="23" t="s">
        <v>4896</v>
      </c>
      <c r="G1051" s="22">
        <v>2013</v>
      </c>
      <c r="H1051" s="24">
        <v>41279</v>
      </c>
      <c r="I1051" s="23"/>
      <c r="J1051" s="23"/>
      <c r="K1051" s="26" t="s">
        <v>1617</v>
      </c>
      <c r="L1051" s="27"/>
      <c r="M1051" s="27"/>
    </row>
    <row r="1052" spans="1:13" ht="15.75" customHeight="1">
      <c r="A1052" s="22">
        <v>11986964</v>
      </c>
      <c r="B1052" s="23" t="s">
        <v>8474</v>
      </c>
      <c r="C1052" s="23" t="s">
        <v>8475</v>
      </c>
      <c r="D1052" s="23" t="s">
        <v>8476</v>
      </c>
      <c r="E1052" s="23" t="s">
        <v>689</v>
      </c>
      <c r="F1052" s="23" t="s">
        <v>6382</v>
      </c>
      <c r="G1052" s="22">
        <v>2002</v>
      </c>
      <c r="H1052" s="24">
        <v>37379</v>
      </c>
      <c r="I1052" s="23"/>
      <c r="J1052" s="23"/>
      <c r="K1052" s="26" t="s">
        <v>690</v>
      </c>
      <c r="L1052" s="27"/>
      <c r="M1052" s="23"/>
    </row>
    <row r="1053" spans="1:13" ht="15.75" customHeight="1">
      <c r="A1053" s="22">
        <v>22564265</v>
      </c>
      <c r="B1053" s="23" t="s">
        <v>8477</v>
      </c>
      <c r="C1053" s="23" t="s">
        <v>8478</v>
      </c>
      <c r="D1053" s="23" t="s">
        <v>8479</v>
      </c>
      <c r="E1053" s="23" t="s">
        <v>221</v>
      </c>
      <c r="F1053" s="23" t="s">
        <v>5076</v>
      </c>
      <c r="G1053" s="22">
        <v>2012</v>
      </c>
      <c r="H1053" s="24">
        <v>41038</v>
      </c>
      <c r="I1053" s="23" t="s">
        <v>8480</v>
      </c>
      <c r="J1053" s="23" t="s">
        <v>8481</v>
      </c>
      <c r="K1053" s="26" t="s">
        <v>643</v>
      </c>
      <c r="L1053" s="27"/>
      <c r="M1053" s="27"/>
    </row>
    <row r="1054" spans="1:13" ht="15.75" customHeight="1">
      <c r="A1054" s="22">
        <v>19465942</v>
      </c>
      <c r="B1054" s="23" t="s">
        <v>8482</v>
      </c>
      <c r="C1054" s="23" t="s">
        <v>8483</v>
      </c>
      <c r="D1054" s="23" t="s">
        <v>8484</v>
      </c>
      <c r="E1054" s="23" t="s">
        <v>151</v>
      </c>
      <c r="F1054" s="23" t="s">
        <v>4863</v>
      </c>
      <c r="G1054" s="22">
        <v>2010</v>
      </c>
      <c r="H1054" s="24">
        <v>39959</v>
      </c>
      <c r="I1054" s="23"/>
      <c r="J1054" s="23"/>
      <c r="K1054" s="26" t="s">
        <v>804</v>
      </c>
      <c r="L1054" s="27"/>
      <c r="M1054" s="23"/>
    </row>
    <row r="1055" spans="1:13" ht="15.75" customHeight="1">
      <c r="A1055" s="22">
        <v>31053550</v>
      </c>
      <c r="B1055" s="23" t="s">
        <v>8485</v>
      </c>
      <c r="C1055" s="23" t="s">
        <v>8486</v>
      </c>
      <c r="D1055" s="23" t="s">
        <v>8487</v>
      </c>
      <c r="E1055" s="23" t="s">
        <v>854</v>
      </c>
      <c r="F1055" s="23" t="s">
        <v>8488</v>
      </c>
      <c r="G1055" s="22">
        <v>2019</v>
      </c>
      <c r="H1055" s="24">
        <v>43590</v>
      </c>
      <c r="I1055" s="23"/>
      <c r="J1055" s="23"/>
      <c r="K1055" s="26" t="s">
        <v>855</v>
      </c>
      <c r="L1055" s="27"/>
      <c r="M1055" s="27"/>
    </row>
    <row r="1056" spans="1:13" ht="15.75" customHeight="1">
      <c r="A1056" s="22">
        <v>7911957</v>
      </c>
      <c r="B1056" s="23" t="s">
        <v>8489</v>
      </c>
      <c r="C1056" s="23" t="s">
        <v>6073</v>
      </c>
      <c r="D1056" s="23" t="s">
        <v>8490</v>
      </c>
      <c r="E1056" s="23" t="s">
        <v>2724</v>
      </c>
      <c r="F1056" s="23" t="s">
        <v>6147</v>
      </c>
      <c r="G1056" s="22">
        <v>1994</v>
      </c>
      <c r="H1056" s="24">
        <v>34510</v>
      </c>
      <c r="I1056" s="23"/>
      <c r="J1056" s="23"/>
      <c r="K1056" s="23"/>
      <c r="L1056" s="23"/>
      <c r="M1056" s="23"/>
    </row>
    <row r="1057" spans="1:13" ht="15.75" customHeight="1">
      <c r="A1057" s="22">
        <v>35037602</v>
      </c>
      <c r="B1057" s="23" t="s">
        <v>8491</v>
      </c>
      <c r="C1057" s="23" t="s">
        <v>8492</v>
      </c>
      <c r="D1057" s="23" t="s">
        <v>8493</v>
      </c>
      <c r="E1057" s="23" t="s">
        <v>3885</v>
      </c>
      <c r="F1057" s="23" t="s">
        <v>5706</v>
      </c>
      <c r="G1057" s="22">
        <v>2022</v>
      </c>
      <c r="H1057" s="24">
        <v>44578</v>
      </c>
      <c r="I1057" s="23"/>
      <c r="J1057" s="23"/>
      <c r="K1057" s="26" t="s">
        <v>3886</v>
      </c>
      <c r="L1057" s="27"/>
      <c r="M1057" s="23"/>
    </row>
    <row r="1058" spans="1:13" ht="15.75" customHeight="1">
      <c r="A1058" s="22">
        <v>14625584</v>
      </c>
      <c r="B1058" s="23" t="s">
        <v>8494</v>
      </c>
      <c r="C1058" s="23" t="s">
        <v>8495</v>
      </c>
      <c r="D1058" s="23" t="s">
        <v>8496</v>
      </c>
      <c r="E1058" s="23" t="s">
        <v>783</v>
      </c>
      <c r="F1058" s="23" t="s">
        <v>4863</v>
      </c>
      <c r="G1058" s="22">
        <v>2003</v>
      </c>
      <c r="H1058" s="24">
        <v>37945</v>
      </c>
      <c r="I1058" s="23"/>
      <c r="J1058" s="23"/>
      <c r="K1058" s="26" t="s">
        <v>784</v>
      </c>
      <c r="L1058" s="27"/>
      <c r="M1058" s="23"/>
    </row>
    <row r="1059" spans="1:13" ht="15.75" customHeight="1">
      <c r="A1059" s="22">
        <v>18679368</v>
      </c>
      <c r="B1059" s="23" t="s">
        <v>8497</v>
      </c>
      <c r="C1059" s="23" t="s">
        <v>8498</v>
      </c>
      <c r="D1059" s="23" t="s">
        <v>8499</v>
      </c>
      <c r="E1059" s="23" t="s">
        <v>726</v>
      </c>
      <c r="F1059" s="23" t="s">
        <v>4863</v>
      </c>
      <c r="G1059" s="22">
        <v>2008</v>
      </c>
      <c r="H1059" s="24">
        <v>39666</v>
      </c>
      <c r="I1059" s="23"/>
      <c r="J1059" s="23"/>
      <c r="K1059" s="26" t="s">
        <v>727</v>
      </c>
      <c r="L1059" s="27"/>
      <c r="M1059" s="23"/>
    </row>
    <row r="1060" spans="1:13" ht="15.75" customHeight="1">
      <c r="A1060" s="22">
        <v>10534732</v>
      </c>
      <c r="B1060" s="23" t="s">
        <v>8500</v>
      </c>
      <c r="C1060" s="23" t="s">
        <v>8501</v>
      </c>
      <c r="D1060" s="23" t="s">
        <v>8502</v>
      </c>
      <c r="E1060" s="23" t="s">
        <v>2214</v>
      </c>
      <c r="F1060" s="23" t="s">
        <v>4923</v>
      </c>
      <c r="G1060" s="22">
        <v>1999</v>
      </c>
      <c r="H1060" s="24">
        <v>36460</v>
      </c>
      <c r="I1060" s="23"/>
      <c r="J1060" s="23"/>
      <c r="K1060" s="26" t="s">
        <v>2217</v>
      </c>
      <c r="L1060" s="27"/>
      <c r="M1060" s="27"/>
    </row>
    <row r="1061" spans="1:13" ht="15.75" customHeight="1">
      <c r="A1061" s="22">
        <v>24601914</v>
      </c>
      <c r="B1061" s="23" t="s">
        <v>8503</v>
      </c>
      <c r="C1061" s="23" t="s">
        <v>8504</v>
      </c>
      <c r="D1061" s="23" t="s">
        <v>8505</v>
      </c>
      <c r="E1061" s="23" t="s">
        <v>3438</v>
      </c>
      <c r="F1061" s="23" t="s">
        <v>7207</v>
      </c>
      <c r="G1061" s="22">
        <v>2014</v>
      </c>
      <c r="H1061" s="24">
        <v>41706</v>
      </c>
      <c r="I1061" s="23"/>
      <c r="J1061" s="23"/>
      <c r="K1061" s="26" t="s">
        <v>3439</v>
      </c>
      <c r="L1061" s="27"/>
      <c r="M1061" s="23"/>
    </row>
    <row r="1062" spans="1:13" ht="15.75" customHeight="1">
      <c r="A1062" s="22">
        <v>7893982</v>
      </c>
      <c r="B1062" s="23" t="s">
        <v>8506</v>
      </c>
      <c r="C1062" s="23" t="s">
        <v>8507</v>
      </c>
      <c r="D1062" s="23" t="s">
        <v>8508</v>
      </c>
      <c r="E1062" s="23" t="s">
        <v>1063</v>
      </c>
      <c r="F1062" s="23" t="s">
        <v>4954</v>
      </c>
      <c r="G1062" s="22">
        <v>1994</v>
      </c>
      <c r="H1062" s="24">
        <v>34516</v>
      </c>
      <c r="I1062" s="23"/>
      <c r="J1062" s="23"/>
      <c r="K1062" s="23"/>
      <c r="L1062" s="23"/>
      <c r="M1062" s="23"/>
    </row>
    <row r="1063" spans="1:13" ht="15.75" customHeight="1">
      <c r="A1063" s="22">
        <v>17151208</v>
      </c>
      <c r="B1063" s="23" t="s">
        <v>8509</v>
      </c>
      <c r="C1063" s="23" t="s">
        <v>8510</v>
      </c>
      <c r="D1063" s="23" t="s">
        <v>8511</v>
      </c>
      <c r="E1063" s="23" t="s">
        <v>1281</v>
      </c>
      <c r="F1063" s="23" t="s">
        <v>5331</v>
      </c>
      <c r="G1063" s="22">
        <v>2007</v>
      </c>
      <c r="H1063" s="24">
        <v>39059</v>
      </c>
      <c r="I1063" s="26" t="s">
        <v>8512</v>
      </c>
      <c r="J1063" s="27"/>
      <c r="K1063" s="26" t="s">
        <v>1282</v>
      </c>
      <c r="L1063" s="27"/>
      <c r="M1063" s="23"/>
    </row>
    <row r="1064" spans="1:13" ht="15.75" customHeight="1">
      <c r="A1064" s="22">
        <v>29975251</v>
      </c>
      <c r="B1064" s="23" t="s">
        <v>8513</v>
      </c>
      <c r="C1064" s="23" t="s">
        <v>8514</v>
      </c>
      <c r="D1064" s="23" t="s">
        <v>8515</v>
      </c>
      <c r="E1064" s="23" t="s">
        <v>1259</v>
      </c>
      <c r="F1064" s="23" t="s">
        <v>8516</v>
      </c>
      <c r="G1064" s="22">
        <v>2018</v>
      </c>
      <c r="H1064" s="24">
        <v>43287</v>
      </c>
      <c r="I1064" s="23" t="s">
        <v>8517</v>
      </c>
      <c r="J1064" s="23" t="s">
        <v>8518</v>
      </c>
      <c r="K1064" s="26" t="s">
        <v>1260</v>
      </c>
      <c r="L1064" s="27"/>
      <c r="M1064" s="27"/>
    </row>
    <row r="1065" spans="1:13" ht="15.75" customHeight="1">
      <c r="A1065" s="22">
        <v>8617868</v>
      </c>
      <c r="B1065" s="23" t="s">
        <v>8519</v>
      </c>
      <c r="C1065" s="23" t="s">
        <v>8520</v>
      </c>
      <c r="D1065" s="23" t="s">
        <v>8521</v>
      </c>
      <c r="E1065" s="23" t="s">
        <v>2051</v>
      </c>
      <c r="F1065" s="23" t="s">
        <v>8522</v>
      </c>
      <c r="G1065" s="22">
        <v>1996</v>
      </c>
      <c r="H1065" s="24">
        <v>35139</v>
      </c>
      <c r="I1065" s="23" t="s">
        <v>8523</v>
      </c>
      <c r="J1065" s="23"/>
      <c r="K1065" s="26" t="s">
        <v>2059</v>
      </c>
      <c r="L1065" s="27"/>
      <c r="M1065" s="23"/>
    </row>
    <row r="1066" spans="1:13" ht="15.75" customHeight="1">
      <c r="A1066" s="22">
        <v>11243630</v>
      </c>
      <c r="B1066" s="23" t="s">
        <v>8524</v>
      </c>
      <c r="C1066" s="23" t="s">
        <v>8525</v>
      </c>
      <c r="D1066" s="23" t="s">
        <v>8526</v>
      </c>
      <c r="E1066" s="23" t="s">
        <v>2716</v>
      </c>
      <c r="F1066" s="23" t="s">
        <v>6990</v>
      </c>
      <c r="G1066" s="22">
        <v>2000</v>
      </c>
      <c r="H1066" s="24">
        <v>36963</v>
      </c>
      <c r="I1066" s="23"/>
      <c r="J1066" s="23"/>
      <c r="K1066" s="26" t="s">
        <v>2717</v>
      </c>
      <c r="L1066" s="27"/>
      <c r="M1066" s="27"/>
    </row>
    <row r="1067" spans="1:13" ht="15.75" customHeight="1">
      <c r="A1067" s="22">
        <v>20832191</v>
      </c>
      <c r="B1067" s="23" t="s">
        <v>8527</v>
      </c>
      <c r="C1067" s="23" t="s">
        <v>4956</v>
      </c>
      <c r="D1067" s="23" t="s">
        <v>8528</v>
      </c>
      <c r="E1067" s="23" t="s">
        <v>1118</v>
      </c>
      <c r="F1067" s="23" t="s">
        <v>8060</v>
      </c>
      <c r="G1067" s="22">
        <v>2011</v>
      </c>
      <c r="H1067" s="24">
        <v>40435</v>
      </c>
      <c r="I1067" s="23"/>
      <c r="J1067" s="23"/>
      <c r="K1067" s="26" t="s">
        <v>1128</v>
      </c>
      <c r="L1067" s="27"/>
      <c r="M1067" s="27"/>
    </row>
    <row r="1068" spans="1:13" ht="15.75" customHeight="1">
      <c r="A1068" s="22">
        <v>30351743</v>
      </c>
      <c r="B1068" s="23" t="s">
        <v>8529</v>
      </c>
      <c r="C1068" s="23" t="s">
        <v>8530</v>
      </c>
      <c r="D1068" s="23" t="s">
        <v>8531</v>
      </c>
      <c r="E1068" s="23" t="s">
        <v>4294</v>
      </c>
      <c r="F1068" s="23" t="s">
        <v>7712</v>
      </c>
      <c r="G1068" s="22">
        <v>2016</v>
      </c>
      <c r="H1068" s="24">
        <v>43397</v>
      </c>
      <c r="I1068" s="23"/>
      <c r="J1068" s="23"/>
      <c r="K1068" s="23"/>
      <c r="L1068" s="23"/>
      <c r="M1068" s="23"/>
    </row>
    <row r="1069" spans="1:13" ht="15.75" customHeight="1">
      <c r="A1069" s="22">
        <v>21620128</v>
      </c>
      <c r="B1069" s="23" t="s">
        <v>8532</v>
      </c>
      <c r="C1069" s="23" t="s">
        <v>8533</v>
      </c>
      <c r="D1069" s="23" t="s">
        <v>8534</v>
      </c>
      <c r="E1069" s="23" t="s">
        <v>3863</v>
      </c>
      <c r="F1069" s="23" t="s">
        <v>5696</v>
      </c>
      <c r="G1069" s="22">
        <v>2011</v>
      </c>
      <c r="H1069" s="24">
        <v>40694</v>
      </c>
      <c r="I1069" s="23"/>
      <c r="J1069" s="23"/>
      <c r="K1069" s="26" t="s">
        <v>3866</v>
      </c>
      <c r="L1069" s="27"/>
      <c r="M1069" s="27"/>
    </row>
    <row r="1070" spans="1:13" ht="15.75" customHeight="1">
      <c r="A1070" s="22">
        <v>12073575</v>
      </c>
      <c r="B1070" s="23" t="s">
        <v>8535</v>
      </c>
      <c r="C1070" s="23" t="s">
        <v>8536</v>
      </c>
      <c r="D1070" s="23" t="s">
        <v>8537</v>
      </c>
      <c r="E1070" s="23" t="s">
        <v>4588</v>
      </c>
      <c r="F1070" s="23" t="s">
        <v>6675</v>
      </c>
      <c r="G1070" s="22">
        <v>2002</v>
      </c>
      <c r="H1070" s="24">
        <v>37428</v>
      </c>
      <c r="I1070" s="23"/>
      <c r="J1070" s="23"/>
      <c r="K1070" s="26" t="s">
        <v>4589</v>
      </c>
      <c r="L1070" s="27"/>
      <c r="M1070" s="27"/>
    </row>
    <row r="1071" spans="1:13" ht="15.75" customHeight="1">
      <c r="A1071" s="22">
        <v>19935727</v>
      </c>
      <c r="B1071" s="23" t="s">
        <v>8538</v>
      </c>
      <c r="C1071" s="23" t="s">
        <v>8539</v>
      </c>
      <c r="D1071" s="23" t="s">
        <v>8540</v>
      </c>
      <c r="E1071" s="23" t="s">
        <v>200</v>
      </c>
      <c r="F1071" s="23" t="s">
        <v>4863</v>
      </c>
      <c r="G1071" s="22">
        <v>2010</v>
      </c>
      <c r="H1071" s="24">
        <v>40143</v>
      </c>
      <c r="I1071" s="23"/>
      <c r="J1071" s="23"/>
      <c r="K1071" s="26" t="s">
        <v>314</v>
      </c>
      <c r="L1071" s="27"/>
      <c r="M1071" s="23"/>
    </row>
    <row r="1072" spans="1:13" ht="15.75" customHeight="1">
      <c r="A1072" s="22">
        <v>21794043</v>
      </c>
      <c r="B1072" s="23" t="s">
        <v>8541</v>
      </c>
      <c r="C1072" s="23" t="s">
        <v>8542</v>
      </c>
      <c r="D1072" s="23" t="s">
        <v>8543</v>
      </c>
      <c r="E1072" s="23" t="s">
        <v>186</v>
      </c>
      <c r="F1072" s="23" t="s">
        <v>4974</v>
      </c>
      <c r="G1072" s="22">
        <v>2012</v>
      </c>
      <c r="H1072" s="24">
        <v>40753</v>
      </c>
      <c r="I1072" s="23"/>
      <c r="J1072" s="23"/>
      <c r="K1072" s="26" t="s">
        <v>667</v>
      </c>
      <c r="L1072" s="27"/>
      <c r="M1072" s="27"/>
    </row>
    <row r="1073" spans="1:13" ht="15.75" customHeight="1">
      <c r="A1073" s="22">
        <v>21805894</v>
      </c>
      <c r="B1073" s="23" t="s">
        <v>8544</v>
      </c>
      <c r="C1073" s="23" t="s">
        <v>8545</v>
      </c>
      <c r="D1073" s="23" t="s">
        <v>8546</v>
      </c>
      <c r="E1073" s="23" t="s">
        <v>2875</v>
      </c>
      <c r="F1073" s="23" t="s">
        <v>8547</v>
      </c>
      <c r="G1073" s="22">
        <v>2011</v>
      </c>
      <c r="H1073" s="24">
        <v>40758</v>
      </c>
      <c r="I1073" s="23"/>
      <c r="J1073" s="23"/>
      <c r="K1073" s="23"/>
      <c r="L1073" s="23"/>
      <c r="M1073" s="23"/>
    </row>
    <row r="1074" spans="1:13" ht="15.75" customHeight="1">
      <c r="A1074" s="22">
        <v>1317489</v>
      </c>
      <c r="B1074" s="23" t="s">
        <v>8548</v>
      </c>
      <c r="C1074" s="23" t="s">
        <v>8549</v>
      </c>
      <c r="D1074" s="23" t="s">
        <v>8550</v>
      </c>
      <c r="E1074" s="23" t="s">
        <v>4157</v>
      </c>
      <c r="F1074" s="23" t="s">
        <v>6382</v>
      </c>
      <c r="G1074" s="22">
        <v>1992</v>
      </c>
      <c r="H1074" s="24">
        <v>33725</v>
      </c>
      <c r="I1074" s="23"/>
      <c r="J1074" s="23"/>
      <c r="K1074" s="23"/>
      <c r="L1074" s="23"/>
      <c r="M1074" s="23"/>
    </row>
    <row r="1075" spans="1:13" ht="15.75" customHeight="1">
      <c r="A1075" s="22">
        <v>37515280</v>
      </c>
      <c r="B1075" s="23" t="s">
        <v>8551</v>
      </c>
      <c r="C1075" s="23" t="s">
        <v>8552</v>
      </c>
      <c r="D1075" s="23" t="s">
        <v>8553</v>
      </c>
      <c r="E1075" s="23" t="s">
        <v>3104</v>
      </c>
      <c r="F1075" s="23" t="s">
        <v>4842</v>
      </c>
      <c r="G1075" s="22">
        <v>2023</v>
      </c>
      <c r="H1075" s="24">
        <v>45136</v>
      </c>
      <c r="I1075" s="26" t="s">
        <v>8554</v>
      </c>
      <c r="J1075" s="27"/>
      <c r="K1075" s="26" t="s">
        <v>3105</v>
      </c>
      <c r="L1075" s="27"/>
      <c r="M1075" s="23"/>
    </row>
    <row r="1076" spans="1:13" ht="15.75" customHeight="1">
      <c r="A1076" s="22">
        <v>1337560</v>
      </c>
      <c r="B1076" s="23" t="s">
        <v>8555</v>
      </c>
      <c r="C1076" s="23" t="s">
        <v>8556</v>
      </c>
      <c r="D1076" s="23" t="s">
        <v>8557</v>
      </c>
      <c r="E1076" s="23" t="s">
        <v>3381</v>
      </c>
      <c r="F1076" s="23" t="s">
        <v>5031</v>
      </c>
      <c r="G1076" s="22">
        <v>1992</v>
      </c>
      <c r="H1076" s="24">
        <v>33909</v>
      </c>
      <c r="I1076" s="23"/>
      <c r="J1076" s="23"/>
      <c r="K1076" s="23"/>
      <c r="L1076" s="23"/>
      <c r="M1076" s="23"/>
    </row>
    <row r="1077" spans="1:13" ht="15.75" customHeight="1">
      <c r="A1077" s="22">
        <v>16365449</v>
      </c>
      <c r="B1077" s="23" t="s">
        <v>8558</v>
      </c>
      <c r="C1077" s="23" t="s">
        <v>8559</v>
      </c>
      <c r="D1077" s="23" t="s">
        <v>8560</v>
      </c>
      <c r="E1077" s="23" t="s">
        <v>1865</v>
      </c>
      <c r="F1077" s="23" t="s">
        <v>6293</v>
      </c>
      <c r="G1077" s="22">
        <v>2006</v>
      </c>
      <c r="H1077" s="24">
        <v>38707</v>
      </c>
      <c r="I1077" s="23"/>
      <c r="J1077" s="23"/>
      <c r="K1077" s="26" t="s">
        <v>1866</v>
      </c>
      <c r="L1077" s="27"/>
      <c r="M1077" s="27"/>
    </row>
    <row r="1078" spans="1:13" ht="15.75" customHeight="1">
      <c r="A1078" s="22">
        <v>26226409</v>
      </c>
      <c r="B1078" s="23" t="s">
        <v>8561</v>
      </c>
      <c r="C1078" s="23" t="s">
        <v>8562</v>
      </c>
      <c r="D1078" s="23" t="s">
        <v>8563</v>
      </c>
      <c r="E1078" s="23" t="s">
        <v>457</v>
      </c>
      <c r="F1078" s="23" t="s">
        <v>5076</v>
      </c>
      <c r="G1078" s="22">
        <v>2015</v>
      </c>
      <c r="H1078" s="24">
        <v>42216</v>
      </c>
      <c r="I1078" s="23"/>
      <c r="J1078" s="23"/>
      <c r="K1078" s="26" t="s">
        <v>458</v>
      </c>
      <c r="L1078" s="27"/>
      <c r="M1078" s="27"/>
    </row>
    <row r="1079" spans="1:13" ht="15.75" customHeight="1">
      <c r="A1079" s="22">
        <v>12829900</v>
      </c>
      <c r="B1079" s="23" t="s">
        <v>8564</v>
      </c>
      <c r="C1079" s="23" t="s">
        <v>8565</v>
      </c>
      <c r="D1079" s="23" t="s">
        <v>8566</v>
      </c>
      <c r="E1079" s="23" t="s">
        <v>2535</v>
      </c>
      <c r="F1079" s="23" t="s">
        <v>5445</v>
      </c>
      <c r="G1079" s="22">
        <v>2003</v>
      </c>
      <c r="H1079" s="24">
        <v>37800</v>
      </c>
      <c r="I1079" s="23"/>
      <c r="J1079" s="23"/>
      <c r="K1079" s="26" t="s">
        <v>2536</v>
      </c>
      <c r="L1079" s="27"/>
      <c r="M1079" s="27"/>
    </row>
    <row r="1080" spans="1:13" ht="15.75" customHeight="1">
      <c r="A1080" s="22">
        <v>16679694</v>
      </c>
      <c r="B1080" s="23" t="s">
        <v>8567</v>
      </c>
      <c r="C1080" s="23" t="s">
        <v>6689</v>
      </c>
      <c r="D1080" s="23" t="s">
        <v>8568</v>
      </c>
      <c r="E1080" s="23" t="s">
        <v>195</v>
      </c>
      <c r="F1080" s="23" t="s">
        <v>8569</v>
      </c>
      <c r="G1080" s="22">
        <v>2006</v>
      </c>
      <c r="H1080" s="24">
        <v>38846</v>
      </c>
      <c r="I1080" s="23"/>
      <c r="J1080" s="23"/>
      <c r="K1080" s="26" t="s">
        <v>4667</v>
      </c>
      <c r="L1080" s="27"/>
      <c r="M1080" s="27"/>
    </row>
    <row r="1081" spans="1:13" ht="15.75" customHeight="1">
      <c r="A1081" s="22">
        <v>19937484</v>
      </c>
      <c r="B1081" s="23" t="s">
        <v>8570</v>
      </c>
      <c r="C1081" s="23" t="s">
        <v>8571</v>
      </c>
      <c r="D1081" s="23" t="s">
        <v>8572</v>
      </c>
      <c r="E1081" s="23" t="s">
        <v>3347</v>
      </c>
      <c r="F1081" s="23" t="s">
        <v>4927</v>
      </c>
      <c r="G1081" s="22">
        <v>2009</v>
      </c>
      <c r="H1081" s="24">
        <v>40143</v>
      </c>
      <c r="I1081" s="23"/>
      <c r="J1081" s="23"/>
      <c r="K1081" s="26" t="s">
        <v>3348</v>
      </c>
      <c r="L1081" s="27"/>
      <c r="M1081" s="27"/>
    </row>
    <row r="1082" spans="1:13" ht="15.75" customHeight="1">
      <c r="A1082" s="22">
        <v>19222466</v>
      </c>
      <c r="B1082" s="23" t="s">
        <v>8573</v>
      </c>
      <c r="C1082" s="23" t="s">
        <v>8574</v>
      </c>
      <c r="D1082" s="23" t="s">
        <v>8575</v>
      </c>
      <c r="E1082" s="23" t="s">
        <v>2437</v>
      </c>
      <c r="F1082" s="23" t="s">
        <v>5211</v>
      </c>
      <c r="G1082" s="22">
        <v>2009</v>
      </c>
      <c r="H1082" s="24">
        <v>39863</v>
      </c>
      <c r="I1082" s="23"/>
      <c r="J1082" s="23"/>
      <c r="K1082" s="26" t="s">
        <v>2444</v>
      </c>
      <c r="L1082" s="27"/>
      <c r="M1082" s="27"/>
    </row>
    <row r="1083" spans="1:13" ht="15.75" customHeight="1">
      <c r="A1083" s="22">
        <v>33533228</v>
      </c>
      <c r="B1083" s="23" t="s">
        <v>8576</v>
      </c>
      <c r="C1083" s="23" t="s">
        <v>8577</v>
      </c>
      <c r="D1083" s="23" t="s">
        <v>8578</v>
      </c>
      <c r="E1083" s="23" t="s">
        <v>2841</v>
      </c>
      <c r="F1083" s="23" t="s">
        <v>7389</v>
      </c>
      <c r="G1083" s="22">
        <v>2021</v>
      </c>
      <c r="H1083" s="24">
        <v>44230</v>
      </c>
      <c r="I1083" s="23"/>
      <c r="J1083" s="23"/>
      <c r="K1083" s="26" t="s">
        <v>2842</v>
      </c>
      <c r="L1083" s="27"/>
      <c r="M1083" s="27"/>
    </row>
    <row r="1084" spans="1:13" ht="15.75" customHeight="1">
      <c r="A1084" s="22">
        <v>18310542</v>
      </c>
      <c r="B1084" s="23" t="s">
        <v>8579</v>
      </c>
      <c r="C1084" s="23" t="s">
        <v>8580</v>
      </c>
      <c r="D1084" s="23" t="s">
        <v>8581</v>
      </c>
      <c r="E1084" s="23" t="s">
        <v>4142</v>
      </c>
      <c r="F1084" s="23" t="s">
        <v>6289</v>
      </c>
      <c r="G1084" s="22">
        <v>2008</v>
      </c>
      <c r="H1084" s="24">
        <v>39511</v>
      </c>
      <c r="I1084" s="23"/>
      <c r="J1084" s="23"/>
      <c r="K1084" s="26" t="s">
        <v>4143</v>
      </c>
      <c r="L1084" s="27"/>
      <c r="M1084" s="23"/>
    </row>
    <row r="1085" spans="1:13" ht="15.75" customHeight="1">
      <c r="A1085" s="22">
        <v>14624112</v>
      </c>
      <c r="B1085" s="23" t="s">
        <v>8582</v>
      </c>
      <c r="C1085" s="23" t="s">
        <v>6689</v>
      </c>
      <c r="D1085" s="23" t="s">
        <v>8583</v>
      </c>
      <c r="E1085" s="23" t="s">
        <v>195</v>
      </c>
      <c r="F1085" s="23" t="s">
        <v>5035</v>
      </c>
      <c r="G1085" s="22">
        <v>2003</v>
      </c>
      <c r="H1085" s="24">
        <v>37944</v>
      </c>
      <c r="I1085" s="23"/>
      <c r="J1085" s="23"/>
      <c r="K1085" s="26" t="s">
        <v>4669</v>
      </c>
      <c r="L1085" s="27"/>
      <c r="M1085" s="27"/>
    </row>
    <row r="1086" spans="1:13" ht="15.75" customHeight="1">
      <c r="A1086" s="22">
        <v>12098068</v>
      </c>
      <c r="B1086" s="23" t="s">
        <v>8584</v>
      </c>
      <c r="C1086" s="23" t="s">
        <v>8585</v>
      </c>
      <c r="D1086" s="23" t="s">
        <v>8586</v>
      </c>
      <c r="E1086" s="23" t="s">
        <v>1630</v>
      </c>
      <c r="F1086" s="23" t="s">
        <v>4863</v>
      </c>
      <c r="G1086" s="22">
        <v>2002</v>
      </c>
      <c r="H1086" s="24">
        <v>37442</v>
      </c>
      <c r="I1086" s="23"/>
      <c r="J1086" s="23"/>
      <c r="K1086" s="26" t="s">
        <v>1631</v>
      </c>
      <c r="L1086" s="27"/>
      <c r="M1086" s="23"/>
    </row>
    <row r="1087" spans="1:13" ht="15.75" customHeight="1">
      <c r="A1087" s="22">
        <v>34696402</v>
      </c>
      <c r="B1087" s="23" t="s">
        <v>8587</v>
      </c>
      <c r="C1087" s="23" t="s">
        <v>8588</v>
      </c>
      <c r="D1087" s="23" t="s">
        <v>8589</v>
      </c>
      <c r="E1087" s="23" t="s">
        <v>4204</v>
      </c>
      <c r="F1087" s="23" t="s">
        <v>4842</v>
      </c>
      <c r="G1087" s="22">
        <v>2021</v>
      </c>
      <c r="H1087" s="24">
        <v>44495</v>
      </c>
      <c r="I1087" s="26" t="s">
        <v>8590</v>
      </c>
      <c r="J1087" s="27"/>
      <c r="K1087" s="26" t="s">
        <v>4205</v>
      </c>
      <c r="L1087" s="27"/>
      <c r="M1087" s="23"/>
    </row>
    <row r="1088" spans="1:13" ht="15.75" customHeight="1">
      <c r="A1088" s="22">
        <v>16176416</v>
      </c>
      <c r="B1088" s="23" t="s">
        <v>8591</v>
      </c>
      <c r="C1088" s="23" t="s">
        <v>8592</v>
      </c>
      <c r="D1088" s="23" t="s">
        <v>8593</v>
      </c>
      <c r="E1088" s="23" t="s">
        <v>3941</v>
      </c>
      <c r="F1088" s="23" t="s">
        <v>5543</v>
      </c>
      <c r="G1088" s="22">
        <v>2005</v>
      </c>
      <c r="H1088" s="24">
        <v>38619</v>
      </c>
      <c r="I1088" s="23"/>
      <c r="J1088" s="23"/>
      <c r="K1088" s="26" t="s">
        <v>3942</v>
      </c>
      <c r="L1088" s="27"/>
      <c r="M1088" s="27"/>
    </row>
    <row r="1089" spans="1:13" ht="15.75" customHeight="1">
      <c r="A1089" s="22">
        <v>9177444</v>
      </c>
      <c r="B1089" s="23" t="s">
        <v>8594</v>
      </c>
      <c r="C1089" s="23" t="s">
        <v>8595</v>
      </c>
      <c r="D1089" s="23" t="s">
        <v>8596</v>
      </c>
      <c r="E1089" s="23" t="s">
        <v>1764</v>
      </c>
      <c r="F1089" s="23" t="s">
        <v>6382</v>
      </c>
      <c r="G1089" s="22">
        <v>1997</v>
      </c>
      <c r="H1089" s="24">
        <v>35582</v>
      </c>
      <c r="I1089" s="23"/>
      <c r="J1089" s="23"/>
      <c r="K1089" s="26" t="s">
        <v>1767</v>
      </c>
      <c r="L1089" s="27"/>
      <c r="M1089" s="23"/>
    </row>
    <row r="1090" spans="1:13" ht="15.75" customHeight="1">
      <c r="A1090" s="22">
        <v>30014227</v>
      </c>
      <c r="B1090" s="23" t="s">
        <v>8597</v>
      </c>
      <c r="C1090" s="23" t="s">
        <v>8598</v>
      </c>
      <c r="D1090" s="23" t="s">
        <v>8599</v>
      </c>
      <c r="E1090" s="23" t="s">
        <v>905</v>
      </c>
      <c r="F1090" s="23" t="s">
        <v>4927</v>
      </c>
      <c r="G1090" s="22">
        <v>2018</v>
      </c>
      <c r="H1090" s="24">
        <v>43299</v>
      </c>
      <c r="I1090" s="23"/>
      <c r="J1090" s="23"/>
      <c r="K1090" s="26" t="s">
        <v>908</v>
      </c>
      <c r="L1090" s="27"/>
      <c r="M1090" s="27"/>
    </row>
    <row r="1091" spans="1:13" ht="15.75" customHeight="1">
      <c r="A1091" s="22">
        <v>24335203</v>
      </c>
      <c r="B1091" s="23" t="s">
        <v>8600</v>
      </c>
      <c r="C1091" s="23" t="s">
        <v>8601</v>
      </c>
      <c r="D1091" s="23" t="s">
        <v>8602</v>
      </c>
      <c r="E1091" s="23" t="s">
        <v>1905</v>
      </c>
      <c r="F1091" s="23" t="s">
        <v>8291</v>
      </c>
      <c r="G1091" s="22">
        <v>2014</v>
      </c>
      <c r="H1091" s="24">
        <v>41625</v>
      </c>
      <c r="I1091" s="23"/>
      <c r="J1091" s="23"/>
      <c r="K1091" s="26" t="s">
        <v>1916</v>
      </c>
      <c r="L1091" s="27"/>
      <c r="M1091" s="23"/>
    </row>
    <row r="1092" spans="1:13" ht="15.75" customHeight="1">
      <c r="A1092" s="22">
        <v>11926744</v>
      </c>
      <c r="B1092" s="23" t="s">
        <v>8603</v>
      </c>
      <c r="C1092" s="23" t="s">
        <v>8604</v>
      </c>
      <c r="D1092" s="23" t="s">
        <v>8605</v>
      </c>
      <c r="E1092" s="23" t="s">
        <v>3540</v>
      </c>
      <c r="F1092" s="23" t="s">
        <v>4974</v>
      </c>
      <c r="G1092" s="22">
        <v>2001</v>
      </c>
      <c r="H1092" s="24">
        <v>37349</v>
      </c>
      <c r="I1092" s="23"/>
      <c r="J1092" s="23"/>
      <c r="K1092" s="26" t="s">
        <v>3541</v>
      </c>
      <c r="L1092" s="27"/>
      <c r="M1092" s="27"/>
    </row>
    <row r="1093" spans="1:13" ht="15.75" customHeight="1">
      <c r="A1093" s="22">
        <v>10483141</v>
      </c>
      <c r="B1093" s="23" t="s">
        <v>8606</v>
      </c>
      <c r="C1093" s="23" t="s">
        <v>8607</v>
      </c>
      <c r="D1093" s="23" t="s">
        <v>8608</v>
      </c>
      <c r="E1093" s="23" t="s">
        <v>2311</v>
      </c>
      <c r="F1093" s="23" t="s">
        <v>5047</v>
      </c>
      <c r="G1093" s="22">
        <v>1999</v>
      </c>
      <c r="H1093" s="24">
        <v>36417</v>
      </c>
      <c r="I1093" s="23"/>
      <c r="J1093" s="23"/>
      <c r="K1093" s="23"/>
      <c r="L1093" s="23"/>
      <c r="M1093" s="23"/>
    </row>
    <row r="1094" spans="1:13" ht="15.75" customHeight="1">
      <c r="A1094" s="22">
        <v>20466275</v>
      </c>
      <c r="B1094" s="23" t="s">
        <v>8609</v>
      </c>
      <c r="C1094" s="23" t="s">
        <v>8610</v>
      </c>
      <c r="D1094" s="23" t="s">
        <v>8611</v>
      </c>
      <c r="E1094" s="23" t="s">
        <v>3973</v>
      </c>
      <c r="F1094" s="23" t="s">
        <v>8612</v>
      </c>
      <c r="G1094" s="22">
        <v>2010</v>
      </c>
      <c r="H1094" s="24">
        <v>40313</v>
      </c>
      <c r="I1094" s="23"/>
      <c r="J1094" s="23"/>
      <c r="K1094" s="26" t="s">
        <v>3974</v>
      </c>
      <c r="L1094" s="27"/>
      <c r="M1094" s="27"/>
    </row>
    <row r="1095" spans="1:13" ht="15.75" customHeight="1">
      <c r="A1095" s="22">
        <v>20956957</v>
      </c>
      <c r="B1095" s="23" t="s">
        <v>8613</v>
      </c>
      <c r="C1095" s="23" t="s">
        <v>8614</v>
      </c>
      <c r="D1095" s="23" t="s">
        <v>8615</v>
      </c>
      <c r="E1095" s="23" t="s">
        <v>505</v>
      </c>
      <c r="F1095" s="23" t="s">
        <v>4863</v>
      </c>
      <c r="G1095" s="22">
        <v>2011</v>
      </c>
      <c r="H1095" s="24">
        <v>40471</v>
      </c>
      <c r="I1095" s="23"/>
      <c r="J1095" s="23"/>
      <c r="K1095" s="26" t="s">
        <v>506</v>
      </c>
      <c r="L1095" s="27"/>
      <c r="M1095" s="23"/>
    </row>
    <row r="1096" spans="1:13" ht="15.75" customHeight="1">
      <c r="A1096" s="22">
        <v>16303014</v>
      </c>
      <c r="B1096" s="23" t="s">
        <v>8616</v>
      </c>
      <c r="C1096" s="23" t="s">
        <v>8617</v>
      </c>
      <c r="D1096" s="23" t="s">
        <v>8618</v>
      </c>
      <c r="E1096" s="23" t="s">
        <v>3364</v>
      </c>
      <c r="F1096" s="23" t="s">
        <v>5726</v>
      </c>
      <c r="G1096" s="22">
        <v>2005</v>
      </c>
      <c r="H1096" s="24">
        <v>38680</v>
      </c>
      <c r="I1096" s="23"/>
      <c r="J1096" s="23"/>
      <c r="K1096" s="26" t="s">
        <v>3365</v>
      </c>
      <c r="L1096" s="27"/>
      <c r="M1096" s="27"/>
    </row>
    <row r="1097" spans="1:13" ht="15.75" customHeight="1">
      <c r="A1097" s="22">
        <v>16148562</v>
      </c>
      <c r="B1097" s="23" t="s">
        <v>8619</v>
      </c>
      <c r="C1097" s="23" t="s">
        <v>8620</v>
      </c>
      <c r="D1097" s="23" t="s">
        <v>8621</v>
      </c>
      <c r="E1097" s="23" t="s">
        <v>2829</v>
      </c>
      <c r="F1097" s="23" t="s">
        <v>8622</v>
      </c>
      <c r="G1097" s="22">
        <v>2005</v>
      </c>
      <c r="H1097" s="24">
        <v>38604</v>
      </c>
      <c r="I1097" s="23"/>
      <c r="J1097" s="23"/>
      <c r="K1097" s="26" t="s">
        <v>2830</v>
      </c>
      <c r="L1097" s="27"/>
      <c r="M1097" s="27"/>
    </row>
    <row r="1098" spans="1:13" ht="15.75" customHeight="1">
      <c r="A1098" s="22">
        <v>1346889</v>
      </c>
      <c r="B1098" s="23" t="s">
        <v>8623</v>
      </c>
      <c r="C1098" s="23" t="s">
        <v>8624</v>
      </c>
      <c r="D1098" s="23" t="s">
        <v>8625</v>
      </c>
      <c r="E1098" s="23" t="s">
        <v>3367</v>
      </c>
      <c r="F1098" s="23" t="s">
        <v>6147</v>
      </c>
      <c r="G1098" s="22">
        <v>1992</v>
      </c>
      <c r="H1098" s="24">
        <v>33663</v>
      </c>
      <c r="I1098" s="23"/>
      <c r="J1098" s="23"/>
      <c r="K1098" s="26" t="s">
        <v>3368</v>
      </c>
      <c r="L1098" s="27"/>
      <c r="M1098" s="27"/>
    </row>
    <row r="1099" spans="1:13" ht="15.75" customHeight="1">
      <c r="A1099" s="22">
        <v>19522847</v>
      </c>
      <c r="B1099" s="23" t="s">
        <v>8626</v>
      </c>
      <c r="C1099" s="23" t="s">
        <v>8627</v>
      </c>
      <c r="D1099" s="23" t="s">
        <v>8628</v>
      </c>
      <c r="E1099" s="23" t="s">
        <v>2119</v>
      </c>
      <c r="F1099" s="23" t="s">
        <v>6939</v>
      </c>
      <c r="G1099" s="22">
        <v>2010</v>
      </c>
      <c r="H1099" s="24">
        <v>39980</v>
      </c>
      <c r="I1099" s="23"/>
      <c r="J1099" s="23"/>
      <c r="K1099" s="26" t="s">
        <v>2120</v>
      </c>
      <c r="L1099" s="27"/>
      <c r="M1099" s="27"/>
    </row>
    <row r="1100" spans="1:13" ht="15.75" customHeight="1">
      <c r="A1100" s="22">
        <v>10868648</v>
      </c>
      <c r="B1100" s="23" t="s">
        <v>8629</v>
      </c>
      <c r="C1100" s="23" t="s">
        <v>8630</v>
      </c>
      <c r="D1100" s="23" t="s">
        <v>8631</v>
      </c>
      <c r="E1100" s="23" t="s">
        <v>2697</v>
      </c>
      <c r="F1100" s="23" t="s">
        <v>5445</v>
      </c>
      <c r="G1100" s="22">
        <v>2000</v>
      </c>
      <c r="H1100" s="24">
        <v>36704</v>
      </c>
      <c r="I1100" s="23"/>
      <c r="J1100" s="23"/>
      <c r="K1100" s="26" t="s">
        <v>2698</v>
      </c>
      <c r="L1100" s="27"/>
      <c r="M1100" s="27"/>
    </row>
    <row r="1101" spans="1:13" ht="15.75" customHeight="1">
      <c r="A1101" s="22">
        <v>7998088</v>
      </c>
      <c r="B1101" s="23" t="s">
        <v>8632</v>
      </c>
      <c r="C1101" s="23" t="s">
        <v>8633</v>
      </c>
      <c r="D1101" s="23" t="s">
        <v>8634</v>
      </c>
      <c r="E1101" s="23" t="s">
        <v>669</v>
      </c>
      <c r="F1101" s="23" t="s">
        <v>5696</v>
      </c>
      <c r="G1101" s="22">
        <v>1994</v>
      </c>
      <c r="H1101" s="24">
        <v>34669</v>
      </c>
      <c r="I1101" s="23"/>
      <c r="J1101" s="23"/>
      <c r="K1101" s="23"/>
      <c r="L1101" s="23"/>
      <c r="M1101" s="23"/>
    </row>
    <row r="1102" spans="1:13" ht="15.75" customHeight="1">
      <c r="A1102" s="22">
        <v>8610400</v>
      </c>
      <c r="B1102" s="23" t="s">
        <v>8635</v>
      </c>
      <c r="C1102" s="23" t="s">
        <v>8636</v>
      </c>
      <c r="D1102" s="23" t="s">
        <v>8637</v>
      </c>
      <c r="E1102" s="23" t="s">
        <v>3923</v>
      </c>
      <c r="F1102" s="23" t="s">
        <v>5445</v>
      </c>
      <c r="G1102" s="22">
        <v>1996</v>
      </c>
      <c r="H1102" s="24">
        <v>35122</v>
      </c>
      <c r="I1102" s="23"/>
      <c r="J1102" s="23"/>
      <c r="K1102" s="26" t="s">
        <v>3925</v>
      </c>
      <c r="L1102" s="27"/>
      <c r="M1102" s="27"/>
    </row>
    <row r="1103" spans="1:13" ht="15.75" customHeight="1">
      <c r="A1103" s="22">
        <v>31338899</v>
      </c>
      <c r="B1103" s="23" t="s">
        <v>8638</v>
      </c>
      <c r="C1103" s="23" t="s">
        <v>8639</v>
      </c>
      <c r="D1103" s="23" t="s">
        <v>8640</v>
      </c>
      <c r="E1103" s="23" t="s">
        <v>1386</v>
      </c>
      <c r="F1103" s="23" t="s">
        <v>8641</v>
      </c>
      <c r="G1103" s="22">
        <v>2019</v>
      </c>
      <c r="H1103" s="24">
        <v>43671</v>
      </c>
      <c r="I1103" s="23"/>
      <c r="J1103" s="23"/>
      <c r="K1103" s="26" t="s">
        <v>1387</v>
      </c>
      <c r="L1103" s="27"/>
      <c r="M1103" s="23"/>
    </row>
    <row r="1104" spans="1:13" ht="15.75" customHeight="1">
      <c r="A1104" s="22">
        <v>38726832</v>
      </c>
      <c r="B1104" s="23" t="s">
        <v>8642</v>
      </c>
      <c r="C1104" s="23" t="s">
        <v>8643</v>
      </c>
      <c r="D1104" s="23" t="s">
        <v>8644</v>
      </c>
      <c r="E1104" s="23" t="s">
        <v>679</v>
      </c>
      <c r="F1104" s="23" t="s">
        <v>5035</v>
      </c>
      <c r="G1104" s="22">
        <v>2024</v>
      </c>
      <c r="H1104" s="24">
        <v>45422</v>
      </c>
      <c r="I1104" s="23"/>
      <c r="J1104" s="23"/>
      <c r="K1104" s="26" t="s">
        <v>4755</v>
      </c>
      <c r="L1104" s="27"/>
      <c r="M1104" s="27"/>
    </row>
    <row r="1105" spans="1:13" ht="15.75" customHeight="1">
      <c r="A1105" s="22">
        <v>19100492</v>
      </c>
      <c r="B1105" s="23" t="s">
        <v>8645</v>
      </c>
      <c r="C1105" s="23" t="s">
        <v>8646</v>
      </c>
      <c r="D1105" s="23" t="s">
        <v>8647</v>
      </c>
      <c r="E1105" s="23" t="s">
        <v>1868</v>
      </c>
      <c r="F1105" s="23" t="s">
        <v>5696</v>
      </c>
      <c r="G1105" s="22">
        <v>2008</v>
      </c>
      <c r="H1105" s="24">
        <v>39805</v>
      </c>
      <c r="I1105" s="23"/>
      <c r="J1105" s="23"/>
      <c r="K1105" s="26" t="s">
        <v>1869</v>
      </c>
      <c r="L1105" s="27"/>
      <c r="M1105" s="27"/>
    </row>
    <row r="1106" spans="1:13" ht="15.75" customHeight="1">
      <c r="A1106" s="22">
        <v>11420457</v>
      </c>
      <c r="B1106" s="23" t="s">
        <v>8648</v>
      </c>
      <c r="C1106" s="23" t="s">
        <v>8649</v>
      </c>
      <c r="D1106" s="23" t="s">
        <v>8650</v>
      </c>
      <c r="E1106" s="23" t="s">
        <v>1158</v>
      </c>
      <c r="F1106" s="23" t="s">
        <v>8516</v>
      </c>
      <c r="G1106" s="22">
        <v>2001</v>
      </c>
      <c r="H1106" s="24">
        <v>37065</v>
      </c>
      <c r="I1106" s="23"/>
      <c r="J1106" s="23"/>
      <c r="K1106" s="26" t="s">
        <v>1159</v>
      </c>
      <c r="L1106" s="27"/>
      <c r="M1106" s="27"/>
    </row>
    <row r="1107" spans="1:13" ht="15.75" customHeight="1">
      <c r="A1107" s="22">
        <v>2162397</v>
      </c>
      <c r="B1107" s="23" t="s">
        <v>8651</v>
      </c>
      <c r="C1107" s="23" t="s">
        <v>8652</v>
      </c>
      <c r="D1107" s="23" t="s">
        <v>8653</v>
      </c>
      <c r="E1107" s="23" t="s">
        <v>2177</v>
      </c>
      <c r="F1107" s="23" t="s">
        <v>8654</v>
      </c>
      <c r="G1107" s="22">
        <v>1990</v>
      </c>
      <c r="H1107" s="24">
        <v>33058</v>
      </c>
      <c r="I1107" s="23"/>
      <c r="J1107" s="23"/>
      <c r="K1107" s="26" t="s">
        <v>2178</v>
      </c>
      <c r="L1107" s="27"/>
      <c r="M1107" s="23"/>
    </row>
    <row r="1108" spans="1:13" ht="15.75" customHeight="1">
      <c r="A1108" s="22">
        <v>26132825</v>
      </c>
      <c r="B1108" s="23" t="s">
        <v>8655</v>
      </c>
      <c r="C1108" s="23" t="s">
        <v>8656</v>
      </c>
      <c r="D1108" s="23" t="s">
        <v>8657</v>
      </c>
      <c r="E1108" s="23" t="s">
        <v>290</v>
      </c>
      <c r="F1108" s="23" t="s">
        <v>5982</v>
      </c>
      <c r="G1108" s="22">
        <v>2015</v>
      </c>
      <c r="H1108" s="24">
        <v>42187</v>
      </c>
      <c r="I1108" s="23"/>
      <c r="J1108" s="23"/>
      <c r="K1108" s="26" t="s">
        <v>420</v>
      </c>
      <c r="L1108" s="27"/>
      <c r="M1108" s="27"/>
    </row>
    <row r="1109" spans="1:13" ht="15.75" customHeight="1">
      <c r="A1109" s="22">
        <v>20685258</v>
      </c>
      <c r="B1109" s="23" t="s">
        <v>8658</v>
      </c>
      <c r="C1109" s="23" t="s">
        <v>8659</v>
      </c>
      <c r="D1109" s="23" t="s">
        <v>8660</v>
      </c>
      <c r="E1109" s="23" t="s">
        <v>757</v>
      </c>
      <c r="F1109" s="23" t="s">
        <v>5076</v>
      </c>
      <c r="G1109" s="22">
        <v>2010</v>
      </c>
      <c r="H1109" s="24">
        <v>40396</v>
      </c>
      <c r="I1109" s="23"/>
      <c r="J1109" s="23"/>
      <c r="K1109" s="26" t="s">
        <v>758</v>
      </c>
      <c r="L1109" s="27"/>
      <c r="M1109" s="27"/>
    </row>
    <row r="1110" spans="1:13" ht="15.75" customHeight="1">
      <c r="A1110" s="22">
        <v>28213954</v>
      </c>
      <c r="B1110" s="23" t="s">
        <v>8661</v>
      </c>
      <c r="C1110" s="23" t="s">
        <v>8662</v>
      </c>
      <c r="D1110" s="23" t="s">
        <v>8663</v>
      </c>
      <c r="E1110" s="23" t="s">
        <v>4603</v>
      </c>
      <c r="F1110" s="23" t="s">
        <v>5543</v>
      </c>
      <c r="G1110" s="22">
        <v>2017</v>
      </c>
      <c r="H1110" s="24">
        <v>42785</v>
      </c>
      <c r="I1110" s="23"/>
      <c r="J1110" s="23"/>
      <c r="K1110" s="26" t="s">
        <v>4604</v>
      </c>
      <c r="L1110" s="27"/>
      <c r="M1110" s="23"/>
    </row>
    <row r="1111" spans="1:13" ht="15.75" customHeight="1">
      <c r="A1111" s="22">
        <v>20534025</v>
      </c>
      <c r="B1111" s="23" t="s">
        <v>8664</v>
      </c>
      <c r="C1111" s="23" t="s">
        <v>8665</v>
      </c>
      <c r="D1111" s="23" t="s">
        <v>8666</v>
      </c>
      <c r="E1111" s="23" t="s">
        <v>528</v>
      </c>
      <c r="F1111" s="23" t="s">
        <v>5543</v>
      </c>
      <c r="G1111" s="22">
        <v>2010</v>
      </c>
      <c r="H1111" s="24">
        <v>40340</v>
      </c>
      <c r="I1111" s="23"/>
      <c r="J1111" s="23"/>
      <c r="K1111" s="26" t="s">
        <v>529</v>
      </c>
      <c r="L1111" s="27"/>
      <c r="M1111" s="27"/>
    </row>
    <row r="1112" spans="1:13" ht="15.75" customHeight="1">
      <c r="A1112" s="22">
        <v>29499037</v>
      </c>
      <c r="B1112" s="23" t="s">
        <v>8667</v>
      </c>
      <c r="C1112" s="23" t="s">
        <v>8668</v>
      </c>
      <c r="D1112" s="23" t="s">
        <v>8669</v>
      </c>
      <c r="E1112" s="23" t="s">
        <v>1902</v>
      </c>
      <c r="F1112" s="23" t="s">
        <v>4978</v>
      </c>
      <c r="G1112" s="22">
        <v>2018</v>
      </c>
      <c r="H1112" s="24">
        <v>43162</v>
      </c>
      <c r="I1112" s="26" t="s">
        <v>8670</v>
      </c>
      <c r="J1112" s="27"/>
      <c r="K1112" s="26" t="s">
        <v>1903</v>
      </c>
      <c r="L1112" s="27"/>
      <c r="M1112" s="27"/>
    </row>
    <row r="1113" spans="1:13" ht="15.75" customHeight="1">
      <c r="A1113" s="22">
        <v>28551368</v>
      </c>
      <c r="B1113" s="23" t="s">
        <v>8671</v>
      </c>
      <c r="C1113" s="23" t="s">
        <v>8672</v>
      </c>
      <c r="D1113" s="23" t="s">
        <v>8673</v>
      </c>
      <c r="E1113" s="23" t="s">
        <v>536</v>
      </c>
      <c r="F1113" s="23" t="s">
        <v>5051</v>
      </c>
      <c r="G1113" s="22">
        <v>2017</v>
      </c>
      <c r="H1113" s="24">
        <v>42884</v>
      </c>
      <c r="I1113" s="23"/>
      <c r="J1113" s="23"/>
      <c r="K1113" s="26" t="s">
        <v>537</v>
      </c>
      <c r="L1113" s="27"/>
      <c r="M1113" s="27"/>
    </row>
    <row r="1114" spans="1:13" ht="15.75" customHeight="1">
      <c r="A1114" s="22">
        <v>25073037</v>
      </c>
      <c r="B1114" s="23" t="s">
        <v>8674</v>
      </c>
      <c r="C1114" s="23" t="s">
        <v>8675</v>
      </c>
      <c r="D1114" s="23" t="s">
        <v>8676</v>
      </c>
      <c r="E1114" s="23" t="s">
        <v>2025</v>
      </c>
      <c r="F1114" s="23" t="s">
        <v>5445</v>
      </c>
      <c r="G1114" s="22">
        <v>2015</v>
      </c>
      <c r="H1114" s="24">
        <v>41850</v>
      </c>
      <c r="I1114" s="23"/>
      <c r="J1114" s="23"/>
      <c r="K1114" s="26" t="s">
        <v>2026</v>
      </c>
      <c r="L1114" s="27"/>
      <c r="M1114" s="27"/>
    </row>
    <row r="1115" spans="1:13" ht="15.75" customHeight="1">
      <c r="A1115" s="22">
        <v>9236842</v>
      </c>
      <c r="B1115" s="23" t="s">
        <v>8677</v>
      </c>
      <c r="C1115" s="23" t="s">
        <v>8678</v>
      </c>
      <c r="D1115" s="23" t="s">
        <v>8679</v>
      </c>
      <c r="E1115" s="23" t="s">
        <v>3671</v>
      </c>
      <c r="F1115" s="23" t="s">
        <v>8516</v>
      </c>
      <c r="G1115" s="22">
        <v>1997</v>
      </c>
      <c r="H1115" s="24">
        <v>35612</v>
      </c>
      <c r="I1115" s="23"/>
      <c r="J1115" s="23"/>
      <c r="K1115" s="26" t="s">
        <v>3672</v>
      </c>
      <c r="L1115" s="27"/>
      <c r="M1115" s="27"/>
    </row>
    <row r="1116" spans="1:13" ht="15.75" customHeight="1">
      <c r="A1116" s="22">
        <v>23676599</v>
      </c>
      <c r="B1116" s="23" t="s">
        <v>8680</v>
      </c>
      <c r="C1116" s="23" t="s">
        <v>8681</v>
      </c>
      <c r="D1116" s="23" t="s">
        <v>8682</v>
      </c>
      <c r="E1116" s="23" t="s">
        <v>2652</v>
      </c>
      <c r="F1116" s="23" t="s">
        <v>8569</v>
      </c>
      <c r="G1116" s="22">
        <v>2013</v>
      </c>
      <c r="H1116" s="24">
        <v>41411</v>
      </c>
      <c r="I1116" s="23"/>
      <c r="J1116" s="23"/>
      <c r="K1116" s="26" t="s">
        <v>2653</v>
      </c>
      <c r="L1116" s="27"/>
      <c r="M1116" s="27"/>
    </row>
    <row r="1117" spans="1:13" ht="15.75" customHeight="1">
      <c r="A1117" s="22">
        <v>12399232</v>
      </c>
      <c r="B1117" s="23" t="s">
        <v>8683</v>
      </c>
      <c r="C1117" s="23" t="s">
        <v>8684</v>
      </c>
      <c r="D1117" s="23" t="s">
        <v>8685</v>
      </c>
      <c r="E1117" s="23" t="s">
        <v>2875</v>
      </c>
      <c r="F1117" s="23" t="s">
        <v>7312</v>
      </c>
      <c r="G1117" s="22">
        <v>2002</v>
      </c>
      <c r="H1117" s="24">
        <v>37555</v>
      </c>
      <c r="I1117" s="23"/>
      <c r="J1117" s="23"/>
      <c r="K1117" s="26" t="s">
        <v>2887</v>
      </c>
      <c r="L1117" s="27"/>
      <c r="M1117" s="27"/>
    </row>
    <row r="1118" spans="1:13" ht="15.75" customHeight="1">
      <c r="A1118" s="22">
        <v>11594915</v>
      </c>
      <c r="B1118" s="23" t="s">
        <v>8686</v>
      </c>
      <c r="C1118" s="23" t="s">
        <v>8687</v>
      </c>
      <c r="D1118" s="23" t="s">
        <v>8688</v>
      </c>
      <c r="E1118" s="23" t="s">
        <v>2385</v>
      </c>
      <c r="F1118" s="23" t="s">
        <v>8689</v>
      </c>
      <c r="G1118" s="22">
        <v>2001</v>
      </c>
      <c r="H1118" s="24">
        <v>37191</v>
      </c>
      <c r="I1118" s="23"/>
      <c r="J1118" s="23"/>
      <c r="K1118" s="26" t="s">
        <v>2386</v>
      </c>
      <c r="L1118" s="27"/>
      <c r="M1118" s="27"/>
    </row>
    <row r="1119" spans="1:13" ht="15.75" customHeight="1">
      <c r="A1119" s="22">
        <v>10398670</v>
      </c>
      <c r="B1119" s="23" t="s">
        <v>8690</v>
      </c>
      <c r="C1119" s="23" t="s">
        <v>8691</v>
      </c>
      <c r="D1119" s="23" t="s">
        <v>8692</v>
      </c>
      <c r="E1119" s="23" t="s">
        <v>1896</v>
      </c>
      <c r="F1119" s="23" t="s">
        <v>4819</v>
      </c>
      <c r="G1119" s="22">
        <v>1999</v>
      </c>
      <c r="H1119" s="24">
        <v>36351</v>
      </c>
      <c r="I1119" s="23" t="s">
        <v>8693</v>
      </c>
      <c r="J1119" s="23"/>
      <c r="K1119" s="26" t="s">
        <v>1897</v>
      </c>
      <c r="L1119" s="27"/>
      <c r="M1119" s="23"/>
    </row>
    <row r="1120" spans="1:13" ht="15.75" customHeight="1">
      <c r="A1120" s="22">
        <v>10555198</v>
      </c>
      <c r="B1120" s="23" t="s">
        <v>8694</v>
      </c>
      <c r="C1120" s="23" t="s">
        <v>8695</v>
      </c>
      <c r="D1120" s="23" t="s">
        <v>8696</v>
      </c>
      <c r="E1120" s="23" t="s">
        <v>1199</v>
      </c>
      <c r="F1120" s="23" t="s">
        <v>5103</v>
      </c>
      <c r="G1120" s="22">
        <v>1999</v>
      </c>
      <c r="H1120" s="24">
        <v>36475</v>
      </c>
      <c r="I1120" s="23"/>
      <c r="J1120" s="23"/>
      <c r="K1120" s="23"/>
      <c r="L1120" s="23"/>
      <c r="M1120" s="23"/>
    </row>
    <row r="1121" spans="1:13" ht="15.75" customHeight="1">
      <c r="A1121" s="22">
        <v>16313481</v>
      </c>
      <c r="B1121" s="23" t="s">
        <v>8697</v>
      </c>
      <c r="C1121" s="23" t="s">
        <v>8698</v>
      </c>
      <c r="D1121" s="23" t="s">
        <v>8699</v>
      </c>
      <c r="E1121" s="23" t="s">
        <v>1472</v>
      </c>
      <c r="F1121" s="23" t="s">
        <v>8700</v>
      </c>
      <c r="G1121" s="22">
        <v>2005</v>
      </c>
      <c r="H1121" s="24">
        <v>38686</v>
      </c>
      <c r="I1121" s="23"/>
      <c r="J1121" s="23"/>
      <c r="K1121" s="26" t="s">
        <v>1473</v>
      </c>
      <c r="L1121" s="27"/>
      <c r="M1121" s="27"/>
    </row>
    <row r="1122" spans="1:13" ht="15.75" customHeight="1">
      <c r="A1122" s="22">
        <v>32529583</v>
      </c>
      <c r="B1122" s="23" t="s">
        <v>8701</v>
      </c>
      <c r="C1122" s="23" t="s">
        <v>8702</v>
      </c>
      <c r="D1122" s="23" t="s">
        <v>8703</v>
      </c>
      <c r="E1122" s="23" t="s">
        <v>3848</v>
      </c>
      <c r="F1122" s="23" t="s">
        <v>4927</v>
      </c>
      <c r="G1122" s="22">
        <v>2020</v>
      </c>
      <c r="H1122" s="24">
        <v>43995</v>
      </c>
      <c r="I1122" s="23"/>
      <c r="J1122" s="23"/>
      <c r="K1122" s="26" t="s">
        <v>3849</v>
      </c>
      <c r="L1122" s="27"/>
      <c r="M1122" s="27"/>
    </row>
    <row r="1123" spans="1:13" ht="15.75" customHeight="1">
      <c r="A1123" s="22">
        <v>11263334</v>
      </c>
      <c r="B1123" s="23" t="s">
        <v>8704</v>
      </c>
      <c r="C1123" s="23" t="s">
        <v>8705</v>
      </c>
      <c r="D1123" s="23" t="s">
        <v>8706</v>
      </c>
      <c r="E1123" s="23" t="s">
        <v>4562</v>
      </c>
      <c r="F1123" s="23" t="s">
        <v>5874</v>
      </c>
      <c r="G1123" s="22">
        <v>1998</v>
      </c>
      <c r="H1123" s="24">
        <v>36977</v>
      </c>
      <c r="I1123" s="23"/>
      <c r="J1123" s="23"/>
      <c r="K1123" s="23"/>
      <c r="L1123" s="23"/>
      <c r="M1123" s="23"/>
    </row>
    <row r="1124" spans="1:13" ht="15.75" customHeight="1">
      <c r="A1124" s="22">
        <v>7866272</v>
      </c>
      <c r="B1124" s="23" t="s">
        <v>8707</v>
      </c>
      <c r="C1124" s="23" t="s">
        <v>8708</v>
      </c>
      <c r="D1124" s="23" t="s">
        <v>8709</v>
      </c>
      <c r="E1124" s="23" t="s">
        <v>539</v>
      </c>
      <c r="F1124" s="23" t="s">
        <v>5099</v>
      </c>
      <c r="G1124" s="22">
        <v>1994</v>
      </c>
      <c r="H1124" s="24">
        <v>34608</v>
      </c>
      <c r="I1124" s="23"/>
      <c r="J1124" s="23"/>
      <c r="K1124" s="26" t="s">
        <v>1705</v>
      </c>
      <c r="L1124" s="27"/>
      <c r="M1124" s="27"/>
    </row>
    <row r="1125" spans="1:13" ht="15.75" customHeight="1">
      <c r="A1125" s="22">
        <v>11959211</v>
      </c>
      <c r="B1125" s="23" t="s">
        <v>8710</v>
      </c>
      <c r="C1125" s="23" t="s">
        <v>8711</v>
      </c>
      <c r="D1125" s="23" t="s">
        <v>8712</v>
      </c>
      <c r="E1125" s="23" t="s">
        <v>3752</v>
      </c>
      <c r="F1125" s="23" t="s">
        <v>5696</v>
      </c>
      <c r="G1125" s="22">
        <v>2002</v>
      </c>
      <c r="H1125" s="24">
        <v>37364</v>
      </c>
      <c r="I1125" s="23"/>
      <c r="J1125" s="23"/>
      <c r="K1125" s="26" t="s">
        <v>3753</v>
      </c>
      <c r="L1125" s="27"/>
      <c r="M1125" s="27"/>
    </row>
    <row r="1126" spans="1:13" ht="15.75" customHeight="1">
      <c r="A1126" s="22">
        <v>19863339</v>
      </c>
      <c r="B1126" s="23" t="s">
        <v>8713</v>
      </c>
      <c r="C1126" s="23" t="s">
        <v>8714</v>
      </c>
      <c r="D1126" s="23" t="s">
        <v>8715</v>
      </c>
      <c r="E1126" s="23" t="s">
        <v>2019</v>
      </c>
      <c r="F1126" s="23" t="s">
        <v>5099</v>
      </c>
      <c r="G1126" s="22">
        <v>2009</v>
      </c>
      <c r="H1126" s="24">
        <v>40116</v>
      </c>
      <c r="I1126" s="23"/>
      <c r="J1126" s="23"/>
      <c r="K1126" s="26" t="s">
        <v>2020</v>
      </c>
      <c r="L1126" s="27"/>
      <c r="M1126" s="27"/>
    </row>
    <row r="1127" spans="1:13" ht="15.75" customHeight="1">
      <c r="A1127" s="22">
        <v>11689888</v>
      </c>
      <c r="B1127" s="23" t="s">
        <v>8716</v>
      </c>
      <c r="C1127" s="23" t="s">
        <v>8717</v>
      </c>
      <c r="D1127" s="23" t="s">
        <v>8718</v>
      </c>
      <c r="E1127" s="23" t="s">
        <v>2221</v>
      </c>
      <c r="F1127" s="23" t="s">
        <v>8719</v>
      </c>
      <c r="G1127" s="22">
        <v>2001</v>
      </c>
      <c r="H1127" s="24">
        <v>37197</v>
      </c>
      <c r="I1127" s="23"/>
      <c r="J1127" s="23"/>
      <c r="K1127" s="26" t="s">
        <v>2224</v>
      </c>
      <c r="L1127" s="27"/>
      <c r="M1127" s="23"/>
    </row>
    <row r="1128" spans="1:13" ht="15.75" customHeight="1">
      <c r="A1128" s="22">
        <v>29443669</v>
      </c>
      <c r="B1128" s="23" t="s">
        <v>8720</v>
      </c>
      <c r="C1128" s="23" t="s">
        <v>8721</v>
      </c>
      <c r="D1128" s="23" t="s">
        <v>8722</v>
      </c>
      <c r="E1128" s="23" t="s">
        <v>1952</v>
      </c>
      <c r="F1128" s="23" t="s">
        <v>5377</v>
      </c>
      <c r="G1128" s="22">
        <v>2018</v>
      </c>
      <c r="H1128" s="24">
        <v>43146</v>
      </c>
      <c r="I1128" s="23"/>
      <c r="J1128" s="23"/>
      <c r="K1128" s="26" t="s">
        <v>1953</v>
      </c>
      <c r="L1128" s="27"/>
      <c r="M1128" s="27"/>
    </row>
    <row r="1129" spans="1:13" ht="15.75" customHeight="1">
      <c r="A1129" s="22">
        <v>27808462</v>
      </c>
      <c r="B1129" s="23" t="s">
        <v>8723</v>
      </c>
      <c r="C1129" s="23" t="s">
        <v>8724</v>
      </c>
      <c r="D1129" s="23" t="s">
        <v>8725</v>
      </c>
      <c r="E1129" s="23" t="s">
        <v>3891</v>
      </c>
      <c r="F1129" s="23" t="s">
        <v>5652</v>
      </c>
      <c r="G1129" s="22">
        <v>2017</v>
      </c>
      <c r="H1129" s="24">
        <v>42678</v>
      </c>
      <c r="I1129" s="23"/>
      <c r="J1129" s="23"/>
      <c r="K1129" s="26" t="s">
        <v>3892</v>
      </c>
      <c r="L1129" s="27"/>
      <c r="M1129" s="23"/>
    </row>
    <row r="1130" spans="1:13" ht="15.75" customHeight="1">
      <c r="A1130" s="22">
        <v>15041393</v>
      </c>
      <c r="B1130" s="23" t="s">
        <v>8726</v>
      </c>
      <c r="C1130" s="23" t="s">
        <v>8727</v>
      </c>
      <c r="D1130" s="23" t="s">
        <v>8728</v>
      </c>
      <c r="E1130" s="23" t="s">
        <v>1086</v>
      </c>
      <c r="F1130" s="23" t="s">
        <v>5696</v>
      </c>
      <c r="G1130" s="22">
        <v>2004</v>
      </c>
      <c r="H1130" s="24">
        <v>38072</v>
      </c>
      <c r="I1130" s="23"/>
      <c r="J1130" s="23"/>
      <c r="K1130" s="26" t="s">
        <v>1087</v>
      </c>
      <c r="L1130" s="27"/>
      <c r="M1130" s="27"/>
    </row>
    <row r="1131" spans="1:13" ht="15.75" customHeight="1">
      <c r="A1131" s="22">
        <v>18587440</v>
      </c>
      <c r="B1131" s="23" t="s">
        <v>8729</v>
      </c>
      <c r="C1131" s="23" t="s">
        <v>8730</v>
      </c>
      <c r="D1131" s="23" t="s">
        <v>8731</v>
      </c>
      <c r="E1131" s="23" t="s">
        <v>249</v>
      </c>
      <c r="F1131" s="23" t="s">
        <v>4863</v>
      </c>
      <c r="G1131" s="22">
        <v>2008</v>
      </c>
      <c r="H1131" s="24">
        <v>39630</v>
      </c>
      <c r="I1131" s="23"/>
      <c r="J1131" s="23"/>
      <c r="K1131" s="26" t="s">
        <v>2990</v>
      </c>
      <c r="L1131" s="27"/>
      <c r="M1131" s="23"/>
    </row>
    <row r="1132" spans="1:13" ht="15.75" customHeight="1">
      <c r="A1132" s="22">
        <v>20172284</v>
      </c>
      <c r="B1132" s="23" t="s">
        <v>8732</v>
      </c>
      <c r="C1132" s="23" t="s">
        <v>8733</v>
      </c>
      <c r="D1132" s="23" t="s">
        <v>8734</v>
      </c>
      <c r="E1132" s="23" t="s">
        <v>3578</v>
      </c>
      <c r="F1132" s="23" t="s">
        <v>5696</v>
      </c>
      <c r="G1132" s="22">
        <v>2010</v>
      </c>
      <c r="H1132" s="24">
        <v>40232</v>
      </c>
      <c r="I1132" s="23"/>
      <c r="J1132" s="23"/>
      <c r="K1132" s="26" t="s">
        <v>3579</v>
      </c>
      <c r="L1132" s="27"/>
      <c r="M1132" s="27"/>
    </row>
    <row r="1133" spans="1:13" ht="15.75" customHeight="1">
      <c r="A1133" s="22">
        <v>19295317</v>
      </c>
      <c r="B1133" s="23" t="s">
        <v>8735</v>
      </c>
      <c r="C1133" s="23" t="s">
        <v>8736</v>
      </c>
      <c r="D1133" s="23" t="s">
        <v>8737</v>
      </c>
      <c r="E1133" s="23" t="s">
        <v>3119</v>
      </c>
      <c r="F1133" s="23" t="s">
        <v>5445</v>
      </c>
      <c r="G1133" s="22">
        <v>2009</v>
      </c>
      <c r="H1133" s="24">
        <v>39892</v>
      </c>
      <c r="I1133" s="23"/>
      <c r="J1133" s="23"/>
      <c r="K1133" s="26" t="s">
        <v>3120</v>
      </c>
      <c r="L1133" s="27"/>
      <c r="M1133" s="27"/>
    </row>
    <row r="1134" spans="1:13" ht="15.75" customHeight="1">
      <c r="A1134" s="22">
        <v>17401392</v>
      </c>
      <c r="B1134" s="23" t="s">
        <v>8738</v>
      </c>
      <c r="C1134" s="23" t="s">
        <v>8739</v>
      </c>
      <c r="D1134" s="23" t="s">
        <v>8740</v>
      </c>
      <c r="E1134" s="23" t="s">
        <v>296</v>
      </c>
      <c r="F1134" s="23" t="s">
        <v>4863</v>
      </c>
      <c r="G1134" s="22">
        <v>2007</v>
      </c>
      <c r="H1134" s="24">
        <v>39175</v>
      </c>
      <c r="I1134" s="23"/>
      <c r="J1134" s="23"/>
      <c r="K1134" s="26" t="s">
        <v>425</v>
      </c>
      <c r="L1134" s="27"/>
      <c r="M1134" s="23"/>
    </row>
    <row r="1135" spans="1:13" ht="15.75" customHeight="1">
      <c r="A1135" s="22">
        <v>11518006</v>
      </c>
      <c r="B1135" s="23" t="s">
        <v>8741</v>
      </c>
      <c r="C1135" s="23" t="s">
        <v>8742</v>
      </c>
      <c r="D1135" s="23" t="s">
        <v>8743</v>
      </c>
      <c r="E1135" s="23" t="s">
        <v>1366</v>
      </c>
      <c r="F1135" s="23" t="s">
        <v>7382</v>
      </c>
      <c r="G1135" s="22">
        <v>2001</v>
      </c>
      <c r="H1135" s="24">
        <v>37127</v>
      </c>
      <c r="I1135" s="23"/>
      <c r="J1135" s="23"/>
      <c r="K1135" s="26" t="s">
        <v>1367</v>
      </c>
      <c r="L1135" s="27"/>
      <c r="M1135" s="23"/>
    </row>
    <row r="1136" spans="1:13" ht="15.75" customHeight="1">
      <c r="A1136" s="22">
        <v>12665843</v>
      </c>
      <c r="B1136" s="23" t="s">
        <v>8744</v>
      </c>
      <c r="C1136" s="23" t="s">
        <v>8745</v>
      </c>
      <c r="D1136" s="23" t="s">
        <v>8746</v>
      </c>
      <c r="E1136" s="23" t="s">
        <v>286</v>
      </c>
      <c r="F1136" s="23" t="s">
        <v>4863</v>
      </c>
      <c r="G1136" s="22">
        <v>2003</v>
      </c>
      <c r="H1136" s="24">
        <v>37712</v>
      </c>
      <c r="I1136" s="23"/>
      <c r="J1136" s="23"/>
      <c r="K1136" s="26" t="s">
        <v>910</v>
      </c>
      <c r="L1136" s="27"/>
      <c r="M1136" s="23"/>
    </row>
    <row r="1137" spans="1:13" ht="15.75" customHeight="1">
      <c r="A1137" s="22">
        <v>29178554</v>
      </c>
      <c r="B1137" s="23" t="s">
        <v>8747</v>
      </c>
      <c r="C1137" s="23" t="s">
        <v>8748</v>
      </c>
      <c r="D1137" s="23" t="s">
        <v>8749</v>
      </c>
      <c r="E1137" s="23" t="s">
        <v>930</v>
      </c>
      <c r="F1137" s="23" t="s">
        <v>4974</v>
      </c>
      <c r="G1137" s="22">
        <v>2018</v>
      </c>
      <c r="H1137" s="24">
        <v>43067</v>
      </c>
      <c r="I1137" s="23" t="s">
        <v>8750</v>
      </c>
      <c r="J1137" s="23" t="s">
        <v>8751</v>
      </c>
      <c r="K1137" s="26" t="s">
        <v>931</v>
      </c>
      <c r="L1137" s="27"/>
      <c r="M1137" s="23"/>
    </row>
    <row r="1138" spans="1:13" ht="15.75" customHeight="1">
      <c r="A1138" s="22">
        <v>11406212</v>
      </c>
      <c r="B1138" s="23" t="s">
        <v>8752</v>
      </c>
      <c r="C1138" s="23" t="s">
        <v>8753</v>
      </c>
      <c r="D1138" s="23" t="s">
        <v>8754</v>
      </c>
      <c r="E1138" s="23" t="s">
        <v>524</v>
      </c>
      <c r="F1138" s="23" t="s">
        <v>5696</v>
      </c>
      <c r="G1138" s="22">
        <v>2001</v>
      </c>
      <c r="H1138" s="24">
        <v>37061</v>
      </c>
      <c r="I1138" s="23"/>
      <c r="J1138" s="23"/>
      <c r="K1138" s="26" t="s">
        <v>1598</v>
      </c>
      <c r="L1138" s="27"/>
      <c r="M1138" s="27"/>
    </row>
    <row r="1139" spans="1:13" ht="15.75" customHeight="1">
      <c r="A1139" s="22">
        <v>23806156</v>
      </c>
      <c r="B1139" s="23" t="s">
        <v>8755</v>
      </c>
      <c r="C1139" s="23" t="s">
        <v>8756</v>
      </c>
      <c r="D1139" s="23" t="s">
        <v>8757</v>
      </c>
      <c r="E1139" s="23" t="s">
        <v>2998</v>
      </c>
      <c r="F1139" s="23" t="s">
        <v>8758</v>
      </c>
      <c r="G1139" s="22">
        <v>2013</v>
      </c>
      <c r="H1139" s="24">
        <v>41454</v>
      </c>
      <c r="I1139" s="23"/>
      <c r="J1139" s="23"/>
      <c r="K1139" s="26" t="s">
        <v>2999</v>
      </c>
      <c r="L1139" s="27"/>
      <c r="M1139" s="27"/>
    </row>
    <row r="1140" spans="1:13" ht="15.75" customHeight="1">
      <c r="A1140" s="22">
        <v>31959990</v>
      </c>
      <c r="B1140" s="23" t="s">
        <v>8759</v>
      </c>
      <c r="C1140" s="23" t="s">
        <v>8760</v>
      </c>
      <c r="D1140" s="23" t="s">
        <v>8761</v>
      </c>
      <c r="E1140" s="23" t="s">
        <v>2707</v>
      </c>
      <c r="F1140" s="23" t="s">
        <v>8719</v>
      </c>
      <c r="G1140" s="22">
        <v>2020</v>
      </c>
      <c r="H1140" s="24">
        <v>43852</v>
      </c>
      <c r="I1140" s="23" t="s">
        <v>8762</v>
      </c>
      <c r="J1140" s="23" t="s">
        <v>8763</v>
      </c>
      <c r="K1140" s="26" t="s">
        <v>2708</v>
      </c>
      <c r="L1140" s="27"/>
      <c r="M1140" s="27"/>
    </row>
    <row r="1141" spans="1:13" ht="15.75" customHeight="1">
      <c r="A1141" s="22">
        <v>28501929</v>
      </c>
      <c r="B1141" s="23" t="s">
        <v>8764</v>
      </c>
      <c r="C1141" s="23" t="s">
        <v>8765</v>
      </c>
      <c r="D1141" s="23" t="s">
        <v>8766</v>
      </c>
      <c r="E1141" s="23" t="s">
        <v>763</v>
      </c>
      <c r="F1141" s="23" t="s">
        <v>4927</v>
      </c>
      <c r="G1141" s="22">
        <v>2017</v>
      </c>
      <c r="H1141" s="24">
        <v>42870</v>
      </c>
      <c r="I1141" s="23"/>
      <c r="J1141" s="23"/>
      <c r="K1141" s="26" t="s">
        <v>764</v>
      </c>
      <c r="L1141" s="27"/>
      <c r="M1141" s="27"/>
    </row>
    <row r="1142" spans="1:13" ht="15.75" customHeight="1">
      <c r="A1142" s="22">
        <v>23959519</v>
      </c>
      <c r="B1142" s="23" t="s">
        <v>8767</v>
      </c>
      <c r="C1142" s="23" t="s">
        <v>8768</v>
      </c>
      <c r="D1142" s="23" t="s">
        <v>8769</v>
      </c>
      <c r="E1142" s="23" t="s">
        <v>3253</v>
      </c>
      <c r="F1142" s="23" t="s">
        <v>4923</v>
      </c>
      <c r="G1142" s="22">
        <v>2013</v>
      </c>
      <c r="H1142" s="24">
        <v>41507</v>
      </c>
      <c r="I1142" s="23"/>
      <c r="J1142" s="23"/>
      <c r="K1142" s="26" t="s">
        <v>3254</v>
      </c>
      <c r="L1142" s="27"/>
      <c r="M1142" s="23"/>
    </row>
    <row r="1143" spans="1:13" ht="15.75" customHeight="1">
      <c r="A1143" s="22">
        <v>22687802</v>
      </c>
      <c r="B1143" s="23" t="s">
        <v>8770</v>
      </c>
      <c r="C1143" s="23" t="s">
        <v>8771</v>
      </c>
      <c r="D1143" s="23" t="s">
        <v>8772</v>
      </c>
      <c r="E1143" s="23" t="s">
        <v>3383</v>
      </c>
      <c r="F1143" s="23" t="s">
        <v>8569</v>
      </c>
      <c r="G1143" s="22">
        <v>2012</v>
      </c>
      <c r="H1143" s="24">
        <v>41073</v>
      </c>
      <c r="I1143" s="23"/>
      <c r="J1143" s="23"/>
      <c r="K1143" s="26" t="s">
        <v>3384</v>
      </c>
      <c r="L1143" s="27"/>
      <c r="M1143" s="27"/>
    </row>
    <row r="1144" spans="1:13" ht="15.75" customHeight="1">
      <c r="A1144" s="22">
        <v>16679705</v>
      </c>
      <c r="B1144" s="23" t="s">
        <v>8773</v>
      </c>
      <c r="C1144" s="23" t="s">
        <v>8774</v>
      </c>
      <c r="D1144" s="23" t="s">
        <v>8775</v>
      </c>
      <c r="E1144" s="23" t="s">
        <v>2835</v>
      </c>
      <c r="F1144" s="23" t="s">
        <v>8569</v>
      </c>
      <c r="G1144" s="22">
        <v>2006</v>
      </c>
      <c r="H1144" s="24">
        <v>38846</v>
      </c>
      <c r="I1144" s="23"/>
      <c r="J1144" s="23"/>
      <c r="K1144" s="26" t="s">
        <v>2836</v>
      </c>
      <c r="L1144" s="27"/>
      <c r="M1144" s="27"/>
    </row>
    <row r="1145" spans="1:13" ht="15.75" customHeight="1">
      <c r="A1145" s="22">
        <v>12360701</v>
      </c>
      <c r="B1145" s="23" t="s">
        <v>8776</v>
      </c>
      <c r="C1145" s="23" t="s">
        <v>8777</v>
      </c>
      <c r="D1145" s="23" t="s">
        <v>8778</v>
      </c>
      <c r="E1145" s="23" t="s">
        <v>1627</v>
      </c>
      <c r="F1145" s="23" t="s">
        <v>8060</v>
      </c>
      <c r="G1145" s="22">
        <v>2002</v>
      </c>
      <c r="H1145" s="24">
        <v>37533</v>
      </c>
      <c r="I1145" s="23"/>
      <c r="J1145" s="23"/>
      <c r="K1145" s="26" t="s">
        <v>1628</v>
      </c>
      <c r="L1145" s="27"/>
      <c r="M1145" s="27"/>
    </row>
    <row r="1146" spans="1:13" ht="15.75" customHeight="1">
      <c r="A1146" s="22">
        <v>16615443</v>
      </c>
      <c r="B1146" s="23" t="s">
        <v>8779</v>
      </c>
      <c r="C1146" s="23" t="s">
        <v>8780</v>
      </c>
      <c r="D1146" s="23" t="s">
        <v>8781</v>
      </c>
      <c r="E1146" s="23" t="s">
        <v>2612</v>
      </c>
      <c r="F1146" s="23" t="s">
        <v>5031</v>
      </c>
      <c r="G1146" s="22">
        <v>2006</v>
      </c>
      <c r="H1146" s="24">
        <v>38825</v>
      </c>
      <c r="I1146" s="23"/>
      <c r="J1146" s="23"/>
      <c r="K1146" s="23"/>
      <c r="L1146" s="23"/>
      <c r="M1146" s="23"/>
    </row>
    <row r="1147" spans="1:13" ht="15.75" customHeight="1">
      <c r="A1147" s="22">
        <v>23026615</v>
      </c>
      <c r="B1147" s="23" t="s">
        <v>8782</v>
      </c>
      <c r="C1147" s="23" t="s">
        <v>8783</v>
      </c>
      <c r="D1147" s="23" t="s">
        <v>8784</v>
      </c>
      <c r="E1147" s="23" t="s">
        <v>2235</v>
      </c>
      <c r="F1147" s="23" t="s">
        <v>5696</v>
      </c>
      <c r="G1147" s="22">
        <v>2012</v>
      </c>
      <c r="H1147" s="24">
        <v>41185</v>
      </c>
      <c r="I1147" s="23"/>
      <c r="J1147" s="23"/>
      <c r="K1147" s="26" t="s">
        <v>2236</v>
      </c>
      <c r="L1147" s="27"/>
      <c r="M1147" s="27"/>
    </row>
    <row r="1148" spans="1:13" ht="15.75" customHeight="1">
      <c r="A1148" s="22">
        <v>12654053</v>
      </c>
      <c r="B1148" s="23" t="s">
        <v>8785</v>
      </c>
      <c r="C1148" s="23" t="s">
        <v>8786</v>
      </c>
      <c r="D1148" s="23" t="s">
        <v>8787</v>
      </c>
      <c r="E1148" s="23" t="s">
        <v>2022</v>
      </c>
      <c r="F1148" s="23" t="s">
        <v>5543</v>
      </c>
      <c r="G1148" s="22">
        <v>2003</v>
      </c>
      <c r="H1148" s="24">
        <v>37706</v>
      </c>
      <c r="I1148" s="23"/>
      <c r="J1148" s="23"/>
      <c r="K1148" s="26" t="s">
        <v>2023</v>
      </c>
      <c r="L1148" s="27"/>
      <c r="M1148" s="27"/>
    </row>
    <row r="1149" spans="1:13" ht="15.75" customHeight="1">
      <c r="A1149" s="22">
        <v>8841033</v>
      </c>
      <c r="B1149" s="23" t="s">
        <v>8788</v>
      </c>
      <c r="C1149" s="23" t="s">
        <v>8789</v>
      </c>
      <c r="D1149" s="23" t="s">
        <v>8790</v>
      </c>
      <c r="E1149" s="23" t="s">
        <v>1199</v>
      </c>
      <c r="F1149" s="23" t="s">
        <v>5103</v>
      </c>
      <c r="G1149" s="22">
        <v>1996</v>
      </c>
      <c r="H1149" s="24">
        <v>35247</v>
      </c>
      <c r="I1149" s="23"/>
      <c r="J1149" s="23"/>
      <c r="K1149" s="23"/>
      <c r="L1149" s="23"/>
      <c r="M1149" s="23"/>
    </row>
    <row r="1150" spans="1:13" ht="15.75" customHeight="1">
      <c r="A1150" s="22">
        <v>16615520</v>
      </c>
      <c r="B1150" s="23" t="s">
        <v>8791</v>
      </c>
      <c r="C1150" s="23" t="s">
        <v>8792</v>
      </c>
      <c r="D1150" s="23" t="s">
        <v>8793</v>
      </c>
      <c r="E1150" s="23" t="s">
        <v>587</v>
      </c>
      <c r="F1150" s="23" t="s">
        <v>5031</v>
      </c>
      <c r="G1150" s="22">
        <v>2006</v>
      </c>
      <c r="H1150" s="24">
        <v>38825</v>
      </c>
      <c r="I1150" s="23"/>
      <c r="J1150" s="23"/>
      <c r="K1150" s="23"/>
      <c r="L1150" s="23"/>
      <c r="M1150" s="23"/>
    </row>
    <row r="1151" spans="1:13" ht="15.75" customHeight="1">
      <c r="A1151" s="22">
        <v>7647283</v>
      </c>
      <c r="B1151" s="23" t="s">
        <v>8794</v>
      </c>
      <c r="C1151" s="23" t="s">
        <v>8795</v>
      </c>
      <c r="D1151" s="23" t="s">
        <v>8796</v>
      </c>
      <c r="E1151" s="23" t="s">
        <v>3025</v>
      </c>
      <c r="F1151" s="23" t="s">
        <v>8797</v>
      </c>
      <c r="G1151" s="22">
        <v>1995</v>
      </c>
      <c r="H1151" s="24">
        <v>34700</v>
      </c>
      <c r="I1151" s="23"/>
      <c r="J1151" s="23"/>
      <c r="K1151" s="26" t="s">
        <v>3026</v>
      </c>
      <c r="L1151" s="27"/>
      <c r="M1151" s="27"/>
    </row>
    <row r="1152" spans="1:13" ht="15.75" customHeight="1">
      <c r="A1152" s="22">
        <v>19556082</v>
      </c>
      <c r="B1152" s="23" t="s">
        <v>8798</v>
      </c>
      <c r="C1152" s="23" t="s">
        <v>8799</v>
      </c>
      <c r="D1152" s="23" t="s">
        <v>8800</v>
      </c>
      <c r="E1152" s="23" t="s">
        <v>4154</v>
      </c>
      <c r="F1152" s="23" t="s">
        <v>8407</v>
      </c>
      <c r="G1152" s="22">
        <v>2010</v>
      </c>
      <c r="H1152" s="24">
        <v>39991</v>
      </c>
      <c r="I1152" s="23"/>
      <c r="J1152" s="23"/>
      <c r="K1152" s="26" t="s">
        <v>4155</v>
      </c>
      <c r="L1152" s="27"/>
      <c r="M1152" s="27"/>
    </row>
    <row r="1153" spans="1:13" ht="15.75" customHeight="1">
      <c r="A1153" s="22">
        <v>9282715</v>
      </c>
      <c r="B1153" s="23" t="s">
        <v>8801</v>
      </c>
      <c r="C1153" s="23" t="s">
        <v>8802</v>
      </c>
      <c r="D1153" s="23" t="s">
        <v>8803</v>
      </c>
      <c r="E1153" s="23" t="s">
        <v>4291</v>
      </c>
      <c r="F1153" s="23" t="s">
        <v>5663</v>
      </c>
      <c r="G1153" s="22">
        <v>1997</v>
      </c>
      <c r="H1153" s="24">
        <v>35674</v>
      </c>
      <c r="I1153" s="23"/>
      <c r="J1153" s="23"/>
      <c r="K1153" s="26" t="s">
        <v>4292</v>
      </c>
      <c r="L1153" s="27"/>
      <c r="M1153" s="23"/>
    </row>
    <row r="1154" spans="1:13" ht="15.75" customHeight="1">
      <c r="A1154" s="22">
        <v>9159404</v>
      </c>
      <c r="B1154" s="23" t="s">
        <v>8804</v>
      </c>
      <c r="C1154" s="23" t="s">
        <v>8805</v>
      </c>
      <c r="D1154" s="23" t="s">
        <v>8806</v>
      </c>
      <c r="E1154" s="23" t="s">
        <v>2847</v>
      </c>
      <c r="F1154" s="23" t="s">
        <v>5163</v>
      </c>
      <c r="G1154" s="22">
        <v>1997</v>
      </c>
      <c r="H1154" s="24">
        <v>35431</v>
      </c>
      <c r="I1154" s="23"/>
      <c r="J1154" s="23"/>
      <c r="K1154" s="26" t="s">
        <v>2848</v>
      </c>
      <c r="L1154" s="27"/>
      <c r="M1154" s="27"/>
    </row>
    <row r="1155" spans="1:13" ht="15.75" customHeight="1">
      <c r="A1155" s="22">
        <v>12170696</v>
      </c>
      <c r="B1155" s="23" t="s">
        <v>8807</v>
      </c>
      <c r="C1155" s="23" t="s">
        <v>8808</v>
      </c>
      <c r="D1155" s="23" t="s">
        <v>8809</v>
      </c>
      <c r="E1155" s="23" t="s">
        <v>3989</v>
      </c>
      <c r="F1155" s="23" t="s">
        <v>8362</v>
      </c>
      <c r="G1155" s="22">
        <v>2002</v>
      </c>
      <c r="H1155" s="24">
        <v>37481</v>
      </c>
      <c r="I1155" s="23"/>
      <c r="J1155" s="23"/>
      <c r="K1155" s="23"/>
      <c r="L1155" s="23"/>
      <c r="M1155" s="23"/>
    </row>
    <row r="1156" spans="1:13" ht="15.75" customHeight="1">
      <c r="A1156" s="22">
        <v>10629599</v>
      </c>
      <c r="B1156" s="23" t="s">
        <v>8810</v>
      </c>
      <c r="C1156" s="23" t="s">
        <v>8811</v>
      </c>
      <c r="D1156" s="23" t="s">
        <v>8812</v>
      </c>
      <c r="E1156" s="23" t="s">
        <v>4256</v>
      </c>
      <c r="F1156" s="23" t="s">
        <v>6289</v>
      </c>
      <c r="G1156" s="22">
        <v>2000</v>
      </c>
      <c r="H1156" s="24">
        <v>36537</v>
      </c>
      <c r="I1156" s="23"/>
      <c r="J1156" s="23"/>
      <c r="K1156" s="23"/>
      <c r="L1156" s="23"/>
      <c r="M1156" s="23"/>
    </row>
    <row r="1157" spans="1:13" ht="15.75" customHeight="1">
      <c r="A1157" s="22">
        <v>12655786</v>
      </c>
      <c r="B1157" s="23" t="s">
        <v>8813</v>
      </c>
      <c r="C1157" s="23" t="s">
        <v>8814</v>
      </c>
      <c r="D1157" s="23" t="s">
        <v>8815</v>
      </c>
      <c r="E1157" s="23" t="s">
        <v>3789</v>
      </c>
      <c r="F1157" s="23" t="s">
        <v>4954</v>
      </c>
      <c r="G1157" s="22">
        <v>2003</v>
      </c>
      <c r="H1157" s="24">
        <v>37707</v>
      </c>
      <c r="I1157" s="23"/>
      <c r="J1157" s="23"/>
      <c r="K1157" s="23"/>
      <c r="L1157" s="23"/>
      <c r="M1157" s="23"/>
    </row>
    <row r="1158" spans="1:13" ht="15.75" customHeight="1">
      <c r="A1158" s="22">
        <v>32808422</v>
      </c>
      <c r="B1158" s="23" t="s">
        <v>8816</v>
      </c>
      <c r="C1158" s="23" t="s">
        <v>8817</v>
      </c>
      <c r="D1158" s="23" t="s">
        <v>8818</v>
      </c>
      <c r="E1158" s="23" t="s">
        <v>4040</v>
      </c>
      <c r="F1158" s="23" t="s">
        <v>5652</v>
      </c>
      <c r="G1158" s="22">
        <v>2021</v>
      </c>
      <c r="H1158" s="24">
        <v>44062</v>
      </c>
      <c r="I1158" s="23"/>
      <c r="J1158" s="23"/>
      <c r="K1158" s="26" t="s">
        <v>4041</v>
      </c>
      <c r="L1158" s="27"/>
      <c r="M1158" s="23"/>
    </row>
    <row r="1159" spans="1:13" ht="15.75" customHeight="1">
      <c r="A1159" s="22">
        <v>10642809</v>
      </c>
      <c r="B1159" s="23" t="s">
        <v>8819</v>
      </c>
      <c r="C1159" s="23" t="s">
        <v>8820</v>
      </c>
      <c r="D1159" s="23" t="s">
        <v>8821</v>
      </c>
      <c r="E1159" s="23" t="s">
        <v>175</v>
      </c>
      <c r="F1159" s="23" t="s">
        <v>4863</v>
      </c>
      <c r="G1159" s="22">
        <v>1999</v>
      </c>
      <c r="H1159" s="24">
        <v>36547</v>
      </c>
      <c r="I1159" s="23"/>
      <c r="J1159" s="23"/>
      <c r="K1159" s="26" t="s">
        <v>426</v>
      </c>
      <c r="L1159" s="27"/>
      <c r="M1159" s="23"/>
    </row>
    <row r="1160" spans="1:13" ht="15.75" customHeight="1">
      <c r="A1160" s="22">
        <v>10551163</v>
      </c>
      <c r="B1160" s="23" t="s">
        <v>8822</v>
      </c>
      <c r="C1160" s="23" t="s">
        <v>8823</v>
      </c>
      <c r="D1160" s="23" t="s">
        <v>8824</v>
      </c>
      <c r="E1160" s="23" t="s">
        <v>1707</v>
      </c>
      <c r="F1160" s="23" t="s">
        <v>8825</v>
      </c>
      <c r="G1160" s="22">
        <v>1999</v>
      </c>
      <c r="H1160" s="24">
        <v>36471</v>
      </c>
      <c r="I1160" s="23"/>
      <c r="J1160" s="23"/>
      <c r="K1160" s="26" t="s">
        <v>1708</v>
      </c>
      <c r="L1160" s="27"/>
      <c r="M1160" s="27"/>
    </row>
    <row r="1161" spans="1:13" ht="15.75" customHeight="1">
      <c r="A1161" s="22">
        <v>21296175</v>
      </c>
      <c r="B1161" s="23" t="s">
        <v>8826</v>
      </c>
      <c r="C1161" s="23" t="s">
        <v>8827</v>
      </c>
      <c r="D1161" s="23" t="s">
        <v>8828</v>
      </c>
      <c r="E1161" s="23" t="s">
        <v>857</v>
      </c>
      <c r="F1161" s="23" t="s">
        <v>5076</v>
      </c>
      <c r="G1161" s="22">
        <v>2011</v>
      </c>
      <c r="H1161" s="24">
        <v>40582</v>
      </c>
      <c r="I1161" s="23"/>
      <c r="J1161" s="23"/>
      <c r="K1161" s="26" t="s">
        <v>858</v>
      </c>
      <c r="L1161" s="27"/>
      <c r="M1161" s="27"/>
    </row>
    <row r="1162" spans="1:13" ht="15.75" customHeight="1">
      <c r="A1162" s="22">
        <v>28746781</v>
      </c>
      <c r="B1162" s="23" t="s">
        <v>8829</v>
      </c>
      <c r="C1162" s="23" t="s">
        <v>8830</v>
      </c>
      <c r="D1162" s="23" t="s">
        <v>8831</v>
      </c>
      <c r="E1162" s="23" t="s">
        <v>2103</v>
      </c>
      <c r="F1162" s="23" t="s">
        <v>4974</v>
      </c>
      <c r="G1162" s="22">
        <v>2017</v>
      </c>
      <c r="H1162" s="24">
        <v>42943</v>
      </c>
      <c r="I1162" s="23"/>
      <c r="J1162" s="23"/>
      <c r="K1162" s="26" t="s">
        <v>2104</v>
      </c>
      <c r="L1162" s="27"/>
      <c r="M1162" s="23"/>
    </row>
    <row r="1163" spans="1:13" ht="15.75" customHeight="1">
      <c r="A1163" s="22">
        <v>28224486</v>
      </c>
      <c r="B1163" s="23" t="s">
        <v>8832</v>
      </c>
      <c r="C1163" s="23" t="s">
        <v>8833</v>
      </c>
      <c r="D1163" s="23" t="s">
        <v>8834</v>
      </c>
      <c r="E1163" s="23" t="s">
        <v>1284</v>
      </c>
      <c r="F1163" s="23" t="s">
        <v>4961</v>
      </c>
      <c r="G1163" s="22">
        <v>2017</v>
      </c>
      <c r="H1163" s="24">
        <v>42789</v>
      </c>
      <c r="I1163" s="23"/>
      <c r="J1163" s="23"/>
      <c r="K1163" s="26" t="s">
        <v>1285</v>
      </c>
      <c r="L1163" s="27"/>
      <c r="M1163" s="27"/>
    </row>
    <row r="1164" spans="1:13" ht="15.75" customHeight="1">
      <c r="A1164" s="22">
        <v>26399252</v>
      </c>
      <c r="B1164" s="23" t="s">
        <v>8835</v>
      </c>
      <c r="C1164" s="23" t="s">
        <v>8836</v>
      </c>
      <c r="D1164" s="23" t="s">
        <v>8837</v>
      </c>
      <c r="E1164" s="23" t="s">
        <v>3773</v>
      </c>
      <c r="F1164" s="23" t="s">
        <v>7225</v>
      </c>
      <c r="G1164" s="22">
        <v>2015</v>
      </c>
      <c r="H1164" s="24">
        <v>42272</v>
      </c>
      <c r="I1164" s="26" t="s">
        <v>8838</v>
      </c>
      <c r="J1164" s="27"/>
      <c r="K1164" s="26" t="s">
        <v>3774</v>
      </c>
      <c r="L1164" s="27"/>
      <c r="M1164" s="27"/>
    </row>
    <row r="1165" spans="1:13" ht="15.75" customHeight="1">
      <c r="A1165" s="22">
        <v>1849315</v>
      </c>
      <c r="B1165" s="23" t="s">
        <v>8839</v>
      </c>
      <c r="C1165" s="23" t="s">
        <v>8840</v>
      </c>
      <c r="D1165" s="23" t="s">
        <v>8841</v>
      </c>
      <c r="E1165" s="23" t="s">
        <v>2244</v>
      </c>
      <c r="F1165" s="23" t="s">
        <v>8842</v>
      </c>
      <c r="G1165" s="22">
        <v>1991</v>
      </c>
      <c r="H1165" s="24">
        <v>33298</v>
      </c>
      <c r="I1165" s="23"/>
      <c r="J1165" s="23"/>
      <c r="K1165" s="26" t="s">
        <v>2247</v>
      </c>
      <c r="L1165" s="27"/>
      <c r="M1165" s="27"/>
    </row>
    <row r="1166" spans="1:13" ht="15.75" customHeight="1">
      <c r="A1166" s="22">
        <v>31876110</v>
      </c>
      <c r="B1166" s="23" t="s">
        <v>8843</v>
      </c>
      <c r="C1166" s="23" t="s">
        <v>8844</v>
      </c>
      <c r="D1166" s="23" t="s">
        <v>8845</v>
      </c>
      <c r="E1166" s="23" t="s">
        <v>4261</v>
      </c>
      <c r="F1166" s="23" t="s">
        <v>5652</v>
      </c>
      <c r="G1166" s="22">
        <v>2020</v>
      </c>
      <c r="H1166" s="24">
        <v>43826</v>
      </c>
      <c r="I1166" s="23"/>
      <c r="J1166" s="23"/>
      <c r="K1166" s="26" t="s">
        <v>4262</v>
      </c>
      <c r="L1166" s="27"/>
      <c r="M1166" s="23"/>
    </row>
    <row r="1167" spans="1:13" ht="15.75" customHeight="1">
      <c r="A1167" s="22">
        <v>15077022</v>
      </c>
      <c r="B1167" s="23" t="s">
        <v>8846</v>
      </c>
      <c r="C1167" s="23" t="s">
        <v>8847</v>
      </c>
      <c r="D1167" s="23" t="s">
        <v>8848</v>
      </c>
      <c r="E1167" s="23" t="s">
        <v>4633</v>
      </c>
      <c r="F1167" s="23" t="s">
        <v>5445</v>
      </c>
      <c r="G1167" s="22">
        <v>2004</v>
      </c>
      <c r="H1167" s="24">
        <v>38090</v>
      </c>
      <c r="I1167" s="23"/>
      <c r="J1167" s="23"/>
      <c r="K1167" s="26" t="s">
        <v>4634</v>
      </c>
      <c r="L1167" s="27"/>
      <c r="M1167" s="27"/>
    </row>
    <row r="1168" spans="1:13" ht="15.75" customHeight="1">
      <c r="A1168" s="22">
        <v>15015596</v>
      </c>
      <c r="B1168" s="23" t="s">
        <v>8849</v>
      </c>
      <c r="C1168" s="23" t="s">
        <v>8850</v>
      </c>
      <c r="D1168" s="23" t="s">
        <v>8851</v>
      </c>
      <c r="E1168" s="23" t="s">
        <v>2800</v>
      </c>
      <c r="F1168" s="23" t="s">
        <v>7639</v>
      </c>
      <c r="G1168" s="22">
        <v>2004</v>
      </c>
      <c r="H1168" s="24">
        <v>38062</v>
      </c>
      <c r="I1168" s="23"/>
      <c r="J1168" s="23"/>
      <c r="K1168" s="23"/>
      <c r="L1168" s="23"/>
      <c r="M1168" s="23"/>
    </row>
    <row r="1169" spans="1:13" ht="15.75" customHeight="1">
      <c r="A1169" s="22">
        <v>29936509</v>
      </c>
      <c r="B1169" s="23" t="s">
        <v>8852</v>
      </c>
      <c r="C1169" s="23" t="s">
        <v>8853</v>
      </c>
      <c r="D1169" s="23" t="s">
        <v>8854</v>
      </c>
      <c r="E1169" s="23" t="s">
        <v>1905</v>
      </c>
      <c r="F1169" s="23" t="s">
        <v>8291</v>
      </c>
      <c r="G1169" s="22">
        <v>2018</v>
      </c>
      <c r="H1169" s="24">
        <v>43276</v>
      </c>
      <c r="I1169" s="23"/>
      <c r="J1169" s="23"/>
      <c r="K1169" s="26" t="s">
        <v>1918</v>
      </c>
      <c r="L1169" s="27"/>
      <c r="M1169" s="23"/>
    </row>
    <row r="1170" spans="1:13" ht="15.75" customHeight="1">
      <c r="A1170" s="22">
        <v>8178493</v>
      </c>
      <c r="B1170" s="23" t="s">
        <v>8855</v>
      </c>
      <c r="C1170" s="23" t="s">
        <v>8856</v>
      </c>
      <c r="D1170" s="23" t="s">
        <v>8857</v>
      </c>
      <c r="E1170" s="23" t="s">
        <v>2623</v>
      </c>
      <c r="F1170" s="23" t="s">
        <v>4950</v>
      </c>
      <c r="G1170" s="22">
        <v>1994</v>
      </c>
      <c r="H1170" s="24">
        <v>34469</v>
      </c>
      <c r="I1170" s="23"/>
      <c r="J1170" s="23"/>
      <c r="K1170" s="26" t="s">
        <v>2624</v>
      </c>
      <c r="L1170" s="27"/>
      <c r="M1170" s="23"/>
    </row>
    <row r="1171" spans="1:13" ht="15.75" customHeight="1">
      <c r="A1171" s="22">
        <v>14529887</v>
      </c>
      <c r="B1171" s="23" t="s">
        <v>8858</v>
      </c>
      <c r="C1171" s="23" t="s">
        <v>8859</v>
      </c>
      <c r="D1171" s="23" t="s">
        <v>8860</v>
      </c>
      <c r="E1171" s="23" t="s">
        <v>1827</v>
      </c>
      <c r="F1171" s="23" t="s">
        <v>5696</v>
      </c>
      <c r="G1171" s="22">
        <v>2003</v>
      </c>
      <c r="H1171" s="24">
        <v>37902</v>
      </c>
      <c r="I1171" s="23"/>
      <c r="J1171" s="23"/>
      <c r="K1171" s="26" t="s">
        <v>1828</v>
      </c>
      <c r="L1171" s="27"/>
      <c r="M1171" s="27"/>
    </row>
    <row r="1172" spans="1:13" ht="15.75" customHeight="1">
      <c r="A1172" s="22">
        <v>14556271</v>
      </c>
      <c r="B1172" s="23" t="s">
        <v>8861</v>
      </c>
      <c r="C1172" s="23" t="s">
        <v>8862</v>
      </c>
      <c r="D1172" s="23" t="s">
        <v>8863</v>
      </c>
      <c r="E1172" s="23" t="s">
        <v>4420</v>
      </c>
      <c r="F1172" s="23" t="s">
        <v>4923</v>
      </c>
      <c r="G1172" s="22">
        <v>2003</v>
      </c>
      <c r="H1172" s="24">
        <v>37908</v>
      </c>
      <c r="I1172" s="23"/>
      <c r="J1172" s="23"/>
      <c r="K1172" s="26" t="s">
        <v>4421</v>
      </c>
      <c r="L1172" s="27"/>
      <c r="M1172" s="23"/>
    </row>
    <row r="1173" spans="1:13" ht="15.75" customHeight="1">
      <c r="A1173" s="22">
        <v>11959192</v>
      </c>
      <c r="B1173" s="23" t="s">
        <v>8864</v>
      </c>
      <c r="C1173" s="23" t="s">
        <v>8865</v>
      </c>
      <c r="D1173" s="23" t="s">
        <v>8866</v>
      </c>
      <c r="E1173" s="23" t="s">
        <v>1809</v>
      </c>
      <c r="F1173" s="23" t="s">
        <v>5696</v>
      </c>
      <c r="G1173" s="22">
        <v>2002</v>
      </c>
      <c r="H1173" s="24">
        <v>37364</v>
      </c>
      <c r="I1173" s="23"/>
      <c r="J1173" s="23"/>
      <c r="K1173" s="26" t="s">
        <v>1810</v>
      </c>
      <c r="L1173" s="27"/>
      <c r="M1173" s="27"/>
    </row>
    <row r="1174" spans="1:13" ht="15.75" customHeight="1">
      <c r="A1174" s="22">
        <v>8598307</v>
      </c>
      <c r="B1174" s="23" t="s">
        <v>8867</v>
      </c>
      <c r="C1174" s="23" t="s">
        <v>8868</v>
      </c>
      <c r="D1174" s="23" t="s">
        <v>8869</v>
      </c>
      <c r="E1174" s="23" t="s">
        <v>3914</v>
      </c>
      <c r="F1174" s="23" t="s">
        <v>8870</v>
      </c>
      <c r="G1174" s="22">
        <v>1996</v>
      </c>
      <c r="H1174" s="24">
        <v>35125</v>
      </c>
      <c r="I1174" s="23"/>
      <c r="J1174" s="23"/>
      <c r="K1174" s="26" t="s">
        <v>3915</v>
      </c>
      <c r="L1174" s="27"/>
      <c r="M1174" s="27"/>
    </row>
    <row r="1175" spans="1:13" ht="15.75" customHeight="1">
      <c r="A1175" s="22">
        <v>17005699</v>
      </c>
      <c r="B1175" s="23" t="s">
        <v>8871</v>
      </c>
      <c r="C1175" s="23" t="s">
        <v>8872</v>
      </c>
      <c r="D1175" s="23" t="s">
        <v>8873</v>
      </c>
      <c r="E1175" s="23" t="s">
        <v>4272</v>
      </c>
      <c r="F1175" s="23" t="s">
        <v>4891</v>
      </c>
      <c r="G1175" s="22">
        <v>2006</v>
      </c>
      <c r="H1175" s="24">
        <v>38989</v>
      </c>
      <c r="I1175" s="26" t="s">
        <v>8874</v>
      </c>
      <c r="J1175" s="27"/>
      <c r="K1175" s="26" t="s">
        <v>4273</v>
      </c>
      <c r="L1175" s="27"/>
      <c r="M1175" s="23"/>
    </row>
    <row r="1176" spans="1:13" ht="15.75" customHeight="1">
      <c r="A1176" s="22">
        <v>12353194</v>
      </c>
      <c r="B1176" s="23" t="s">
        <v>8875</v>
      </c>
      <c r="C1176" s="23" t="s">
        <v>7324</v>
      </c>
      <c r="D1176" s="23" t="s">
        <v>8876</v>
      </c>
      <c r="E1176" s="23" t="s">
        <v>249</v>
      </c>
      <c r="F1176" s="23" t="s">
        <v>4992</v>
      </c>
      <c r="G1176" s="22">
        <v>2002</v>
      </c>
      <c r="H1176" s="24">
        <v>37527</v>
      </c>
      <c r="I1176" s="23"/>
      <c r="J1176" s="23"/>
      <c r="K1176" s="26" t="s">
        <v>2992</v>
      </c>
      <c r="L1176" s="27"/>
      <c r="M1176" s="23"/>
    </row>
    <row r="1177" spans="1:13" ht="15.75" customHeight="1">
      <c r="A1177" s="22">
        <v>24749313</v>
      </c>
      <c r="B1177" s="23" t="s">
        <v>8877</v>
      </c>
      <c r="C1177" s="23" t="s">
        <v>8878</v>
      </c>
      <c r="D1177" s="23" t="s">
        <v>8879</v>
      </c>
      <c r="E1177" s="23" t="s">
        <v>4361</v>
      </c>
      <c r="F1177" s="23" t="s">
        <v>8880</v>
      </c>
      <c r="G1177" s="22">
        <v>2014</v>
      </c>
      <c r="H1177" s="24">
        <v>41752</v>
      </c>
      <c r="I1177" s="23"/>
      <c r="J1177" s="23"/>
      <c r="K1177" s="23"/>
      <c r="L1177" s="23"/>
      <c r="M1177" s="23"/>
    </row>
    <row r="1178" spans="1:13" ht="15.75" customHeight="1">
      <c r="A1178" s="22">
        <v>7736391</v>
      </c>
      <c r="B1178" s="23" t="s">
        <v>8881</v>
      </c>
      <c r="C1178" s="23" t="s">
        <v>8882</v>
      </c>
      <c r="D1178" s="23" t="s">
        <v>8883</v>
      </c>
      <c r="E1178" s="23" t="s">
        <v>1439</v>
      </c>
      <c r="F1178" s="23" t="s">
        <v>8884</v>
      </c>
      <c r="G1178" s="22">
        <v>1995</v>
      </c>
      <c r="H1178" s="24">
        <v>34834</v>
      </c>
      <c r="I1178" s="23"/>
      <c r="J1178" s="23"/>
      <c r="K1178" s="26" t="s">
        <v>1440</v>
      </c>
      <c r="L1178" s="27"/>
      <c r="M1178" s="27"/>
    </row>
    <row r="1179" spans="1:13" ht="15.75" customHeight="1">
      <c r="A1179" s="22">
        <v>15050166</v>
      </c>
      <c r="B1179" s="23" t="s">
        <v>8885</v>
      </c>
      <c r="C1179" s="23" t="s">
        <v>8886</v>
      </c>
      <c r="D1179" s="23" t="s">
        <v>8887</v>
      </c>
      <c r="E1179" s="23" t="s">
        <v>3529</v>
      </c>
      <c r="F1179" s="23" t="s">
        <v>5696</v>
      </c>
      <c r="G1179" s="22">
        <v>2004</v>
      </c>
      <c r="H1179" s="24">
        <v>38077</v>
      </c>
      <c r="I1179" s="23"/>
      <c r="J1179" s="23"/>
      <c r="K1179" s="26" t="s">
        <v>3530</v>
      </c>
      <c r="L1179" s="27"/>
      <c r="M1179" s="27"/>
    </row>
    <row r="1180" spans="1:13" ht="15.75" customHeight="1">
      <c r="A1180" s="22">
        <v>21549850</v>
      </c>
      <c r="B1180" s="23" t="s">
        <v>8888</v>
      </c>
      <c r="C1180" s="23" t="s">
        <v>8889</v>
      </c>
      <c r="D1180" s="23" t="s">
        <v>8890</v>
      </c>
      <c r="E1180" s="23" t="s">
        <v>102</v>
      </c>
      <c r="F1180" s="23" t="s">
        <v>5076</v>
      </c>
      <c r="G1180" s="22">
        <v>2011</v>
      </c>
      <c r="H1180" s="24">
        <v>40673</v>
      </c>
      <c r="I1180" s="23" t="s">
        <v>8891</v>
      </c>
      <c r="J1180" s="23" t="s">
        <v>8892</v>
      </c>
      <c r="K1180" s="26" t="s">
        <v>310</v>
      </c>
      <c r="L1180" s="27"/>
      <c r="M1180" s="27"/>
    </row>
    <row r="1181" spans="1:13" ht="15.75" customHeight="1">
      <c r="A1181" s="22">
        <v>12123213</v>
      </c>
      <c r="B1181" s="23" t="s">
        <v>8893</v>
      </c>
      <c r="C1181" s="23" t="s">
        <v>8894</v>
      </c>
      <c r="D1181" s="23" t="s">
        <v>8895</v>
      </c>
      <c r="E1181" s="23" t="s">
        <v>651</v>
      </c>
      <c r="F1181" s="23" t="s">
        <v>5726</v>
      </c>
      <c r="G1181" s="22">
        <v>2002</v>
      </c>
      <c r="H1181" s="24">
        <v>37456</v>
      </c>
      <c r="I1181" s="23"/>
      <c r="J1181" s="23"/>
      <c r="K1181" s="26" t="s">
        <v>2456</v>
      </c>
      <c r="L1181" s="27"/>
      <c r="M1181" s="27"/>
    </row>
    <row r="1182" spans="1:13" ht="15.75" customHeight="1">
      <c r="A1182" s="22">
        <v>1375131</v>
      </c>
      <c r="B1182" s="23" t="s">
        <v>8896</v>
      </c>
      <c r="C1182" s="23" t="s">
        <v>8897</v>
      </c>
      <c r="D1182" s="23" t="s">
        <v>8898</v>
      </c>
      <c r="E1182" s="23" t="s">
        <v>4522</v>
      </c>
      <c r="F1182" s="23" t="s">
        <v>8899</v>
      </c>
      <c r="G1182" s="22">
        <v>1992</v>
      </c>
      <c r="H1182" s="24">
        <v>33756</v>
      </c>
      <c r="I1182" s="23"/>
      <c r="J1182" s="23"/>
      <c r="K1182" s="26" t="s">
        <v>4525</v>
      </c>
      <c r="L1182" s="27"/>
      <c r="M1182" s="27"/>
    </row>
    <row r="1183" spans="1:13" ht="15.75" customHeight="1">
      <c r="A1183" s="22">
        <v>10680737</v>
      </c>
      <c r="B1183" s="23" t="s">
        <v>8900</v>
      </c>
      <c r="C1183" s="23" t="s">
        <v>8901</v>
      </c>
      <c r="D1183" s="23" t="s">
        <v>8902</v>
      </c>
      <c r="E1183" s="23" t="s">
        <v>2419</v>
      </c>
      <c r="F1183" s="23" t="s">
        <v>4896</v>
      </c>
      <c r="G1183" s="22">
        <v>2000</v>
      </c>
      <c r="H1183" s="24">
        <v>36575</v>
      </c>
      <c r="I1183" s="23"/>
      <c r="J1183" s="23"/>
      <c r="K1183" s="26" t="s">
        <v>2420</v>
      </c>
      <c r="L1183" s="27"/>
      <c r="M1183" s="27"/>
    </row>
    <row r="1184" spans="1:13" ht="15.75" customHeight="1">
      <c r="A1184" s="22">
        <v>8584318</v>
      </c>
      <c r="B1184" s="23" t="s">
        <v>8903</v>
      </c>
      <c r="C1184" s="23" t="s">
        <v>8904</v>
      </c>
      <c r="D1184" s="23" t="s">
        <v>8905</v>
      </c>
      <c r="E1184" s="23" t="s">
        <v>3373</v>
      </c>
      <c r="F1184" s="23" t="s">
        <v>5982</v>
      </c>
      <c r="G1184" s="22">
        <v>1995</v>
      </c>
      <c r="H1184" s="24">
        <v>34973</v>
      </c>
      <c r="I1184" s="23"/>
      <c r="J1184" s="23"/>
      <c r="K1184" s="26" t="s">
        <v>3374</v>
      </c>
      <c r="L1184" s="27"/>
      <c r="M1184" s="27"/>
    </row>
    <row r="1185" spans="1:13" ht="15.75" customHeight="1">
      <c r="A1185" s="22">
        <v>11285565</v>
      </c>
      <c r="B1185" s="23" t="s">
        <v>8906</v>
      </c>
      <c r="C1185" s="23" t="s">
        <v>8907</v>
      </c>
      <c r="D1185" s="23" t="s">
        <v>8908</v>
      </c>
      <c r="E1185" s="23" t="s">
        <v>4277</v>
      </c>
      <c r="F1185" s="23" t="s">
        <v>4923</v>
      </c>
      <c r="G1185" s="22">
        <v>2001</v>
      </c>
      <c r="H1185" s="24">
        <v>36985</v>
      </c>
      <c r="I1185" s="23"/>
      <c r="J1185" s="23"/>
      <c r="K1185" s="26" t="s">
        <v>4281</v>
      </c>
      <c r="L1185" s="27"/>
      <c r="M1185" s="23"/>
    </row>
    <row r="1186" spans="1:13" ht="15.75" customHeight="1">
      <c r="A1186" s="22">
        <v>12757622</v>
      </c>
      <c r="B1186" s="23" t="s">
        <v>8909</v>
      </c>
      <c r="C1186" s="23" t="s">
        <v>8910</v>
      </c>
      <c r="D1186" s="23" t="s">
        <v>8911</v>
      </c>
      <c r="E1186" s="23" t="s">
        <v>4298</v>
      </c>
      <c r="F1186" s="23" t="s">
        <v>8912</v>
      </c>
      <c r="G1186" s="22">
        <v>2003</v>
      </c>
      <c r="H1186" s="24">
        <v>37763</v>
      </c>
      <c r="I1186" s="26" t="s">
        <v>8913</v>
      </c>
      <c r="J1186" s="27"/>
      <c r="K1186" s="26" t="s">
        <v>4299</v>
      </c>
      <c r="L1186" s="27"/>
      <c r="M1186" s="27"/>
    </row>
    <row r="1187" spans="1:13" ht="15.75" customHeight="1">
      <c r="A1187" s="22">
        <v>12041676</v>
      </c>
      <c r="B1187" s="23" t="s">
        <v>8914</v>
      </c>
      <c r="C1187" s="23" t="s">
        <v>8915</v>
      </c>
      <c r="D1187" s="23" t="s">
        <v>8916</v>
      </c>
      <c r="E1187" s="23" t="s">
        <v>4618</v>
      </c>
      <c r="F1187" s="23" t="s">
        <v>4927</v>
      </c>
      <c r="G1187" s="22">
        <v>2002</v>
      </c>
      <c r="H1187" s="24">
        <v>37411</v>
      </c>
      <c r="I1187" s="23"/>
      <c r="J1187" s="23"/>
      <c r="K1187" s="26" t="s">
        <v>4619</v>
      </c>
      <c r="L1187" s="27"/>
      <c r="M1187" s="23"/>
    </row>
    <row r="1188" spans="1:13" ht="15.75" customHeight="1">
      <c r="A1188" s="22">
        <v>16305617</v>
      </c>
      <c r="B1188" s="23" t="s">
        <v>8917</v>
      </c>
      <c r="C1188" s="23" t="s">
        <v>8918</v>
      </c>
      <c r="D1188" s="23" t="s">
        <v>8919</v>
      </c>
      <c r="E1188" s="23" t="s">
        <v>1360</v>
      </c>
      <c r="F1188" s="23" t="s">
        <v>5543</v>
      </c>
      <c r="G1188" s="22">
        <v>2005</v>
      </c>
      <c r="H1188" s="24">
        <v>38681</v>
      </c>
      <c r="I1188" s="23"/>
      <c r="J1188" s="23"/>
      <c r="K1188" s="26" t="s">
        <v>1361</v>
      </c>
      <c r="L1188" s="27"/>
      <c r="M1188" s="27"/>
    </row>
    <row r="1189" spans="1:13" ht="15.75" customHeight="1">
      <c r="A1189" s="22">
        <v>16177086</v>
      </c>
      <c r="B1189" s="23" t="s">
        <v>8920</v>
      </c>
      <c r="C1189" s="23" t="s">
        <v>8921</v>
      </c>
      <c r="D1189" s="23" t="s">
        <v>8922</v>
      </c>
      <c r="E1189" s="23" t="s">
        <v>4000</v>
      </c>
      <c r="F1189" s="23" t="s">
        <v>6293</v>
      </c>
      <c r="G1189" s="22">
        <v>2005</v>
      </c>
      <c r="H1189" s="24">
        <v>38619</v>
      </c>
      <c r="I1189" s="23"/>
      <c r="J1189" s="23"/>
      <c r="K1189" s="26" t="s">
        <v>4001</v>
      </c>
      <c r="L1189" s="27"/>
      <c r="M1189" s="27"/>
    </row>
    <row r="1190" spans="1:13" ht="15.75" customHeight="1">
      <c r="A1190" s="22">
        <v>21358680</v>
      </c>
      <c r="B1190" s="23" t="s">
        <v>8923</v>
      </c>
      <c r="C1190" s="23" t="s">
        <v>8924</v>
      </c>
      <c r="D1190" s="23" t="s">
        <v>8925</v>
      </c>
      <c r="E1190" s="23" t="s">
        <v>648</v>
      </c>
      <c r="F1190" s="23" t="s">
        <v>4863</v>
      </c>
      <c r="G1190" s="22">
        <v>2012</v>
      </c>
      <c r="H1190" s="24">
        <v>40604</v>
      </c>
      <c r="I1190" s="23"/>
      <c r="J1190" s="23"/>
      <c r="K1190" s="26" t="s">
        <v>649</v>
      </c>
      <c r="L1190" s="27"/>
      <c r="M1190" s="23"/>
    </row>
    <row r="1191" spans="1:13" ht="15.75" customHeight="1">
      <c r="A1191" s="22">
        <v>9037664</v>
      </c>
      <c r="B1191" s="23" t="s">
        <v>8926</v>
      </c>
      <c r="C1191" s="23" t="s">
        <v>8927</v>
      </c>
      <c r="D1191" s="23" t="s">
        <v>8928</v>
      </c>
      <c r="E1191" s="23" t="s">
        <v>1199</v>
      </c>
      <c r="F1191" s="23" t="s">
        <v>5103</v>
      </c>
      <c r="G1191" s="22">
        <v>1997</v>
      </c>
      <c r="H1191" s="24">
        <v>35431</v>
      </c>
      <c r="I1191" s="23"/>
      <c r="J1191" s="23"/>
      <c r="K1191" s="23"/>
      <c r="L1191" s="23"/>
      <c r="M1191" s="23"/>
    </row>
    <row r="1192" spans="1:13" ht="15.75" customHeight="1">
      <c r="A1192" s="22">
        <v>20979645</v>
      </c>
      <c r="B1192" s="23" t="s">
        <v>8929</v>
      </c>
      <c r="C1192" s="23" t="s">
        <v>8930</v>
      </c>
      <c r="D1192" s="23" t="s">
        <v>8931</v>
      </c>
      <c r="E1192" s="23" t="s">
        <v>3014</v>
      </c>
      <c r="F1192" s="23" t="s">
        <v>4867</v>
      </c>
      <c r="G1192" s="22">
        <v>2010</v>
      </c>
      <c r="H1192" s="24">
        <v>40480</v>
      </c>
      <c r="I1192" s="26" t="s">
        <v>8932</v>
      </c>
      <c r="J1192" s="27"/>
      <c r="K1192" s="26" t="s">
        <v>3015</v>
      </c>
      <c r="L1192" s="27"/>
      <c r="M1192" s="27"/>
    </row>
    <row r="1193" spans="1:13" ht="15.75" customHeight="1">
      <c r="A1193" s="22">
        <v>10918273</v>
      </c>
      <c r="B1193" s="23" t="s">
        <v>8933</v>
      </c>
      <c r="C1193" s="23" t="s">
        <v>8934</v>
      </c>
      <c r="D1193" s="23" t="s">
        <v>8935</v>
      </c>
      <c r="E1193" s="23" t="s">
        <v>4346</v>
      </c>
      <c r="F1193" s="23" t="s">
        <v>8936</v>
      </c>
      <c r="G1193" s="22">
        <v>2000</v>
      </c>
      <c r="H1193" s="24">
        <v>36741</v>
      </c>
      <c r="I1193" s="23"/>
      <c r="J1193" s="23"/>
      <c r="K1193" s="26" t="s">
        <v>4347</v>
      </c>
      <c r="L1193" s="27"/>
      <c r="M1193" s="27"/>
    </row>
    <row r="1194" spans="1:13" ht="15.75" customHeight="1">
      <c r="A1194" s="22">
        <v>8397041</v>
      </c>
      <c r="B1194" s="23" t="s">
        <v>8937</v>
      </c>
      <c r="C1194" s="23" t="s">
        <v>8938</v>
      </c>
      <c r="D1194" s="23" t="s">
        <v>8939</v>
      </c>
      <c r="E1194" s="23" t="s">
        <v>465</v>
      </c>
      <c r="F1194" s="23" t="s">
        <v>8940</v>
      </c>
      <c r="G1194" s="22">
        <v>1993</v>
      </c>
      <c r="H1194" s="24">
        <v>34001</v>
      </c>
      <c r="I1194" s="23"/>
      <c r="J1194" s="23"/>
      <c r="K1194" s="26" t="s">
        <v>1223</v>
      </c>
      <c r="L1194" s="27"/>
      <c r="M1194" s="27"/>
    </row>
    <row r="1195" spans="1:13" ht="15.75" customHeight="1">
      <c r="A1195" s="22">
        <v>20500695</v>
      </c>
      <c r="B1195" s="23" t="s">
        <v>8941</v>
      </c>
      <c r="C1195" s="23" t="s">
        <v>8942</v>
      </c>
      <c r="D1195" s="23" t="s">
        <v>8943</v>
      </c>
      <c r="E1195" s="23" t="s">
        <v>1317</v>
      </c>
      <c r="F1195" s="23" t="s">
        <v>8842</v>
      </c>
      <c r="G1195" s="22">
        <v>2010</v>
      </c>
      <c r="H1195" s="24">
        <v>40325</v>
      </c>
      <c r="I1195" s="23"/>
      <c r="J1195" s="23"/>
      <c r="K1195" s="26" t="s">
        <v>1318</v>
      </c>
      <c r="L1195" s="27"/>
      <c r="M1195" s="27"/>
    </row>
    <row r="1196" spans="1:13" ht="15.75" customHeight="1">
      <c r="A1196" s="22">
        <v>15494709</v>
      </c>
      <c r="B1196" s="23" t="s">
        <v>8944</v>
      </c>
      <c r="C1196" s="23" t="s">
        <v>8945</v>
      </c>
      <c r="D1196" s="23" t="s">
        <v>8946</v>
      </c>
      <c r="E1196" s="23" t="s">
        <v>3131</v>
      </c>
      <c r="F1196" s="23" t="s">
        <v>8947</v>
      </c>
      <c r="G1196" s="22">
        <v>2004</v>
      </c>
      <c r="H1196" s="24">
        <v>38281</v>
      </c>
      <c r="I1196" s="23" t="s">
        <v>8948</v>
      </c>
      <c r="J1196" s="23" t="s">
        <v>8949</v>
      </c>
      <c r="K1196" s="26" t="s">
        <v>3132</v>
      </c>
      <c r="L1196" s="27"/>
      <c r="M1196" s="27"/>
    </row>
    <row r="1197" spans="1:13" ht="15.75" customHeight="1">
      <c r="A1197" s="22">
        <v>30256500</v>
      </c>
      <c r="B1197" s="23" t="s">
        <v>8950</v>
      </c>
      <c r="C1197" s="23" t="s">
        <v>8951</v>
      </c>
      <c r="D1197" s="23" t="s">
        <v>8952</v>
      </c>
      <c r="E1197" s="23" t="s">
        <v>860</v>
      </c>
      <c r="F1197" s="23" t="s">
        <v>4974</v>
      </c>
      <c r="G1197" s="22">
        <v>2019</v>
      </c>
      <c r="H1197" s="24">
        <v>43370</v>
      </c>
      <c r="I1197" s="23"/>
      <c r="J1197" s="23"/>
      <c r="K1197" s="26" t="s">
        <v>861</v>
      </c>
      <c r="L1197" s="27"/>
      <c r="M1197" s="23"/>
    </row>
    <row r="1198" spans="1:13" ht="15.75" customHeight="1">
      <c r="A1198" s="22">
        <v>16858271</v>
      </c>
      <c r="B1198" s="23" t="s">
        <v>8953</v>
      </c>
      <c r="C1198" s="23" t="s">
        <v>8954</v>
      </c>
      <c r="D1198" s="23" t="s">
        <v>8955</v>
      </c>
      <c r="E1198" s="23" t="s">
        <v>651</v>
      </c>
      <c r="F1198" s="23" t="s">
        <v>5445</v>
      </c>
      <c r="G1198" s="22">
        <v>2006</v>
      </c>
      <c r="H1198" s="24">
        <v>38920</v>
      </c>
      <c r="I1198" s="23"/>
      <c r="J1198" s="23"/>
      <c r="K1198" s="26" t="s">
        <v>2458</v>
      </c>
      <c r="L1198" s="27"/>
      <c r="M1198" s="27"/>
    </row>
    <row r="1199" spans="1:13" ht="15.75" customHeight="1">
      <c r="A1199" s="22">
        <v>20853075</v>
      </c>
      <c r="B1199" s="23" t="s">
        <v>8956</v>
      </c>
      <c r="C1199" s="23" t="s">
        <v>8957</v>
      </c>
      <c r="D1199" s="23" t="s">
        <v>8958</v>
      </c>
      <c r="E1199" s="23" t="s">
        <v>4220</v>
      </c>
      <c r="F1199" s="23" t="s">
        <v>8959</v>
      </c>
      <c r="G1199" s="22">
        <v>2011</v>
      </c>
      <c r="H1199" s="24">
        <v>40442</v>
      </c>
      <c r="I1199" s="23"/>
      <c r="J1199" s="23"/>
      <c r="K1199" s="26" t="s">
        <v>4221</v>
      </c>
      <c r="L1199" s="27"/>
      <c r="M1199" s="27"/>
    </row>
    <row r="1200" spans="1:13" ht="15.75" customHeight="1">
      <c r="A1200" s="22">
        <v>12009660</v>
      </c>
      <c r="B1200" s="23" t="s">
        <v>8960</v>
      </c>
      <c r="C1200" s="23" t="s">
        <v>8961</v>
      </c>
      <c r="D1200" s="23" t="s">
        <v>8962</v>
      </c>
      <c r="E1200" s="23" t="s">
        <v>1827</v>
      </c>
      <c r="F1200" s="23" t="s">
        <v>5696</v>
      </c>
      <c r="G1200" s="22">
        <v>2002</v>
      </c>
      <c r="H1200" s="24">
        <v>37392</v>
      </c>
      <c r="I1200" s="23"/>
      <c r="J1200" s="23"/>
      <c r="K1200" s="26" t="s">
        <v>1830</v>
      </c>
      <c r="L1200" s="27"/>
      <c r="M1200" s="27"/>
    </row>
    <row r="1201" spans="1:13" ht="15.75" customHeight="1">
      <c r="A1201" s="22">
        <v>17092696</v>
      </c>
      <c r="B1201" s="23" t="s">
        <v>8963</v>
      </c>
      <c r="C1201" s="23" t="s">
        <v>8964</v>
      </c>
      <c r="D1201" s="23" t="s">
        <v>8965</v>
      </c>
      <c r="E1201" s="23" t="s">
        <v>3630</v>
      </c>
      <c r="F1201" s="23" t="s">
        <v>7737</v>
      </c>
      <c r="G1201" s="22">
        <v>2006</v>
      </c>
      <c r="H1201" s="24">
        <v>39031</v>
      </c>
      <c r="I1201" s="23"/>
      <c r="J1201" s="23"/>
      <c r="K1201" s="26" t="s">
        <v>3631</v>
      </c>
      <c r="L1201" s="27"/>
      <c r="M1201" s="27"/>
    </row>
    <row r="1202" spans="1:13" ht="15.75" customHeight="1">
      <c r="A1202" s="22">
        <v>29197110</v>
      </c>
      <c r="B1202" s="23" t="s">
        <v>8966</v>
      </c>
      <c r="C1202" s="23" t="s">
        <v>8967</v>
      </c>
      <c r="D1202" s="23" t="s">
        <v>8968</v>
      </c>
      <c r="E1202" s="23" t="s">
        <v>1779</v>
      </c>
      <c r="F1202" s="23" t="s">
        <v>5291</v>
      </c>
      <c r="G1202" s="22">
        <v>2018</v>
      </c>
      <c r="H1202" s="24">
        <v>43072</v>
      </c>
      <c r="I1202" s="23"/>
      <c r="J1202" s="23"/>
      <c r="K1202" s="26" t="s">
        <v>1780</v>
      </c>
      <c r="L1202" s="27"/>
      <c r="M1202" s="23"/>
    </row>
    <row r="1203" spans="1:13" ht="15.75" customHeight="1">
      <c r="A1203" s="22">
        <v>27772620</v>
      </c>
      <c r="B1203" s="23" t="s">
        <v>8969</v>
      </c>
      <c r="C1203" s="23" t="s">
        <v>8970</v>
      </c>
      <c r="D1203" s="23" t="s">
        <v>8971</v>
      </c>
      <c r="E1203" s="23" t="s">
        <v>3876</v>
      </c>
      <c r="F1203" s="23" t="s">
        <v>8972</v>
      </c>
      <c r="G1203" s="22">
        <v>2016</v>
      </c>
      <c r="H1203" s="24">
        <v>42668</v>
      </c>
      <c r="I1203" s="23"/>
      <c r="J1203" s="23"/>
      <c r="K1203" s="26" t="s">
        <v>3877</v>
      </c>
      <c r="L1203" s="27"/>
      <c r="M1203" s="27"/>
    </row>
    <row r="1204" spans="1:13" ht="15.75" customHeight="1">
      <c r="A1204" s="22">
        <v>18277595</v>
      </c>
      <c r="B1204" s="23" t="s">
        <v>8973</v>
      </c>
      <c r="C1204" s="23" t="s">
        <v>8974</v>
      </c>
      <c r="D1204" s="23" t="s">
        <v>8975</v>
      </c>
      <c r="E1204" s="23" t="s">
        <v>3329</v>
      </c>
      <c r="F1204" s="23" t="s">
        <v>5047</v>
      </c>
      <c r="G1204" s="22">
        <v>2008</v>
      </c>
      <c r="H1204" s="24">
        <v>39497</v>
      </c>
      <c r="I1204" s="23"/>
      <c r="J1204" s="23"/>
      <c r="K1204" s="23"/>
      <c r="L1204" s="23"/>
      <c r="M1204" s="23"/>
    </row>
    <row r="1205" spans="1:13" ht="15.75" customHeight="1">
      <c r="A1205" s="22">
        <v>10827485</v>
      </c>
      <c r="B1205" s="23" t="s">
        <v>8976</v>
      </c>
      <c r="C1205" s="23" t="s">
        <v>8298</v>
      </c>
      <c r="D1205" s="23" t="s">
        <v>8977</v>
      </c>
      <c r="E1205" s="23" t="s">
        <v>1308</v>
      </c>
      <c r="F1205" s="23" t="s">
        <v>8978</v>
      </c>
      <c r="G1205" s="22">
        <v>1999</v>
      </c>
      <c r="H1205" s="24">
        <v>36675</v>
      </c>
      <c r="I1205" s="23"/>
      <c r="J1205" s="23"/>
      <c r="K1205" s="23"/>
      <c r="L1205" s="23"/>
      <c r="M1205" s="23"/>
    </row>
    <row r="1206" spans="1:13" ht="15.75" customHeight="1">
      <c r="A1206" s="22">
        <v>11706967</v>
      </c>
      <c r="B1206" s="23" t="s">
        <v>8979</v>
      </c>
      <c r="C1206" s="23" t="s">
        <v>8980</v>
      </c>
      <c r="D1206" s="23" t="s">
        <v>8981</v>
      </c>
      <c r="E1206" s="23" t="s">
        <v>4395</v>
      </c>
      <c r="F1206" s="23" t="s">
        <v>7649</v>
      </c>
      <c r="G1206" s="22">
        <v>2001</v>
      </c>
      <c r="H1206" s="24">
        <v>37210</v>
      </c>
      <c r="I1206" s="23"/>
      <c r="J1206" s="23"/>
      <c r="K1206" s="26" t="s">
        <v>4396</v>
      </c>
      <c r="L1206" s="27"/>
      <c r="M1206" s="23"/>
    </row>
    <row r="1207" spans="1:13" ht="15.75" customHeight="1">
      <c r="A1207" s="22">
        <v>19843234</v>
      </c>
      <c r="B1207" s="23" t="s">
        <v>8982</v>
      </c>
      <c r="C1207" s="23" t="s">
        <v>8983</v>
      </c>
      <c r="D1207" s="23" t="s">
        <v>8984</v>
      </c>
      <c r="E1207" s="23" t="s">
        <v>528</v>
      </c>
      <c r="F1207" s="23" t="s">
        <v>5543</v>
      </c>
      <c r="G1207" s="22">
        <v>2010</v>
      </c>
      <c r="H1207" s="24">
        <v>40108</v>
      </c>
      <c r="I1207" s="23"/>
      <c r="J1207" s="23"/>
      <c r="K1207" s="26" t="s">
        <v>532</v>
      </c>
      <c r="L1207" s="27"/>
      <c r="M1207" s="27"/>
    </row>
    <row r="1208" spans="1:13" ht="15.75" customHeight="1">
      <c r="A1208" s="22">
        <v>25564483</v>
      </c>
      <c r="B1208" s="23" t="s">
        <v>8985</v>
      </c>
      <c r="C1208" s="23" t="s">
        <v>8986</v>
      </c>
      <c r="D1208" s="23" t="s">
        <v>8987</v>
      </c>
      <c r="E1208" s="23" t="s">
        <v>3834</v>
      </c>
      <c r="F1208" s="23" t="s">
        <v>8988</v>
      </c>
      <c r="G1208" s="22">
        <v>2015</v>
      </c>
      <c r="H1208" s="24">
        <v>42012</v>
      </c>
      <c r="I1208" s="23" t="s">
        <v>8989</v>
      </c>
      <c r="J1208" s="23" t="s">
        <v>8990</v>
      </c>
      <c r="K1208" s="26" t="s">
        <v>3835</v>
      </c>
      <c r="L1208" s="27"/>
      <c r="M1208" s="27"/>
    </row>
    <row r="1209" spans="1:13" ht="15.75" customHeight="1">
      <c r="A1209" s="22">
        <v>22388278</v>
      </c>
      <c r="B1209" s="23" t="s">
        <v>8991</v>
      </c>
      <c r="C1209" s="23" t="s">
        <v>8992</v>
      </c>
      <c r="D1209" s="23" t="s">
        <v>8993</v>
      </c>
      <c r="E1209" s="23" t="s">
        <v>686</v>
      </c>
      <c r="F1209" s="23" t="s">
        <v>4863</v>
      </c>
      <c r="G1209" s="22">
        <v>2012</v>
      </c>
      <c r="H1209" s="24">
        <v>40974</v>
      </c>
      <c r="I1209" s="23"/>
      <c r="J1209" s="23"/>
      <c r="K1209" s="26" t="s">
        <v>2660</v>
      </c>
      <c r="L1209" s="27"/>
      <c r="M1209" s="23"/>
    </row>
    <row r="1210" spans="1:13" ht="15.75" customHeight="1">
      <c r="A1210" s="22">
        <v>15010521</v>
      </c>
      <c r="B1210" s="23" t="s">
        <v>8994</v>
      </c>
      <c r="C1210" s="23" t="s">
        <v>8995</v>
      </c>
      <c r="D1210" s="23" t="s">
        <v>8996</v>
      </c>
      <c r="E1210" s="23" t="s">
        <v>1972</v>
      </c>
      <c r="F1210" s="23" t="s">
        <v>8997</v>
      </c>
      <c r="G1210" s="22">
        <v>2004</v>
      </c>
      <c r="H1210" s="24">
        <v>38057</v>
      </c>
      <c r="I1210" s="23"/>
      <c r="J1210" s="23"/>
      <c r="K1210" s="26" t="s">
        <v>1973</v>
      </c>
      <c r="L1210" s="27"/>
      <c r="M1210" s="23"/>
    </row>
    <row r="1211" spans="1:13" ht="15.75" customHeight="1">
      <c r="A1211" s="22">
        <v>25656804</v>
      </c>
      <c r="B1211" s="23" t="s">
        <v>8998</v>
      </c>
      <c r="C1211" s="23" t="s">
        <v>8999</v>
      </c>
      <c r="D1211" s="23" t="s">
        <v>9000</v>
      </c>
      <c r="E1211" s="23" t="s">
        <v>1931</v>
      </c>
      <c r="F1211" s="23" t="s">
        <v>9001</v>
      </c>
      <c r="G1211" s="22">
        <v>2015</v>
      </c>
      <c r="H1211" s="24">
        <v>42042</v>
      </c>
      <c r="I1211" s="23"/>
      <c r="J1211" s="23"/>
      <c r="K1211" s="26" t="s">
        <v>1932</v>
      </c>
      <c r="L1211" s="27"/>
      <c r="M1211" s="27"/>
    </row>
    <row r="1212" spans="1:13" ht="15.75" customHeight="1">
      <c r="A1212" s="22">
        <v>12520651</v>
      </c>
      <c r="B1212" s="23" t="s">
        <v>9002</v>
      </c>
      <c r="C1212" s="23" t="s">
        <v>9003</v>
      </c>
      <c r="D1212" s="23" t="s">
        <v>9004</v>
      </c>
      <c r="E1212" s="23" t="s">
        <v>3822</v>
      </c>
      <c r="F1212" s="23" t="s">
        <v>9005</v>
      </c>
      <c r="G1212" s="22">
        <v>2002</v>
      </c>
      <c r="H1212" s="24">
        <v>37632</v>
      </c>
      <c r="I1212" s="23"/>
      <c r="J1212" s="23"/>
      <c r="K1212" s="23"/>
      <c r="L1212" s="23"/>
      <c r="M1212" s="23"/>
    </row>
    <row r="1213" spans="1:13" ht="15.75" customHeight="1">
      <c r="A1213" s="22">
        <v>9328116</v>
      </c>
      <c r="B1213" s="23" t="s">
        <v>9006</v>
      </c>
      <c r="C1213" s="23" t="s">
        <v>8051</v>
      </c>
      <c r="D1213" s="23" t="s">
        <v>9007</v>
      </c>
      <c r="E1213" s="23" t="s">
        <v>2940</v>
      </c>
      <c r="F1213" s="23" t="s">
        <v>9008</v>
      </c>
      <c r="G1213" s="22">
        <v>1997</v>
      </c>
      <c r="H1213" s="24">
        <v>35730</v>
      </c>
      <c r="I1213" s="26" t="s">
        <v>9009</v>
      </c>
      <c r="J1213" s="27"/>
      <c r="K1213" s="26" t="s">
        <v>2942</v>
      </c>
      <c r="L1213" s="27"/>
      <c r="M1213" s="27"/>
    </row>
    <row r="1214" spans="1:13" ht="15.75" customHeight="1">
      <c r="A1214" s="22">
        <v>12581135</v>
      </c>
      <c r="B1214" s="23" t="s">
        <v>9010</v>
      </c>
      <c r="C1214" s="23" t="s">
        <v>9011</v>
      </c>
      <c r="D1214" s="23" t="s">
        <v>9012</v>
      </c>
      <c r="E1214" s="23" t="s">
        <v>3215</v>
      </c>
      <c r="F1214" s="23" t="s">
        <v>7671</v>
      </c>
      <c r="G1214" s="22">
        <v>2003</v>
      </c>
      <c r="H1214" s="24">
        <v>37665</v>
      </c>
      <c r="I1214" s="23"/>
      <c r="J1214" s="23"/>
      <c r="K1214" s="26" t="s">
        <v>3216</v>
      </c>
      <c r="L1214" s="27"/>
      <c r="M1214" s="27"/>
    </row>
    <row r="1215" spans="1:13" ht="15.75" customHeight="1">
      <c r="A1215" s="22">
        <v>23220782</v>
      </c>
      <c r="B1215" s="23" t="s">
        <v>9013</v>
      </c>
      <c r="C1215" s="23" t="s">
        <v>9014</v>
      </c>
      <c r="D1215" s="23" t="s">
        <v>9015</v>
      </c>
      <c r="E1215" s="23" t="s">
        <v>1311</v>
      </c>
      <c r="F1215" s="23" t="s">
        <v>9016</v>
      </c>
      <c r="G1215" s="22">
        <v>2013</v>
      </c>
      <c r="H1215" s="24">
        <v>41254</v>
      </c>
      <c r="I1215" s="23"/>
      <c r="J1215" s="23"/>
      <c r="K1215" s="26" t="s">
        <v>1312</v>
      </c>
      <c r="L1215" s="27"/>
      <c r="M1215" s="27"/>
    </row>
    <row r="1216" spans="1:13" ht="15.75" customHeight="1">
      <c r="A1216" s="22">
        <v>28820014</v>
      </c>
      <c r="B1216" s="23" t="s">
        <v>9017</v>
      </c>
      <c r="C1216" s="23" t="s">
        <v>9018</v>
      </c>
      <c r="D1216" s="23" t="s">
        <v>9019</v>
      </c>
      <c r="E1216" s="23" t="s">
        <v>4352</v>
      </c>
      <c r="F1216" s="23" t="s">
        <v>8988</v>
      </c>
      <c r="G1216" s="22">
        <v>2017</v>
      </c>
      <c r="H1216" s="24">
        <v>42966</v>
      </c>
      <c r="I1216" s="23"/>
      <c r="J1216" s="23"/>
      <c r="K1216" s="26" t="s">
        <v>4353</v>
      </c>
      <c r="L1216" s="27"/>
      <c r="M1216" s="27"/>
    </row>
    <row r="1217" spans="1:13" ht="15.75" customHeight="1">
      <c r="A1217" s="22">
        <v>30572622</v>
      </c>
      <c r="B1217" s="23" t="s">
        <v>9020</v>
      </c>
      <c r="C1217" s="23" t="s">
        <v>9021</v>
      </c>
      <c r="D1217" s="23" t="s">
        <v>9022</v>
      </c>
      <c r="E1217" s="23" t="s">
        <v>3868</v>
      </c>
      <c r="F1217" s="23" t="s">
        <v>4842</v>
      </c>
      <c r="G1217" s="22">
        <v>2018</v>
      </c>
      <c r="H1217" s="24">
        <v>43456</v>
      </c>
      <c r="I1217" s="26" t="s">
        <v>9023</v>
      </c>
      <c r="J1217" s="27"/>
      <c r="K1217" s="26" t="s">
        <v>3869</v>
      </c>
      <c r="L1217" s="27"/>
      <c r="M1217" s="23"/>
    </row>
    <row r="1218" spans="1:13" ht="15.75" customHeight="1">
      <c r="A1218" s="22">
        <v>25239996</v>
      </c>
      <c r="B1218" s="23" t="s">
        <v>9024</v>
      </c>
      <c r="C1218" s="23" t="s">
        <v>9025</v>
      </c>
      <c r="D1218" s="23" t="s">
        <v>9026</v>
      </c>
      <c r="E1218" s="23" t="s">
        <v>3964</v>
      </c>
      <c r="F1218" s="23" t="s">
        <v>8157</v>
      </c>
      <c r="G1218" s="22">
        <v>2014</v>
      </c>
      <c r="H1218" s="24">
        <v>41903</v>
      </c>
      <c r="I1218" s="26" t="s">
        <v>9027</v>
      </c>
      <c r="J1218" s="27"/>
      <c r="K1218" s="26" t="s">
        <v>3965</v>
      </c>
      <c r="L1218" s="27"/>
      <c r="M1218" s="27"/>
    </row>
    <row r="1219" spans="1:13" ht="15.75" customHeight="1">
      <c r="A1219" s="22">
        <v>7917866</v>
      </c>
      <c r="B1219" s="23" t="s">
        <v>9028</v>
      </c>
      <c r="C1219" s="23" t="s">
        <v>9029</v>
      </c>
      <c r="D1219" s="23" t="s">
        <v>9030</v>
      </c>
      <c r="E1219" s="23" t="s">
        <v>1143</v>
      </c>
      <c r="F1219" s="23" t="s">
        <v>6071</v>
      </c>
      <c r="G1219" s="22">
        <v>1994</v>
      </c>
      <c r="H1219" s="24">
        <v>34486</v>
      </c>
      <c r="I1219" s="23"/>
      <c r="J1219" s="23"/>
      <c r="K1219" s="26" t="s">
        <v>1144</v>
      </c>
      <c r="L1219" s="27"/>
      <c r="M1219" s="23"/>
    </row>
    <row r="1220" spans="1:13" ht="15.75" customHeight="1">
      <c r="A1220" s="22">
        <v>25576704</v>
      </c>
      <c r="B1220" s="23" t="s">
        <v>9031</v>
      </c>
      <c r="C1220" s="23" t="s">
        <v>9032</v>
      </c>
      <c r="D1220" s="23" t="s">
        <v>9033</v>
      </c>
      <c r="E1220" s="23" t="s">
        <v>2431</v>
      </c>
      <c r="F1220" s="23" t="s">
        <v>9034</v>
      </c>
      <c r="G1220" s="22">
        <v>2015</v>
      </c>
      <c r="H1220" s="24">
        <v>42015</v>
      </c>
      <c r="I1220" s="23"/>
      <c r="J1220" s="23"/>
      <c r="K1220" s="26" t="s">
        <v>2432</v>
      </c>
      <c r="L1220" s="27"/>
      <c r="M1220" s="27"/>
    </row>
    <row r="1221" spans="1:13" ht="15.75" customHeight="1">
      <c r="A1221" s="22">
        <v>19915376</v>
      </c>
      <c r="B1221" s="23" t="s">
        <v>9035</v>
      </c>
      <c r="C1221" s="23" t="s">
        <v>9036</v>
      </c>
      <c r="D1221" s="23" t="s">
        <v>9037</v>
      </c>
      <c r="E1221" s="23" t="s">
        <v>4231</v>
      </c>
      <c r="F1221" s="23" t="s">
        <v>5047</v>
      </c>
      <c r="G1221" s="22">
        <v>2009</v>
      </c>
      <c r="H1221" s="24">
        <v>40134</v>
      </c>
      <c r="I1221" s="23"/>
      <c r="J1221" s="23"/>
      <c r="K1221" s="23"/>
      <c r="L1221" s="23"/>
      <c r="M1221" s="23"/>
    </row>
    <row r="1222" spans="1:13" ht="15.75" customHeight="1">
      <c r="A1222" s="22">
        <v>16528368</v>
      </c>
      <c r="B1222" s="23" t="s">
        <v>9038</v>
      </c>
      <c r="C1222" s="23" t="s">
        <v>9039</v>
      </c>
      <c r="D1222" s="23" t="s">
        <v>9040</v>
      </c>
      <c r="E1222" s="23" t="s">
        <v>1611</v>
      </c>
      <c r="F1222" s="23" t="s">
        <v>8947</v>
      </c>
      <c r="G1222" s="22">
        <v>2006</v>
      </c>
      <c r="H1222" s="24">
        <v>38787</v>
      </c>
      <c r="I1222" s="23"/>
      <c r="J1222" s="23"/>
      <c r="K1222" s="26" t="s">
        <v>1612</v>
      </c>
      <c r="L1222" s="27"/>
      <c r="M1222" s="27"/>
    </row>
    <row r="1223" spans="1:13" ht="15.75" customHeight="1">
      <c r="A1223" s="22">
        <v>18286574</v>
      </c>
      <c r="B1223" s="23" t="s">
        <v>9041</v>
      </c>
      <c r="C1223" s="23" t="s">
        <v>9042</v>
      </c>
      <c r="D1223" s="23" t="s">
        <v>9043</v>
      </c>
      <c r="E1223" s="23" t="s">
        <v>1562</v>
      </c>
      <c r="F1223" s="23" t="s">
        <v>5567</v>
      </c>
      <c r="G1223" s="22">
        <v>2008</v>
      </c>
      <c r="H1223" s="24">
        <v>39499</v>
      </c>
      <c r="I1223" s="23"/>
      <c r="J1223" s="23"/>
      <c r="K1223" s="26" t="s">
        <v>1563</v>
      </c>
      <c r="L1223" s="27"/>
      <c r="M1223" s="23"/>
    </row>
    <row r="1224" spans="1:13" ht="15.75" customHeight="1">
      <c r="A1224" s="22">
        <v>10092832</v>
      </c>
      <c r="B1224" s="23" t="s">
        <v>9044</v>
      </c>
      <c r="C1224" s="23" t="s">
        <v>9045</v>
      </c>
      <c r="D1224" s="23" t="s">
        <v>9046</v>
      </c>
      <c r="E1224" s="23" t="s">
        <v>1945</v>
      </c>
      <c r="F1224" s="23" t="s">
        <v>6293</v>
      </c>
      <c r="G1224" s="22">
        <v>1999</v>
      </c>
      <c r="H1224" s="24">
        <v>36246</v>
      </c>
      <c r="I1224" s="23"/>
      <c r="J1224" s="23"/>
      <c r="K1224" s="23"/>
      <c r="L1224" s="23"/>
      <c r="M1224" s="23"/>
    </row>
    <row r="1225" spans="1:13" ht="15.75" customHeight="1">
      <c r="A1225" s="22">
        <v>12422078</v>
      </c>
      <c r="B1225" s="23" t="s">
        <v>9047</v>
      </c>
      <c r="C1225" s="23" t="s">
        <v>9048</v>
      </c>
      <c r="D1225" s="23" t="s">
        <v>9049</v>
      </c>
      <c r="E1225" s="23" t="s">
        <v>3250</v>
      </c>
      <c r="F1225" s="23" t="s">
        <v>5878</v>
      </c>
      <c r="G1225" s="22">
        <v>2002</v>
      </c>
      <c r="H1225" s="24">
        <v>37568</v>
      </c>
      <c r="I1225" s="23"/>
      <c r="J1225" s="23"/>
      <c r="K1225" s="26" t="s">
        <v>3251</v>
      </c>
      <c r="L1225" s="27"/>
      <c r="M1225" s="23"/>
    </row>
    <row r="1226" spans="1:13" ht="15.75" customHeight="1">
      <c r="A1226" s="22">
        <v>8938162</v>
      </c>
      <c r="B1226" s="23" t="s">
        <v>9050</v>
      </c>
      <c r="C1226" s="23" t="s">
        <v>9051</v>
      </c>
      <c r="D1226" s="23" t="s">
        <v>9052</v>
      </c>
      <c r="E1226" s="23" t="s">
        <v>3142</v>
      </c>
      <c r="F1226" s="23" t="s">
        <v>9053</v>
      </c>
      <c r="G1226" s="22">
        <v>1996</v>
      </c>
      <c r="H1226" s="24">
        <v>35400</v>
      </c>
      <c r="I1226" s="23"/>
      <c r="J1226" s="23"/>
      <c r="K1226" s="26" t="s">
        <v>3143</v>
      </c>
      <c r="L1226" s="27"/>
      <c r="M1226" s="23"/>
    </row>
    <row r="1227" spans="1:13" ht="15.75" customHeight="1">
      <c r="A1227" s="22">
        <v>16134192</v>
      </c>
      <c r="B1227" s="23" t="s">
        <v>9054</v>
      </c>
      <c r="C1227" s="23" t="s">
        <v>9055</v>
      </c>
      <c r="D1227" s="23" t="s">
        <v>9056</v>
      </c>
      <c r="E1227" s="23" t="s">
        <v>4377</v>
      </c>
      <c r="F1227" s="23" t="s">
        <v>9057</v>
      </c>
      <c r="G1227" s="22">
        <v>2004</v>
      </c>
      <c r="H1227" s="24">
        <v>38596</v>
      </c>
      <c r="I1227" s="23"/>
      <c r="J1227" s="23"/>
      <c r="K1227" s="26" t="s">
        <v>4378</v>
      </c>
      <c r="L1227" s="27"/>
      <c r="M1227" s="23"/>
    </row>
    <row r="1228" spans="1:13" ht="15.75" customHeight="1">
      <c r="A1228" s="22">
        <v>17189225</v>
      </c>
      <c r="B1228" s="23" t="s">
        <v>9058</v>
      </c>
      <c r="C1228" s="23" t="s">
        <v>9059</v>
      </c>
      <c r="D1228" s="23" t="s">
        <v>9060</v>
      </c>
      <c r="E1228" s="23" t="s">
        <v>584</v>
      </c>
      <c r="F1228" s="23" t="s">
        <v>4927</v>
      </c>
      <c r="G1228" s="22">
        <v>2006</v>
      </c>
      <c r="H1228" s="24">
        <v>39077</v>
      </c>
      <c r="I1228" s="23"/>
      <c r="J1228" s="23"/>
      <c r="K1228" s="26" t="s">
        <v>585</v>
      </c>
      <c r="L1228" s="27"/>
      <c r="M1228" s="23"/>
    </row>
    <row r="1229" spans="1:13" ht="15.75" customHeight="1">
      <c r="A1229" s="22">
        <v>7893989</v>
      </c>
      <c r="B1229" s="23" t="s">
        <v>9061</v>
      </c>
      <c r="C1229" s="23" t="s">
        <v>9062</v>
      </c>
      <c r="D1229" s="23" t="s">
        <v>9063</v>
      </c>
      <c r="E1229" s="23" t="s">
        <v>2392</v>
      </c>
      <c r="F1229" s="23" t="s">
        <v>4954</v>
      </c>
      <c r="G1229" s="22">
        <v>1994</v>
      </c>
      <c r="H1229" s="24">
        <v>34516</v>
      </c>
      <c r="I1229" s="23"/>
      <c r="J1229" s="23"/>
      <c r="K1229" s="23"/>
      <c r="L1229" s="23"/>
      <c r="M1229" s="23"/>
    </row>
    <row r="1230" spans="1:13" ht="15.75" customHeight="1">
      <c r="A1230" s="22">
        <v>31785234</v>
      </c>
      <c r="B1230" s="23" t="s">
        <v>9064</v>
      </c>
      <c r="C1230" s="23" t="s">
        <v>9065</v>
      </c>
      <c r="D1230" s="23" t="s">
        <v>9066</v>
      </c>
      <c r="E1230" s="23" t="s">
        <v>3334</v>
      </c>
      <c r="F1230" s="23" t="s">
        <v>9067</v>
      </c>
      <c r="G1230" s="22">
        <v>2020</v>
      </c>
      <c r="H1230" s="24">
        <v>43800</v>
      </c>
      <c r="I1230" s="23"/>
      <c r="J1230" s="23"/>
      <c r="K1230" s="26" t="s">
        <v>3335</v>
      </c>
      <c r="L1230" s="27"/>
      <c r="M1230" s="27"/>
    </row>
    <row r="1231" spans="1:13" ht="15.75" customHeight="1">
      <c r="A1231" s="22">
        <v>22705183</v>
      </c>
      <c r="B1231" s="23" t="s">
        <v>9068</v>
      </c>
      <c r="C1231" s="23" t="s">
        <v>9069</v>
      </c>
      <c r="D1231" s="23" t="s">
        <v>9070</v>
      </c>
      <c r="E1231" s="23" t="s">
        <v>1155</v>
      </c>
      <c r="F1231" s="23" t="s">
        <v>9071</v>
      </c>
      <c r="G1231" s="22">
        <v>2013</v>
      </c>
      <c r="H1231" s="24">
        <v>41079</v>
      </c>
      <c r="I1231" s="23"/>
      <c r="J1231" s="23"/>
      <c r="K1231" s="26" t="s">
        <v>1156</v>
      </c>
      <c r="L1231" s="27"/>
      <c r="M1231" s="27"/>
    </row>
    <row r="1232" spans="1:13" ht="15.75" customHeight="1">
      <c r="A1232" s="22">
        <v>9688454</v>
      </c>
      <c r="B1232" s="23" t="s">
        <v>9072</v>
      </c>
      <c r="C1232" s="23" t="s">
        <v>9073</v>
      </c>
      <c r="D1232" s="23" t="s">
        <v>9074</v>
      </c>
      <c r="E1232" s="23" t="s">
        <v>4485</v>
      </c>
      <c r="F1232" s="23" t="s">
        <v>5453</v>
      </c>
      <c r="G1232" s="22">
        <v>1998</v>
      </c>
      <c r="H1232" s="24">
        <v>36011</v>
      </c>
      <c r="I1232" s="23"/>
      <c r="J1232" s="23"/>
      <c r="K1232" s="26" t="s">
        <v>4486</v>
      </c>
      <c r="L1232" s="27"/>
      <c r="M1232" s="27"/>
    </row>
    <row r="1233" spans="1:13" ht="15.75" customHeight="1">
      <c r="A1233" s="22">
        <v>31397803</v>
      </c>
      <c r="B1233" s="23" t="s">
        <v>9075</v>
      </c>
      <c r="C1233" s="23" t="s">
        <v>9076</v>
      </c>
      <c r="D1233" s="23" t="s">
        <v>9077</v>
      </c>
      <c r="E1233" s="23" t="s">
        <v>1964</v>
      </c>
      <c r="F1233" s="23" t="s">
        <v>5445</v>
      </c>
      <c r="G1233" s="22">
        <v>2019</v>
      </c>
      <c r="H1233" s="24">
        <v>43687</v>
      </c>
      <c r="I1233" s="23"/>
      <c r="J1233" s="23"/>
      <c r="K1233" s="26" t="s">
        <v>1965</v>
      </c>
      <c r="L1233" s="27"/>
      <c r="M1233" s="27"/>
    </row>
    <row r="1234" spans="1:13" ht="15.75" customHeight="1">
      <c r="A1234" s="22">
        <v>23498824</v>
      </c>
      <c r="B1234" s="23" t="s">
        <v>9078</v>
      </c>
      <c r="C1234" s="23" t="s">
        <v>9079</v>
      </c>
      <c r="D1234" s="23" t="s">
        <v>9080</v>
      </c>
      <c r="E1234" s="23" t="s">
        <v>4223</v>
      </c>
      <c r="F1234" s="23" t="s">
        <v>5696</v>
      </c>
      <c r="G1234" s="22">
        <v>2013</v>
      </c>
      <c r="H1234" s="24">
        <v>41352</v>
      </c>
      <c r="I1234" s="23"/>
      <c r="J1234" s="23"/>
      <c r="K1234" s="26" t="s">
        <v>4224</v>
      </c>
      <c r="L1234" s="27"/>
      <c r="M1234" s="27"/>
    </row>
    <row r="1235" spans="1:13" ht="15.75" customHeight="1">
      <c r="A1235" s="22">
        <v>25629987</v>
      </c>
      <c r="B1235" s="23" t="s">
        <v>9081</v>
      </c>
      <c r="C1235" s="23" t="s">
        <v>9082</v>
      </c>
      <c r="D1235" s="23" t="s">
        <v>9083</v>
      </c>
      <c r="E1235" s="23" t="s">
        <v>3407</v>
      </c>
      <c r="F1235" s="23" t="s">
        <v>5099</v>
      </c>
      <c r="G1235" s="22">
        <v>2015</v>
      </c>
      <c r="H1235" s="24">
        <v>42033</v>
      </c>
      <c r="I1235" s="23"/>
      <c r="J1235" s="23"/>
      <c r="K1235" s="26" t="s">
        <v>3408</v>
      </c>
      <c r="L1235" s="27"/>
      <c r="M1235" s="27"/>
    </row>
    <row r="1236" spans="1:13" ht="15.75" customHeight="1">
      <c r="A1236" s="22">
        <v>24919177</v>
      </c>
      <c r="B1236" s="23" t="s">
        <v>9084</v>
      </c>
      <c r="C1236" s="23" t="s">
        <v>9085</v>
      </c>
      <c r="D1236" s="23" t="s">
        <v>9086</v>
      </c>
      <c r="E1236" s="23" t="s">
        <v>4404</v>
      </c>
      <c r="F1236" s="23" t="s">
        <v>4978</v>
      </c>
      <c r="G1236" s="22">
        <v>2014</v>
      </c>
      <c r="H1236" s="24">
        <v>41802</v>
      </c>
      <c r="I1236" s="26" t="s">
        <v>9087</v>
      </c>
      <c r="J1236" s="27"/>
      <c r="K1236" s="26" t="s">
        <v>4405</v>
      </c>
      <c r="L1236" s="27"/>
      <c r="M1236" s="27"/>
    </row>
    <row r="1237" spans="1:13" ht="15.75" customHeight="1">
      <c r="A1237" s="22">
        <v>8707578</v>
      </c>
      <c r="B1237" s="23" t="s">
        <v>9088</v>
      </c>
      <c r="C1237" s="23" t="s">
        <v>9089</v>
      </c>
      <c r="D1237" s="23" t="s">
        <v>9090</v>
      </c>
      <c r="E1237" s="23" t="s">
        <v>2869</v>
      </c>
      <c r="F1237" s="23" t="s">
        <v>9091</v>
      </c>
      <c r="G1237" s="22">
        <v>1996</v>
      </c>
      <c r="H1237" s="24">
        <v>35186</v>
      </c>
      <c r="I1237" s="23"/>
      <c r="J1237" s="23"/>
      <c r="K1237" s="26" t="s">
        <v>2870</v>
      </c>
      <c r="L1237" s="27"/>
      <c r="M1237" s="23"/>
    </row>
    <row r="1238" spans="1:13" ht="15.75" customHeight="1">
      <c r="A1238" s="22">
        <v>26444787</v>
      </c>
      <c r="B1238" s="23" t="s">
        <v>9092</v>
      </c>
      <c r="C1238" s="23" t="s">
        <v>9093</v>
      </c>
      <c r="D1238" s="23" t="s">
        <v>9094</v>
      </c>
      <c r="E1238" s="23" t="s">
        <v>1104</v>
      </c>
      <c r="F1238" s="23" t="s">
        <v>7203</v>
      </c>
      <c r="G1238" s="22">
        <v>2016</v>
      </c>
      <c r="H1238" s="24">
        <v>42285</v>
      </c>
      <c r="I1238" s="23"/>
      <c r="J1238" s="23"/>
      <c r="K1238" s="26" t="s">
        <v>1105</v>
      </c>
      <c r="L1238" s="27"/>
      <c r="M1238" s="23"/>
    </row>
    <row r="1239" spans="1:13" ht="15.75" customHeight="1">
      <c r="A1239" s="22">
        <v>23516318</v>
      </c>
      <c r="B1239" s="23" t="s">
        <v>9095</v>
      </c>
      <c r="C1239" s="23" t="s">
        <v>9096</v>
      </c>
      <c r="D1239" s="23" t="s">
        <v>9097</v>
      </c>
      <c r="E1239" s="23" t="s">
        <v>495</v>
      </c>
      <c r="F1239" s="23" t="s">
        <v>7413</v>
      </c>
      <c r="G1239" s="22">
        <v>2013</v>
      </c>
      <c r="H1239" s="24">
        <v>41355</v>
      </c>
      <c r="I1239" s="26" t="s">
        <v>9098</v>
      </c>
      <c r="J1239" s="27"/>
      <c r="K1239" s="26" t="s">
        <v>496</v>
      </c>
      <c r="L1239" s="27"/>
      <c r="M1239" s="27"/>
    </row>
    <row r="1240" spans="1:13" ht="15.75" customHeight="1">
      <c r="A1240" s="22">
        <v>17620548</v>
      </c>
      <c r="B1240" s="23" t="s">
        <v>8344</v>
      </c>
      <c r="C1240" s="23" t="s">
        <v>9099</v>
      </c>
      <c r="D1240" s="23" t="s">
        <v>9100</v>
      </c>
      <c r="E1240" s="23" t="s">
        <v>878</v>
      </c>
      <c r="F1240" s="23" t="s">
        <v>7413</v>
      </c>
      <c r="G1240" s="22">
        <v>2007</v>
      </c>
      <c r="H1240" s="24">
        <v>39274</v>
      </c>
      <c r="I1240" s="23"/>
      <c r="J1240" s="23"/>
      <c r="K1240" s="26" t="s">
        <v>879</v>
      </c>
      <c r="L1240" s="27"/>
      <c r="M1240" s="27"/>
    </row>
    <row r="1241" spans="1:13" ht="15.75" customHeight="1">
      <c r="A1241" s="22">
        <v>20600868</v>
      </c>
      <c r="B1241" s="23" t="s">
        <v>9101</v>
      </c>
      <c r="C1241" s="23" t="s">
        <v>9102</v>
      </c>
      <c r="D1241" s="23" t="s">
        <v>9103</v>
      </c>
      <c r="E1241" s="23" t="s">
        <v>2591</v>
      </c>
      <c r="F1241" s="23" t="s">
        <v>9104</v>
      </c>
      <c r="G1241" s="22">
        <v>2011</v>
      </c>
      <c r="H1241" s="24">
        <v>40365</v>
      </c>
      <c r="I1241" s="26" t="s">
        <v>9105</v>
      </c>
      <c r="J1241" s="27"/>
      <c r="K1241" s="26" t="s">
        <v>2592</v>
      </c>
      <c r="L1241" s="27"/>
      <c r="M1241" s="27"/>
    </row>
    <row r="1242" spans="1:13" ht="15.75" customHeight="1">
      <c r="A1242" s="22">
        <v>16218029</v>
      </c>
      <c r="B1242" s="23" t="s">
        <v>9106</v>
      </c>
      <c r="C1242" s="23" t="s">
        <v>9107</v>
      </c>
      <c r="D1242" s="23" t="s">
        <v>9108</v>
      </c>
      <c r="E1242" s="23" t="s">
        <v>3693</v>
      </c>
      <c r="F1242" s="23" t="s">
        <v>9109</v>
      </c>
      <c r="G1242" s="22">
        <v>2005</v>
      </c>
      <c r="H1242" s="24">
        <v>38638</v>
      </c>
      <c r="I1242" s="23"/>
      <c r="J1242" s="23"/>
      <c r="K1242" s="23"/>
      <c r="L1242" s="23"/>
      <c r="M1242" s="23"/>
    </row>
    <row r="1243" spans="1:13" ht="15.75" customHeight="1">
      <c r="A1243" s="22">
        <v>21348133</v>
      </c>
      <c r="B1243" s="23" t="s">
        <v>9110</v>
      </c>
      <c r="C1243" s="23" t="s">
        <v>9111</v>
      </c>
      <c r="D1243" s="23" t="s">
        <v>9112</v>
      </c>
      <c r="E1243" s="23" t="s">
        <v>175</v>
      </c>
      <c r="F1243" s="23" t="s">
        <v>9113</v>
      </c>
      <c r="G1243" s="22">
        <v>2007</v>
      </c>
      <c r="H1243" s="24">
        <v>39083</v>
      </c>
      <c r="I1243" s="23"/>
      <c r="J1243" s="23"/>
      <c r="K1243" s="23"/>
      <c r="L1243" s="23"/>
      <c r="M1243" s="23"/>
    </row>
    <row r="1244" spans="1:13" ht="15.75" customHeight="1">
      <c r="A1244" s="22">
        <v>9723401</v>
      </c>
      <c r="B1244" s="23" t="s">
        <v>9114</v>
      </c>
      <c r="C1244" s="23" t="s">
        <v>9115</v>
      </c>
      <c r="D1244" s="23" t="s">
        <v>9116</v>
      </c>
      <c r="E1244" s="23" t="s">
        <v>948</v>
      </c>
      <c r="F1244" s="23" t="s">
        <v>5696</v>
      </c>
      <c r="G1244" s="22">
        <v>1998</v>
      </c>
      <c r="H1244" s="24">
        <v>36040</v>
      </c>
      <c r="I1244" s="23"/>
      <c r="J1244" s="23"/>
      <c r="K1244" s="26" t="s">
        <v>949</v>
      </c>
      <c r="L1244" s="27"/>
      <c r="M1244" s="27"/>
    </row>
    <row r="1245" spans="1:13" ht="15.75" customHeight="1">
      <c r="A1245" s="22">
        <v>11867006</v>
      </c>
      <c r="B1245" s="23" t="s">
        <v>9117</v>
      </c>
      <c r="C1245" s="23" t="s">
        <v>5053</v>
      </c>
      <c r="D1245" s="23" t="s">
        <v>9118</v>
      </c>
      <c r="E1245" s="23" t="s">
        <v>4551</v>
      </c>
      <c r="F1245" s="23" t="s">
        <v>5449</v>
      </c>
      <c r="G1245" s="22">
        <v>2000</v>
      </c>
      <c r="H1245" s="24">
        <v>37315</v>
      </c>
      <c r="I1245" s="23"/>
      <c r="J1245" s="23"/>
      <c r="K1245" s="23"/>
      <c r="L1245" s="23"/>
      <c r="M1245" s="23"/>
    </row>
    <row r="1246" spans="1:13" ht="15.75" customHeight="1">
      <c r="A1246" s="22">
        <v>15504215</v>
      </c>
      <c r="B1246" s="26" t="s">
        <v>9119</v>
      </c>
      <c r="C1246" s="27"/>
      <c r="D1246" s="26" t="s">
        <v>9120</v>
      </c>
      <c r="E1246" s="27"/>
      <c r="F1246" s="23" t="s">
        <v>5726</v>
      </c>
      <c r="G1246" s="22">
        <v>2004</v>
      </c>
      <c r="H1246" s="24">
        <v>38287</v>
      </c>
      <c r="I1246" s="23"/>
      <c r="J1246" s="23"/>
      <c r="K1246" s="26" t="s">
        <v>1355</v>
      </c>
      <c r="L1246" s="27"/>
      <c r="M1246" s="27"/>
    </row>
    <row r="1247" spans="1:13" ht="15.75" customHeight="1">
      <c r="A1247" s="22">
        <v>12680203</v>
      </c>
      <c r="B1247" s="23" t="s">
        <v>9121</v>
      </c>
      <c r="C1247" s="23" t="s">
        <v>8850</v>
      </c>
      <c r="D1247" s="23" t="s">
        <v>9122</v>
      </c>
      <c r="E1247" s="23" t="s">
        <v>2800</v>
      </c>
      <c r="F1247" s="23" t="s">
        <v>7639</v>
      </c>
      <c r="G1247" s="22">
        <v>2003</v>
      </c>
      <c r="H1247" s="24">
        <v>37723</v>
      </c>
      <c r="I1247" s="23"/>
      <c r="J1247" s="23"/>
      <c r="K1247" s="23"/>
      <c r="L1247" s="23"/>
      <c r="M1247" s="23"/>
    </row>
    <row r="1248" spans="1:13" ht="15.75" customHeight="1">
      <c r="A1248" s="22">
        <v>27522040</v>
      </c>
      <c r="B1248" s="23" t="s">
        <v>9123</v>
      </c>
      <c r="C1248" s="23" t="s">
        <v>9124</v>
      </c>
      <c r="D1248" s="23" t="s">
        <v>9125</v>
      </c>
      <c r="E1248" s="23" t="s">
        <v>472</v>
      </c>
      <c r="F1248" s="23" t="s">
        <v>5076</v>
      </c>
      <c r="G1248" s="22">
        <v>2016</v>
      </c>
      <c r="H1248" s="24">
        <v>42596</v>
      </c>
      <c r="I1248" s="23"/>
      <c r="J1248" s="23"/>
      <c r="K1248" s="26" t="s">
        <v>473</v>
      </c>
      <c r="L1248" s="27"/>
      <c r="M1248" s="27"/>
    </row>
    <row r="1249" spans="1:13" ht="15.75" customHeight="1">
      <c r="A1249" s="22">
        <v>10083199</v>
      </c>
      <c r="B1249" s="23" t="s">
        <v>9126</v>
      </c>
      <c r="C1249" s="23" t="s">
        <v>7260</v>
      </c>
      <c r="D1249" s="23" t="s">
        <v>9127</v>
      </c>
      <c r="E1249" s="23" t="s">
        <v>2875</v>
      </c>
      <c r="F1249" s="23" t="s">
        <v>5696</v>
      </c>
      <c r="G1249" s="22">
        <v>1999</v>
      </c>
      <c r="H1249" s="24">
        <v>36239</v>
      </c>
      <c r="I1249" s="23"/>
      <c r="J1249" s="23"/>
      <c r="K1249" s="26" t="s">
        <v>2889</v>
      </c>
      <c r="L1249" s="27"/>
      <c r="M1249" s="27"/>
    </row>
    <row r="1250" spans="1:13" ht="15.75" customHeight="1">
      <c r="A1250" s="22">
        <v>29163428</v>
      </c>
      <c r="B1250" s="23" t="s">
        <v>9128</v>
      </c>
      <c r="C1250" s="23" t="s">
        <v>9129</v>
      </c>
      <c r="D1250" s="23" t="s">
        <v>9130</v>
      </c>
      <c r="E1250" s="23" t="s">
        <v>3758</v>
      </c>
      <c r="F1250" s="23" t="s">
        <v>9131</v>
      </c>
      <c r="G1250" s="22">
        <v>2017</v>
      </c>
      <c r="H1250" s="24">
        <v>43062</v>
      </c>
      <c r="I1250" s="26" t="s">
        <v>9132</v>
      </c>
      <c r="J1250" s="27"/>
      <c r="K1250" s="26" t="s">
        <v>3767</v>
      </c>
      <c r="L1250" s="27"/>
      <c r="M1250" s="27"/>
    </row>
    <row r="1251" spans="1:13" ht="15.75" customHeight="1">
      <c r="A1251" s="22">
        <v>11173737</v>
      </c>
      <c r="B1251" s="23" t="s">
        <v>9133</v>
      </c>
      <c r="C1251" s="23" t="s">
        <v>9134</v>
      </c>
      <c r="D1251" s="23" t="s">
        <v>9135</v>
      </c>
      <c r="E1251" s="23" t="s">
        <v>2897</v>
      </c>
      <c r="F1251" s="23" t="s">
        <v>9136</v>
      </c>
      <c r="G1251" s="22">
        <v>2000</v>
      </c>
      <c r="H1251" s="24">
        <v>36937</v>
      </c>
      <c r="I1251" s="23"/>
      <c r="J1251" s="23"/>
      <c r="K1251" s="23"/>
      <c r="L1251" s="23"/>
      <c r="M1251" s="23"/>
    </row>
    <row r="1252" spans="1:13" ht="15.75" customHeight="1">
      <c r="A1252" s="22">
        <v>9404935</v>
      </c>
      <c r="B1252" s="23" t="s">
        <v>9137</v>
      </c>
      <c r="C1252" s="23" t="s">
        <v>9138</v>
      </c>
      <c r="D1252" s="23" t="s">
        <v>9139</v>
      </c>
      <c r="E1252" s="23" t="s">
        <v>3256</v>
      </c>
      <c r="F1252" s="23" t="s">
        <v>4863</v>
      </c>
      <c r="G1252" s="22">
        <v>1997</v>
      </c>
      <c r="H1252" s="24">
        <v>35788</v>
      </c>
      <c r="I1252" s="23"/>
      <c r="J1252" s="23"/>
      <c r="K1252" s="26" t="s">
        <v>3257</v>
      </c>
      <c r="L1252" s="27"/>
      <c r="M1252" s="23"/>
    </row>
    <row r="1253" spans="1:13" ht="15.75" customHeight="1">
      <c r="A1253" s="22">
        <v>11866997</v>
      </c>
      <c r="B1253" s="23" t="s">
        <v>9140</v>
      </c>
      <c r="C1253" s="23" t="s">
        <v>9141</v>
      </c>
      <c r="D1253" s="23" t="s">
        <v>9142</v>
      </c>
      <c r="E1253" s="23" t="s">
        <v>2145</v>
      </c>
      <c r="F1253" s="23" t="s">
        <v>5449</v>
      </c>
      <c r="G1253" s="22">
        <v>2000</v>
      </c>
      <c r="H1253" s="24">
        <v>37315</v>
      </c>
      <c r="I1253" s="23"/>
      <c r="J1253" s="23"/>
      <c r="K1253" s="23"/>
      <c r="L1253" s="23"/>
      <c r="M1253" s="23"/>
    </row>
    <row r="1254" spans="1:13" ht="15.75" customHeight="1">
      <c r="A1254" s="22">
        <v>8525373</v>
      </c>
      <c r="B1254" s="23" t="s">
        <v>9143</v>
      </c>
      <c r="C1254" s="23" t="s">
        <v>9144</v>
      </c>
      <c r="D1254" s="23" t="s">
        <v>9145</v>
      </c>
      <c r="E1254" s="23" t="s">
        <v>1684</v>
      </c>
      <c r="F1254" s="23" t="s">
        <v>9146</v>
      </c>
      <c r="G1254" s="22">
        <v>1995</v>
      </c>
      <c r="H1254" s="24">
        <v>35048</v>
      </c>
      <c r="I1254" s="23"/>
      <c r="J1254" s="23"/>
      <c r="K1254" s="26" t="s">
        <v>1685</v>
      </c>
      <c r="L1254" s="27"/>
      <c r="M1254" s="27"/>
    </row>
    <row r="1255" spans="1:13" ht="15.75" customHeight="1">
      <c r="A1255" s="22">
        <v>21348064</v>
      </c>
      <c r="B1255" s="23" t="s">
        <v>9147</v>
      </c>
      <c r="C1255" s="23" t="s">
        <v>9148</v>
      </c>
      <c r="D1255" s="23" t="s">
        <v>9149</v>
      </c>
      <c r="E1255" s="23" t="s">
        <v>2758</v>
      </c>
      <c r="F1255" s="23" t="s">
        <v>9113</v>
      </c>
      <c r="G1255" s="22">
        <v>2007</v>
      </c>
      <c r="H1255" s="24">
        <v>39083</v>
      </c>
      <c r="I1255" s="23"/>
      <c r="J1255" s="23"/>
      <c r="K1255" s="23"/>
      <c r="L1255" s="23"/>
      <c r="M1255" s="23"/>
    </row>
    <row r="1256" spans="1:13" ht="15.75" customHeight="1">
      <c r="A1256" s="22">
        <v>7601254</v>
      </c>
      <c r="B1256" s="23" t="s">
        <v>9150</v>
      </c>
      <c r="C1256" s="23" t="s">
        <v>9151</v>
      </c>
      <c r="D1256" s="23" t="s">
        <v>9152</v>
      </c>
      <c r="E1256" s="23" t="s">
        <v>3802</v>
      </c>
      <c r="F1256" s="23" t="s">
        <v>6982</v>
      </c>
      <c r="G1256" s="22">
        <v>1995</v>
      </c>
      <c r="H1256" s="24">
        <v>34881</v>
      </c>
      <c r="I1256" s="23"/>
      <c r="J1256" s="23"/>
      <c r="K1256" s="23"/>
      <c r="L1256" s="23"/>
      <c r="M1256" s="23"/>
    </row>
    <row r="1257" spans="1:13" ht="15.75" customHeight="1">
      <c r="A1257" s="22">
        <v>8962253</v>
      </c>
      <c r="B1257" s="23" t="s">
        <v>9153</v>
      </c>
      <c r="C1257" s="23" t="s">
        <v>9154</v>
      </c>
      <c r="D1257" s="23" t="s">
        <v>9155</v>
      </c>
      <c r="E1257" s="23" t="s">
        <v>669</v>
      </c>
      <c r="F1257" s="23" t="s">
        <v>5696</v>
      </c>
      <c r="G1257" s="22">
        <v>1996</v>
      </c>
      <c r="H1257" s="24">
        <v>35400</v>
      </c>
      <c r="I1257" s="23"/>
      <c r="J1257" s="23"/>
      <c r="K1257" s="23"/>
      <c r="L1257" s="23"/>
      <c r="M1257" s="23"/>
    </row>
    <row r="1258" spans="1:13" ht="15.75" customHeight="1">
      <c r="A1258" s="22">
        <v>16918534</v>
      </c>
      <c r="B1258" s="23" t="s">
        <v>9156</v>
      </c>
      <c r="C1258" s="23" t="s">
        <v>9157</v>
      </c>
      <c r="D1258" s="23" t="s">
        <v>9158</v>
      </c>
      <c r="E1258" s="23" t="s">
        <v>2923</v>
      </c>
      <c r="F1258" s="23" t="s">
        <v>4900</v>
      </c>
      <c r="G1258" s="22">
        <v>2006</v>
      </c>
      <c r="H1258" s="24">
        <v>38951</v>
      </c>
      <c r="I1258" s="23"/>
      <c r="J1258" s="23"/>
      <c r="K1258" s="26" t="s">
        <v>2924</v>
      </c>
      <c r="L1258" s="27"/>
      <c r="M1258" s="27"/>
    </row>
    <row r="1259" spans="1:13" ht="15.75" customHeight="1">
      <c r="A1259" s="22">
        <v>29667291</v>
      </c>
      <c r="B1259" s="23" t="s">
        <v>9159</v>
      </c>
      <c r="C1259" s="23" t="s">
        <v>9160</v>
      </c>
      <c r="D1259" s="23" t="s">
        <v>9161</v>
      </c>
      <c r="E1259" s="23" t="s">
        <v>1725</v>
      </c>
      <c r="F1259" s="23" t="s">
        <v>8641</v>
      </c>
      <c r="G1259" s="22">
        <v>2018</v>
      </c>
      <c r="H1259" s="24">
        <v>43209</v>
      </c>
      <c r="I1259" s="23"/>
      <c r="J1259" s="23"/>
      <c r="K1259" s="26" t="s">
        <v>1726</v>
      </c>
      <c r="L1259" s="27"/>
      <c r="M1259" s="23"/>
    </row>
    <row r="1260" spans="1:13" ht="15.75" customHeight="1">
      <c r="A1260" s="22">
        <v>34900488</v>
      </c>
      <c r="B1260" s="23" t="s">
        <v>9162</v>
      </c>
      <c r="C1260" s="23" t="s">
        <v>9163</v>
      </c>
      <c r="D1260" s="23" t="s">
        <v>9164</v>
      </c>
      <c r="E1260" s="23" t="s">
        <v>1265</v>
      </c>
      <c r="F1260" s="23" t="s">
        <v>9165</v>
      </c>
      <c r="G1260" s="22">
        <v>2021</v>
      </c>
      <c r="H1260" s="24">
        <v>44543</v>
      </c>
      <c r="I1260" s="26" t="s">
        <v>9166</v>
      </c>
      <c r="J1260" s="27"/>
      <c r="K1260" s="26" t="s">
        <v>1266</v>
      </c>
      <c r="L1260" s="27"/>
      <c r="M1260" s="23"/>
    </row>
    <row r="1261" spans="1:13" ht="15.75" customHeight="1">
      <c r="A1261" s="22">
        <v>16213350</v>
      </c>
      <c r="B1261" s="23" t="s">
        <v>9167</v>
      </c>
      <c r="C1261" s="23" t="s">
        <v>9168</v>
      </c>
      <c r="D1261" s="23" t="s">
        <v>9169</v>
      </c>
      <c r="E1261" s="23" t="s">
        <v>479</v>
      </c>
      <c r="F1261" s="23" t="s">
        <v>5696</v>
      </c>
      <c r="G1261" s="22">
        <v>2005</v>
      </c>
      <c r="H1261" s="24">
        <v>38636</v>
      </c>
      <c r="I1261" s="23"/>
      <c r="J1261" s="23"/>
      <c r="K1261" s="26" t="s">
        <v>482</v>
      </c>
      <c r="L1261" s="27"/>
      <c r="M1261" s="27"/>
    </row>
    <row r="1262" spans="1:13" ht="15.75" customHeight="1">
      <c r="A1262" s="22">
        <v>21302114</v>
      </c>
      <c r="B1262" s="23" t="s">
        <v>9170</v>
      </c>
      <c r="C1262" s="23" t="s">
        <v>9171</v>
      </c>
      <c r="D1262" s="23" t="s">
        <v>9172</v>
      </c>
      <c r="E1262" s="23" t="s">
        <v>3344</v>
      </c>
      <c r="F1262" s="23" t="s">
        <v>5319</v>
      </c>
      <c r="G1262" s="22">
        <v>2011</v>
      </c>
      <c r="H1262" s="24">
        <v>40583</v>
      </c>
      <c r="I1262" s="23"/>
      <c r="J1262" s="23"/>
      <c r="K1262" s="26" t="s">
        <v>3345</v>
      </c>
      <c r="L1262" s="27"/>
      <c r="M1262" s="27"/>
    </row>
    <row r="1263" spans="1:13" ht="15.75" customHeight="1">
      <c r="A1263" s="22">
        <v>11406259</v>
      </c>
      <c r="B1263" s="23" t="s">
        <v>9173</v>
      </c>
      <c r="C1263" s="23" t="s">
        <v>9174</v>
      </c>
      <c r="D1263" s="23" t="s">
        <v>9175</v>
      </c>
      <c r="E1263" s="23" t="s">
        <v>3807</v>
      </c>
      <c r="F1263" s="23" t="s">
        <v>5696</v>
      </c>
      <c r="G1263" s="22">
        <v>2001</v>
      </c>
      <c r="H1263" s="24">
        <v>37061</v>
      </c>
      <c r="I1263" s="23"/>
      <c r="J1263" s="23"/>
      <c r="K1263" s="26" t="s">
        <v>3808</v>
      </c>
      <c r="L1263" s="27"/>
      <c r="M1263" s="27"/>
    </row>
    <row r="1264" spans="1:13" ht="15.75" customHeight="1">
      <c r="A1264" s="22">
        <v>12100127</v>
      </c>
      <c r="B1264" s="23" t="s">
        <v>9176</v>
      </c>
      <c r="C1264" s="23" t="s">
        <v>7324</v>
      </c>
      <c r="D1264" s="23" t="s">
        <v>9177</v>
      </c>
      <c r="E1264" s="23" t="s">
        <v>249</v>
      </c>
      <c r="F1264" s="23" t="s">
        <v>5211</v>
      </c>
      <c r="G1264" s="22">
        <v>2002</v>
      </c>
      <c r="H1264" s="24">
        <v>37446</v>
      </c>
      <c r="I1264" s="23"/>
      <c r="J1264" s="23"/>
      <c r="K1264" s="26" t="s">
        <v>2994</v>
      </c>
      <c r="L1264" s="27"/>
      <c r="M1264" s="27"/>
    </row>
    <row r="1265" spans="1:13" ht="15.75" customHeight="1">
      <c r="A1265" s="22">
        <v>19509026</v>
      </c>
      <c r="B1265" s="23" t="s">
        <v>9178</v>
      </c>
      <c r="C1265" s="23" t="s">
        <v>9179</v>
      </c>
      <c r="D1265" s="23" t="s">
        <v>9180</v>
      </c>
      <c r="E1265" s="23" t="s">
        <v>1233</v>
      </c>
      <c r="F1265" s="23" t="s">
        <v>6530</v>
      </c>
      <c r="G1265" s="22">
        <v>2009</v>
      </c>
      <c r="H1265" s="24">
        <v>39975</v>
      </c>
      <c r="I1265" s="23"/>
      <c r="J1265" s="23"/>
      <c r="K1265" s="26" t="s">
        <v>1234</v>
      </c>
      <c r="L1265" s="27"/>
      <c r="M1265" s="23"/>
    </row>
    <row r="1266" spans="1:13" ht="15.75" customHeight="1">
      <c r="A1266" s="22">
        <v>21331905</v>
      </c>
      <c r="B1266" s="23" t="s">
        <v>9181</v>
      </c>
      <c r="C1266" s="23" t="s">
        <v>9182</v>
      </c>
      <c r="D1266" s="23" t="s">
        <v>9183</v>
      </c>
      <c r="E1266" s="23" t="s">
        <v>1341</v>
      </c>
      <c r="F1266" s="23" t="s">
        <v>9184</v>
      </c>
      <c r="G1266" s="22">
        <v>2000</v>
      </c>
      <c r="H1266" s="24">
        <v>40593</v>
      </c>
      <c r="I1266" s="23"/>
      <c r="J1266" s="23"/>
      <c r="K1266" s="26" t="s">
        <v>1346</v>
      </c>
      <c r="L1266" s="27"/>
      <c r="M1266" s="27"/>
    </row>
    <row r="1267" spans="1:13" ht="15.75" customHeight="1">
      <c r="A1267" s="22">
        <v>27263776</v>
      </c>
      <c r="B1267" s="23" t="s">
        <v>9185</v>
      </c>
      <c r="C1267" s="23" t="s">
        <v>9186</v>
      </c>
      <c r="D1267" s="23" t="s">
        <v>9187</v>
      </c>
      <c r="E1267" s="23" t="s">
        <v>4321</v>
      </c>
      <c r="F1267" s="23" t="s">
        <v>5047</v>
      </c>
      <c r="G1267" s="22">
        <v>2016</v>
      </c>
      <c r="H1267" s="24">
        <v>42528</v>
      </c>
      <c r="I1267" s="23"/>
      <c r="J1267" s="23"/>
      <c r="K1267" s="26" t="s">
        <v>4322</v>
      </c>
      <c r="L1267" s="27"/>
      <c r="M1267" s="23"/>
    </row>
    <row r="1268" spans="1:13" ht="15.75" customHeight="1">
      <c r="A1268" s="22">
        <v>37346032</v>
      </c>
      <c r="B1268" s="23" t="s">
        <v>9188</v>
      </c>
      <c r="C1268" s="23" t="s">
        <v>9189</v>
      </c>
      <c r="D1268" s="23" t="s">
        <v>9190</v>
      </c>
      <c r="E1268" s="23" t="s">
        <v>1734</v>
      </c>
      <c r="F1268" s="23" t="s">
        <v>9191</v>
      </c>
      <c r="G1268" s="22">
        <v>2023</v>
      </c>
      <c r="H1268" s="24">
        <v>45099</v>
      </c>
      <c r="I1268" s="26" t="s">
        <v>9192</v>
      </c>
      <c r="J1268" s="27"/>
      <c r="K1268" s="26" t="s">
        <v>1735</v>
      </c>
      <c r="L1268" s="27"/>
      <c r="M1268" s="27"/>
    </row>
    <row r="1269" spans="1:13" ht="15.75" customHeight="1">
      <c r="A1269" s="22">
        <v>29988505</v>
      </c>
      <c r="B1269" s="23" t="s">
        <v>9193</v>
      </c>
      <c r="C1269" s="23" t="s">
        <v>9194</v>
      </c>
      <c r="D1269" s="23" t="s">
        <v>9195</v>
      </c>
      <c r="E1269" s="23" t="s">
        <v>616</v>
      </c>
      <c r="F1269" s="23" t="s">
        <v>4912</v>
      </c>
      <c r="G1269" s="22">
        <v>2018</v>
      </c>
      <c r="H1269" s="24">
        <v>43292</v>
      </c>
      <c r="I1269" s="26" t="s">
        <v>9196</v>
      </c>
      <c r="J1269" s="27"/>
      <c r="K1269" s="26" t="s">
        <v>2292</v>
      </c>
      <c r="L1269" s="27"/>
      <c r="M1269" s="27"/>
    </row>
    <row r="1270" spans="1:13" ht="15.75" customHeight="1">
      <c r="A1270" s="22">
        <v>2406371</v>
      </c>
      <c r="B1270" s="23" t="s">
        <v>9197</v>
      </c>
      <c r="C1270" s="23" t="s">
        <v>9198</v>
      </c>
      <c r="D1270" s="23" t="s">
        <v>9199</v>
      </c>
      <c r="E1270" s="23" t="s">
        <v>4115</v>
      </c>
      <c r="F1270" s="23" t="s">
        <v>4923</v>
      </c>
      <c r="G1270" s="22">
        <v>1990</v>
      </c>
      <c r="H1270" s="24">
        <v>32874</v>
      </c>
      <c r="I1270" s="23"/>
      <c r="J1270" s="23"/>
      <c r="K1270" s="26" t="s">
        <v>4121</v>
      </c>
      <c r="L1270" s="27"/>
      <c r="M1270" s="23"/>
    </row>
    <row r="1271" spans="1:13" ht="15.75" customHeight="1">
      <c r="A1271" s="22">
        <v>11750365</v>
      </c>
      <c r="B1271" s="23" t="s">
        <v>9200</v>
      </c>
      <c r="C1271" s="23" t="s">
        <v>9201</v>
      </c>
      <c r="D1271" s="23" t="s">
        <v>9202</v>
      </c>
      <c r="E1271" s="23" t="s">
        <v>1086</v>
      </c>
      <c r="F1271" s="23" t="s">
        <v>5696</v>
      </c>
      <c r="G1271" s="22">
        <v>2001</v>
      </c>
      <c r="H1271" s="24">
        <v>37251</v>
      </c>
      <c r="I1271" s="23"/>
      <c r="J1271" s="23"/>
      <c r="K1271" s="26" t="s">
        <v>1089</v>
      </c>
      <c r="L1271" s="27"/>
      <c r="M1271" s="27"/>
    </row>
    <row r="1272" spans="1:13" ht="15.75" customHeight="1">
      <c r="A1272" s="22">
        <v>31801268</v>
      </c>
      <c r="B1272" s="23" t="s">
        <v>9203</v>
      </c>
      <c r="C1272" s="23" t="s">
        <v>9204</v>
      </c>
      <c r="D1272" s="23" t="s">
        <v>9205</v>
      </c>
      <c r="E1272" s="23" t="s">
        <v>1849</v>
      </c>
      <c r="F1272" s="23" t="s">
        <v>4842</v>
      </c>
      <c r="G1272" s="22">
        <v>2019</v>
      </c>
      <c r="H1272" s="24">
        <v>43805</v>
      </c>
      <c r="I1272" s="26" t="s">
        <v>9206</v>
      </c>
      <c r="J1272" s="27"/>
      <c r="K1272" s="26" t="s">
        <v>1850</v>
      </c>
      <c r="L1272" s="27"/>
      <c r="M1272" s="23"/>
    </row>
    <row r="1273" spans="1:13" ht="15.75" customHeight="1">
      <c r="A1273" s="22">
        <v>2562985</v>
      </c>
      <c r="B1273" s="23" t="s">
        <v>9207</v>
      </c>
      <c r="C1273" s="23" t="s">
        <v>9208</v>
      </c>
      <c r="D1273" s="23" t="s">
        <v>9209</v>
      </c>
      <c r="E1273" s="23" t="s">
        <v>3297</v>
      </c>
      <c r="F1273" s="23" t="s">
        <v>5170</v>
      </c>
      <c r="G1273" s="22">
        <v>1989</v>
      </c>
      <c r="H1273" s="24">
        <v>32540</v>
      </c>
      <c r="I1273" s="26" t="s">
        <v>9210</v>
      </c>
      <c r="J1273" s="27"/>
      <c r="K1273" s="26" t="s">
        <v>3298</v>
      </c>
      <c r="L1273" s="27"/>
      <c r="M1273" s="23"/>
    </row>
    <row r="1274" spans="1:13" ht="15.75" customHeight="1">
      <c r="A1274" s="22">
        <v>2759346</v>
      </c>
      <c r="B1274" s="23" t="s">
        <v>9211</v>
      </c>
      <c r="C1274" s="23" t="s">
        <v>9212</v>
      </c>
      <c r="D1274" s="23" t="s">
        <v>9213</v>
      </c>
      <c r="E1274" s="23" t="s">
        <v>1063</v>
      </c>
      <c r="F1274" s="23" t="s">
        <v>5415</v>
      </c>
      <c r="G1274" s="22">
        <v>1989</v>
      </c>
      <c r="H1274" s="24">
        <v>32509</v>
      </c>
      <c r="I1274" s="23"/>
      <c r="J1274" s="23"/>
      <c r="K1274" s="23"/>
      <c r="L1274" s="23"/>
      <c r="M1274" s="23"/>
    </row>
    <row r="1275" spans="1:13" ht="15.75" customHeight="1">
      <c r="A1275" s="22">
        <v>3259614</v>
      </c>
      <c r="B1275" s="23" t="s">
        <v>9214</v>
      </c>
      <c r="C1275" s="23" t="s">
        <v>9215</v>
      </c>
      <c r="D1275" s="23" t="s">
        <v>9216</v>
      </c>
      <c r="E1275" s="23" t="s">
        <v>3008</v>
      </c>
      <c r="F1275" s="23" t="s">
        <v>4992</v>
      </c>
      <c r="G1275" s="22">
        <v>1988</v>
      </c>
      <c r="H1275" s="24">
        <v>32295</v>
      </c>
      <c r="I1275" s="23"/>
      <c r="J1275" s="23"/>
      <c r="K1275" s="26" t="s">
        <v>3009</v>
      </c>
      <c r="L1275" s="27"/>
      <c r="M1275" s="27"/>
    </row>
    <row r="1276" spans="1:13" ht="15.75" customHeight="1">
      <c r="A1276" s="22">
        <v>37452206</v>
      </c>
      <c r="B1276" s="23" t="s">
        <v>9217</v>
      </c>
      <c r="C1276" s="23" t="s">
        <v>9218</v>
      </c>
      <c r="D1276" s="23" t="s">
        <v>9219</v>
      </c>
      <c r="E1276" s="23" t="s">
        <v>729</v>
      </c>
      <c r="F1276" s="23" t="s">
        <v>7225</v>
      </c>
      <c r="G1276" s="22">
        <v>2023</v>
      </c>
      <c r="H1276" s="24">
        <v>45121</v>
      </c>
      <c r="I1276" s="23"/>
      <c r="J1276" s="23"/>
      <c r="K1276" s="26" t="s">
        <v>730</v>
      </c>
      <c r="L1276" s="27"/>
      <c r="M1276" s="27"/>
    </row>
    <row r="1277" spans="1:13" ht="15.75" customHeight="1">
      <c r="A1277" s="22">
        <v>12393439</v>
      </c>
      <c r="B1277" s="23" t="s">
        <v>9220</v>
      </c>
      <c r="C1277" s="23" t="s">
        <v>9221</v>
      </c>
      <c r="D1277" s="23" t="s">
        <v>9222</v>
      </c>
      <c r="E1277" s="23" t="s">
        <v>701</v>
      </c>
      <c r="F1277" s="23" t="s">
        <v>5343</v>
      </c>
      <c r="G1277" s="22">
        <v>2003</v>
      </c>
      <c r="H1277" s="24">
        <v>37553</v>
      </c>
      <c r="I1277" s="23"/>
      <c r="J1277" s="23"/>
      <c r="K1277" s="26" t="s">
        <v>702</v>
      </c>
      <c r="L1277" s="27"/>
      <c r="M1277" s="27"/>
    </row>
    <row r="1278" spans="1:13" ht="15.75" customHeight="1">
      <c r="A1278" s="22">
        <v>25650037</v>
      </c>
      <c r="B1278" s="23" t="s">
        <v>9223</v>
      </c>
      <c r="C1278" s="23" t="s">
        <v>9224</v>
      </c>
      <c r="D1278" s="23" t="s">
        <v>9225</v>
      </c>
      <c r="E1278" s="23" t="s">
        <v>2510</v>
      </c>
      <c r="F1278" s="23" t="s">
        <v>9226</v>
      </c>
      <c r="G1278" s="22">
        <v>2015</v>
      </c>
      <c r="H1278" s="24">
        <v>42040</v>
      </c>
      <c r="I1278" s="26" t="s">
        <v>9227</v>
      </c>
      <c r="J1278" s="27"/>
      <c r="K1278" s="26" t="s">
        <v>2511</v>
      </c>
      <c r="L1278" s="27"/>
      <c r="M1278" s="23"/>
    </row>
    <row r="1279" spans="1:13" ht="15.75" customHeight="1">
      <c r="A1279" s="22">
        <v>31878218</v>
      </c>
      <c r="B1279" s="23" t="s">
        <v>9228</v>
      </c>
      <c r="C1279" s="23" t="s">
        <v>9229</v>
      </c>
      <c r="D1279" s="23" t="s">
        <v>9230</v>
      </c>
      <c r="E1279" s="23" t="s">
        <v>1533</v>
      </c>
      <c r="F1279" s="23" t="s">
        <v>9231</v>
      </c>
      <c r="G1279" s="22">
        <v>2019</v>
      </c>
      <c r="H1279" s="24">
        <v>43827</v>
      </c>
      <c r="I1279" s="26" t="s">
        <v>9232</v>
      </c>
      <c r="J1279" s="27"/>
      <c r="K1279" s="26" t="s">
        <v>1539</v>
      </c>
      <c r="L1279" s="27"/>
      <c r="M1279" s="27"/>
    </row>
    <row r="1280" spans="1:13" ht="15.75" customHeight="1">
      <c r="A1280" s="22">
        <v>30062730</v>
      </c>
      <c r="B1280" s="23" t="s">
        <v>9233</v>
      </c>
      <c r="C1280" s="23" t="s">
        <v>9234</v>
      </c>
      <c r="D1280" s="23" t="s">
        <v>9235</v>
      </c>
      <c r="E1280" s="23" t="s">
        <v>3888</v>
      </c>
      <c r="F1280" s="23" t="s">
        <v>9236</v>
      </c>
      <c r="G1280" s="22">
        <v>2018</v>
      </c>
      <c r="H1280" s="24">
        <v>43313</v>
      </c>
      <c r="I1280" s="23"/>
      <c r="J1280" s="23"/>
      <c r="K1280" s="26" t="s">
        <v>3889</v>
      </c>
      <c r="L1280" s="27"/>
      <c r="M1280" s="23"/>
    </row>
    <row r="1281" spans="1:13" ht="15.75" customHeight="1">
      <c r="A1281" s="22">
        <v>23146098</v>
      </c>
      <c r="B1281" s="23" t="s">
        <v>9237</v>
      </c>
      <c r="C1281" s="23" t="s">
        <v>9238</v>
      </c>
      <c r="D1281" s="23" t="s">
        <v>9239</v>
      </c>
      <c r="E1281" s="23" t="s">
        <v>2007</v>
      </c>
      <c r="F1281" s="23" t="s">
        <v>9240</v>
      </c>
      <c r="G1281" s="22">
        <v>2012</v>
      </c>
      <c r="H1281" s="24">
        <v>41227</v>
      </c>
      <c r="I1281" s="26" t="s">
        <v>9241</v>
      </c>
      <c r="J1281" s="27"/>
      <c r="K1281" s="26" t="s">
        <v>2008</v>
      </c>
      <c r="L1281" s="27"/>
      <c r="M1281" s="23"/>
    </row>
    <row r="1282" spans="1:13" ht="15.75" customHeight="1">
      <c r="A1282" s="22">
        <v>3053468</v>
      </c>
      <c r="B1282" s="23" t="s">
        <v>9211</v>
      </c>
      <c r="C1282" s="23" t="s">
        <v>9212</v>
      </c>
      <c r="D1282" s="23" t="s">
        <v>9242</v>
      </c>
      <c r="E1282" s="23" t="s">
        <v>1063</v>
      </c>
      <c r="F1282" s="23" t="s">
        <v>8870</v>
      </c>
      <c r="G1282" s="22">
        <v>1988</v>
      </c>
      <c r="H1282" s="24">
        <v>32462</v>
      </c>
      <c r="I1282" s="23"/>
      <c r="J1282" s="23"/>
      <c r="K1282" s="26" t="s">
        <v>1075</v>
      </c>
      <c r="L1282" s="27"/>
      <c r="M1282" s="23"/>
    </row>
    <row r="1283" spans="1:13" ht="15.75" customHeight="1">
      <c r="A1283" s="22">
        <v>31334297</v>
      </c>
      <c r="B1283" s="23" t="s">
        <v>9243</v>
      </c>
      <c r="C1283" s="23" t="s">
        <v>9244</v>
      </c>
      <c r="D1283" s="23" t="s">
        <v>9245</v>
      </c>
      <c r="E1283" s="23" t="s">
        <v>575</v>
      </c>
      <c r="F1283" s="23" t="s">
        <v>9246</v>
      </c>
      <c r="G1283" s="22">
        <v>2019</v>
      </c>
      <c r="H1283" s="24">
        <v>43670</v>
      </c>
      <c r="I1283" s="26" t="s">
        <v>9247</v>
      </c>
      <c r="J1283" s="27"/>
      <c r="K1283" s="26" t="s">
        <v>576</v>
      </c>
      <c r="L1283" s="27"/>
      <c r="M1283" s="23"/>
    </row>
    <row r="1284" spans="1:13" ht="15.75" customHeight="1">
      <c r="A1284" s="22">
        <v>24964991</v>
      </c>
      <c r="B1284" s="23" t="s">
        <v>9248</v>
      </c>
      <c r="C1284" s="23" t="s">
        <v>9249</v>
      </c>
      <c r="D1284" s="23" t="s">
        <v>9250</v>
      </c>
      <c r="E1284" s="23" t="s">
        <v>808</v>
      </c>
      <c r="F1284" s="23" t="s">
        <v>7813</v>
      </c>
      <c r="G1284" s="22">
        <v>2014</v>
      </c>
      <c r="H1284" s="24">
        <v>41817</v>
      </c>
      <c r="I1284" s="23" t="s">
        <v>9251</v>
      </c>
      <c r="J1284" s="23" t="s">
        <v>9252</v>
      </c>
      <c r="K1284" s="26" t="s">
        <v>809</v>
      </c>
      <c r="L1284" s="27"/>
      <c r="M1284" s="27"/>
    </row>
    <row r="1285" spans="1:13" ht="15.75" customHeight="1">
      <c r="A1285" s="22">
        <v>33308840</v>
      </c>
      <c r="B1285" s="23" t="s">
        <v>9253</v>
      </c>
      <c r="C1285" s="23" t="s">
        <v>9254</v>
      </c>
      <c r="D1285" s="23" t="s">
        <v>9255</v>
      </c>
      <c r="E1285" s="23" t="s">
        <v>226</v>
      </c>
      <c r="F1285" s="23" t="s">
        <v>5696</v>
      </c>
      <c r="G1285" s="22">
        <v>2021</v>
      </c>
      <c r="H1285" s="24">
        <v>44179</v>
      </c>
      <c r="I1285" s="23"/>
      <c r="J1285" s="23"/>
      <c r="K1285" s="26" t="s">
        <v>358</v>
      </c>
      <c r="L1285" s="27"/>
      <c r="M1285" s="27"/>
    </row>
    <row r="1286" spans="1:13" ht="15.75" customHeight="1">
      <c r="A1286" s="22">
        <v>34587860</v>
      </c>
      <c r="B1286" s="23" t="s">
        <v>9256</v>
      </c>
      <c r="C1286" s="23" t="s">
        <v>9257</v>
      </c>
      <c r="D1286" s="23" t="s">
        <v>9258</v>
      </c>
      <c r="E1286" s="23" t="s">
        <v>4058</v>
      </c>
      <c r="F1286" s="23" t="s">
        <v>9259</v>
      </c>
      <c r="G1286" s="22">
        <v>2022</v>
      </c>
      <c r="H1286" s="24">
        <v>44469</v>
      </c>
      <c r="I1286" s="23" t="s">
        <v>9260</v>
      </c>
      <c r="J1286" s="23" t="s">
        <v>9261</v>
      </c>
      <c r="K1286" s="26" t="s">
        <v>4059</v>
      </c>
      <c r="L1286" s="27"/>
      <c r="M1286" s="27"/>
    </row>
    <row r="1287" spans="1:13" ht="15.75" customHeight="1">
      <c r="A1287" s="22">
        <v>38635788</v>
      </c>
      <c r="B1287" s="23" t="s">
        <v>9262</v>
      </c>
      <c r="C1287" s="23" t="s">
        <v>9263</v>
      </c>
      <c r="D1287" s="23" t="s">
        <v>9264</v>
      </c>
      <c r="E1287" s="23" t="s">
        <v>679</v>
      </c>
      <c r="F1287" s="23" t="s">
        <v>5343</v>
      </c>
      <c r="G1287" s="22">
        <v>2024</v>
      </c>
      <c r="H1287" s="24">
        <v>45400</v>
      </c>
      <c r="I1287" s="23"/>
      <c r="J1287" s="23"/>
      <c r="K1287" s="26" t="s">
        <v>1031</v>
      </c>
      <c r="L1287" s="27"/>
      <c r="M1287" s="27"/>
    </row>
    <row r="1288" spans="1:13" ht="15.75" customHeight="1">
      <c r="A1288" s="22">
        <v>2550877</v>
      </c>
      <c r="B1288" s="23" t="s">
        <v>9265</v>
      </c>
      <c r="C1288" s="23" t="s">
        <v>9266</v>
      </c>
      <c r="D1288" s="23" t="s">
        <v>9267</v>
      </c>
      <c r="E1288" s="23" t="s">
        <v>195</v>
      </c>
      <c r="F1288" s="23" t="s">
        <v>5663</v>
      </c>
      <c r="G1288" s="22">
        <v>1989</v>
      </c>
      <c r="H1288" s="24">
        <v>32782</v>
      </c>
      <c r="I1288" s="23"/>
      <c r="J1288" s="23"/>
      <c r="K1288" s="23"/>
      <c r="L1288" s="23"/>
      <c r="M1288" s="23"/>
    </row>
    <row r="1289" spans="1:13" ht="15.75" customHeight="1">
      <c r="A1289" s="22">
        <v>28939451</v>
      </c>
      <c r="B1289" s="23" t="s">
        <v>9268</v>
      </c>
      <c r="C1289" s="23" t="s">
        <v>9269</v>
      </c>
      <c r="D1289" s="23" t="s">
        <v>9270</v>
      </c>
      <c r="E1289" s="23" t="s">
        <v>267</v>
      </c>
      <c r="F1289" s="23" t="s">
        <v>5076</v>
      </c>
      <c r="G1289" s="22">
        <v>2018</v>
      </c>
      <c r="H1289" s="24">
        <v>43002</v>
      </c>
      <c r="I1289" s="23"/>
      <c r="J1289" s="23"/>
      <c r="K1289" s="26" t="s">
        <v>3538</v>
      </c>
      <c r="L1289" s="27"/>
      <c r="M1289" s="27"/>
    </row>
    <row r="1290" spans="1:13" ht="15.75" customHeight="1">
      <c r="A1290" s="22">
        <v>2542623</v>
      </c>
      <c r="B1290" s="23" t="s">
        <v>9271</v>
      </c>
      <c r="C1290" s="23" t="s">
        <v>9272</v>
      </c>
      <c r="D1290" s="23" t="s">
        <v>9273</v>
      </c>
      <c r="E1290" s="23" t="s">
        <v>4159</v>
      </c>
      <c r="F1290" s="23" t="s">
        <v>4891</v>
      </c>
      <c r="G1290" s="22">
        <v>1989</v>
      </c>
      <c r="H1290" s="24">
        <v>32690</v>
      </c>
      <c r="I1290" s="23" t="s">
        <v>9274</v>
      </c>
      <c r="J1290" s="23"/>
      <c r="K1290" s="26" t="s">
        <v>4162</v>
      </c>
      <c r="L1290" s="27"/>
      <c r="M1290" s="27"/>
    </row>
    <row r="1291" spans="1:13" ht="15.75" customHeight="1">
      <c r="A1291" s="22">
        <v>2153237</v>
      </c>
      <c r="B1291" s="23" t="s">
        <v>9275</v>
      </c>
      <c r="C1291" s="23" t="s">
        <v>9276</v>
      </c>
      <c r="D1291" s="23" t="s">
        <v>9277</v>
      </c>
      <c r="E1291" s="23" t="s">
        <v>2972</v>
      </c>
      <c r="F1291" s="23" t="s">
        <v>4891</v>
      </c>
      <c r="G1291" s="22">
        <v>1990</v>
      </c>
      <c r="H1291" s="24">
        <v>32905</v>
      </c>
      <c r="I1291" s="23" t="s">
        <v>9278</v>
      </c>
      <c r="J1291" s="23"/>
      <c r="K1291" s="26" t="s">
        <v>2973</v>
      </c>
      <c r="L1291" s="27"/>
      <c r="M1291" s="27"/>
    </row>
    <row r="1292" spans="1:13" ht="15.75" customHeight="1">
      <c r="A1292" s="22">
        <v>31649826</v>
      </c>
      <c r="B1292" s="23" t="s">
        <v>9279</v>
      </c>
      <c r="C1292" s="23" t="s">
        <v>9280</v>
      </c>
      <c r="D1292" s="23" t="s">
        <v>9281</v>
      </c>
      <c r="E1292" s="23" t="s">
        <v>2075</v>
      </c>
      <c r="F1292" s="23" t="s">
        <v>9282</v>
      </c>
      <c r="G1292" s="22">
        <v>2019</v>
      </c>
      <c r="H1292" s="24">
        <v>43764</v>
      </c>
      <c r="I1292" s="26" t="s">
        <v>9283</v>
      </c>
      <c r="J1292" s="27"/>
      <c r="K1292" s="26" t="s">
        <v>2076</v>
      </c>
      <c r="L1292" s="27"/>
      <c r="M1292" s="23"/>
    </row>
    <row r="1293" spans="1:13" ht="15.75" customHeight="1">
      <c r="A1293" s="22">
        <v>2693479</v>
      </c>
      <c r="B1293" s="23" t="s">
        <v>9284</v>
      </c>
      <c r="C1293" s="23" t="s">
        <v>9285</v>
      </c>
      <c r="D1293" s="23" t="s">
        <v>9286</v>
      </c>
      <c r="E1293" s="23" t="s">
        <v>1341</v>
      </c>
      <c r="F1293" s="23" t="s">
        <v>5267</v>
      </c>
      <c r="G1293" s="22">
        <v>1989</v>
      </c>
      <c r="H1293" s="24">
        <v>32813</v>
      </c>
      <c r="I1293" s="23"/>
      <c r="J1293" s="23"/>
      <c r="K1293" s="26" t="s">
        <v>1348</v>
      </c>
      <c r="L1293" s="27"/>
      <c r="M1293" s="27"/>
    </row>
    <row r="1294" spans="1:13" ht="15.75" customHeight="1">
      <c r="A1294" s="22">
        <v>3259254</v>
      </c>
      <c r="B1294" s="23" t="s">
        <v>9287</v>
      </c>
      <c r="C1294" s="23" t="s">
        <v>9288</v>
      </c>
      <c r="D1294" s="23" t="s">
        <v>9289</v>
      </c>
      <c r="E1294" s="23" t="s">
        <v>3041</v>
      </c>
      <c r="F1294" s="23" t="s">
        <v>5170</v>
      </c>
      <c r="G1294" s="22">
        <v>1988</v>
      </c>
      <c r="H1294" s="24">
        <v>32264</v>
      </c>
      <c r="I1294" s="26" t="s">
        <v>9290</v>
      </c>
      <c r="J1294" s="27"/>
      <c r="K1294" s="26" t="s">
        <v>3059</v>
      </c>
      <c r="L1294" s="27"/>
      <c r="M1294" s="23"/>
    </row>
    <row r="1295" spans="1:13" ht="15.75" customHeight="1">
      <c r="A1295" s="22">
        <v>34347179</v>
      </c>
      <c r="B1295" s="23" t="s">
        <v>9291</v>
      </c>
      <c r="C1295" s="23" t="s">
        <v>9292</v>
      </c>
      <c r="D1295" s="23" t="s">
        <v>9293</v>
      </c>
      <c r="E1295" s="23" t="s">
        <v>754</v>
      </c>
      <c r="F1295" s="23" t="s">
        <v>9294</v>
      </c>
      <c r="G1295" s="22">
        <v>2022</v>
      </c>
      <c r="H1295" s="24">
        <v>44412</v>
      </c>
      <c r="I1295" s="23"/>
      <c r="J1295" s="23"/>
      <c r="K1295" s="26" t="s">
        <v>755</v>
      </c>
      <c r="L1295" s="27"/>
      <c r="M1295" s="27"/>
    </row>
    <row r="1296" spans="1:13" ht="15.75" customHeight="1">
      <c r="A1296" s="22">
        <v>12123421</v>
      </c>
      <c r="B1296" s="23" t="s">
        <v>9295</v>
      </c>
      <c r="C1296" s="23" t="s">
        <v>9296</v>
      </c>
      <c r="D1296" s="23" t="s">
        <v>9297</v>
      </c>
      <c r="E1296" s="23" t="s">
        <v>168</v>
      </c>
      <c r="F1296" s="23" t="s">
        <v>4974</v>
      </c>
      <c r="G1296" s="22">
        <v>2002</v>
      </c>
      <c r="H1296" s="24">
        <v>37456</v>
      </c>
      <c r="I1296" s="23"/>
      <c r="J1296" s="23"/>
      <c r="K1296" s="26" t="s">
        <v>408</v>
      </c>
      <c r="L1296" s="27"/>
      <c r="M1296" s="27"/>
    </row>
    <row r="1297" spans="1:13" ht="15.75" customHeight="1">
      <c r="A1297" s="22">
        <v>2555389</v>
      </c>
      <c r="B1297" s="23" t="s">
        <v>9298</v>
      </c>
      <c r="C1297" s="23" t="s">
        <v>9299</v>
      </c>
      <c r="D1297" s="23" t="s">
        <v>9300</v>
      </c>
      <c r="E1297" s="23" t="s">
        <v>1213</v>
      </c>
      <c r="F1297" s="23" t="s">
        <v>5331</v>
      </c>
      <c r="G1297" s="22">
        <v>1989</v>
      </c>
      <c r="H1297" s="24">
        <v>32782</v>
      </c>
      <c r="I1297" s="23" t="s">
        <v>9301</v>
      </c>
      <c r="J1297" s="23"/>
      <c r="K1297" s="26" t="s">
        <v>1214</v>
      </c>
      <c r="L1297" s="27"/>
      <c r="M1297" s="27"/>
    </row>
    <row r="1298" spans="1:13" ht="15.75" customHeight="1">
      <c r="A1298" s="22">
        <v>1351995</v>
      </c>
      <c r="B1298" s="23" t="s">
        <v>9302</v>
      </c>
      <c r="C1298" s="23" t="s">
        <v>9303</v>
      </c>
      <c r="D1298" s="23" t="s">
        <v>9304</v>
      </c>
      <c r="E1298" s="23" t="s">
        <v>1926</v>
      </c>
      <c r="F1298" s="23" t="s">
        <v>6147</v>
      </c>
      <c r="G1298" s="22">
        <v>1992</v>
      </c>
      <c r="H1298" s="24">
        <v>33806</v>
      </c>
      <c r="I1298" s="23"/>
      <c r="J1298" s="23"/>
      <c r="K1298" s="23"/>
      <c r="L1298" s="23"/>
      <c r="M1298" s="23"/>
    </row>
    <row r="1299" spans="1:13" ht="15.75" customHeight="1">
      <c r="A1299" s="22">
        <v>33504606</v>
      </c>
      <c r="B1299" s="23" t="s">
        <v>9305</v>
      </c>
      <c r="C1299" s="23" t="s">
        <v>9306</v>
      </c>
      <c r="D1299" s="23" t="s">
        <v>9307</v>
      </c>
      <c r="E1299" s="23" t="s">
        <v>3902</v>
      </c>
      <c r="F1299" s="23" t="s">
        <v>4891</v>
      </c>
      <c r="G1299" s="22">
        <v>2021</v>
      </c>
      <c r="H1299" s="24">
        <v>44224</v>
      </c>
      <c r="I1299" s="26" t="s">
        <v>9308</v>
      </c>
      <c r="J1299" s="27"/>
      <c r="K1299" s="26" t="s">
        <v>3903</v>
      </c>
      <c r="L1299" s="27"/>
      <c r="M1299" s="23"/>
    </row>
    <row r="1300" spans="1:13" ht="15.75" customHeight="1">
      <c r="A1300" s="22">
        <v>32140147</v>
      </c>
      <c r="B1300" s="23" t="s">
        <v>9309</v>
      </c>
      <c r="C1300" s="23" t="s">
        <v>9310</v>
      </c>
      <c r="D1300" s="23" t="s">
        <v>9311</v>
      </c>
      <c r="E1300" s="23" t="s">
        <v>1386</v>
      </c>
      <c r="F1300" s="23" t="s">
        <v>9131</v>
      </c>
      <c r="G1300" s="22">
        <v>2020</v>
      </c>
      <c r="H1300" s="24">
        <v>43897</v>
      </c>
      <c r="I1300" s="26" t="s">
        <v>9312</v>
      </c>
      <c r="J1300" s="27"/>
      <c r="K1300" s="26" t="s">
        <v>1389</v>
      </c>
      <c r="L1300" s="27"/>
      <c r="M1300" s="27"/>
    </row>
    <row r="1301" spans="1:13" ht="15.75" customHeight="1">
      <c r="A1301" s="22">
        <v>31890456</v>
      </c>
      <c r="B1301" s="23" t="s">
        <v>9313</v>
      </c>
      <c r="C1301" s="23" t="s">
        <v>9314</v>
      </c>
      <c r="D1301" s="23" t="s">
        <v>9315</v>
      </c>
      <c r="E1301" s="23" t="s">
        <v>3526</v>
      </c>
      <c r="F1301" s="23" t="s">
        <v>9316</v>
      </c>
      <c r="G1301" s="22">
        <v>2019</v>
      </c>
      <c r="H1301" s="24">
        <v>43831</v>
      </c>
      <c r="I1301" s="26" t="s">
        <v>9317</v>
      </c>
      <c r="J1301" s="27"/>
      <c r="K1301" s="26" t="s">
        <v>3527</v>
      </c>
      <c r="L1301" s="27"/>
      <c r="M1301" s="23"/>
    </row>
    <row r="1302" spans="1:13" ht="15.75" customHeight="1">
      <c r="A1302" s="22">
        <v>36004309</v>
      </c>
      <c r="B1302" s="23" t="s">
        <v>9318</v>
      </c>
      <c r="C1302" s="23" t="s">
        <v>9319</v>
      </c>
      <c r="D1302" s="23" t="s">
        <v>9320</v>
      </c>
      <c r="E1302" s="23" t="s">
        <v>613</v>
      </c>
      <c r="F1302" s="23" t="s">
        <v>9246</v>
      </c>
      <c r="G1302" s="22">
        <v>2022</v>
      </c>
      <c r="H1302" s="24">
        <v>44798</v>
      </c>
      <c r="I1302" s="26" t="s">
        <v>9321</v>
      </c>
      <c r="J1302" s="27"/>
      <c r="K1302" s="26" t="s">
        <v>2280</v>
      </c>
      <c r="L1302" s="27"/>
      <c r="M1302" s="23"/>
    </row>
    <row r="1303" spans="1:13" ht="15.75" customHeight="1">
      <c r="A1303" s="22">
        <v>34738024</v>
      </c>
      <c r="B1303" s="23" t="s">
        <v>9322</v>
      </c>
      <c r="C1303" s="23" t="s">
        <v>9323</v>
      </c>
      <c r="D1303" s="23" t="s">
        <v>9324</v>
      </c>
      <c r="E1303" s="23" t="s">
        <v>3726</v>
      </c>
      <c r="F1303" s="23" t="s">
        <v>9246</v>
      </c>
      <c r="G1303" s="22">
        <v>2021</v>
      </c>
      <c r="H1303" s="24">
        <v>44505</v>
      </c>
      <c r="I1303" s="26" t="s">
        <v>9325</v>
      </c>
      <c r="J1303" s="27"/>
      <c r="K1303" s="26" t="s">
        <v>3727</v>
      </c>
      <c r="L1303" s="27"/>
      <c r="M1303" s="23"/>
    </row>
    <row r="1304" spans="1:13" ht="15.75" customHeight="1">
      <c r="A1304" s="22">
        <v>24163703</v>
      </c>
      <c r="B1304" s="23" t="s">
        <v>9326</v>
      </c>
      <c r="C1304" s="23" t="s">
        <v>9327</v>
      </c>
      <c r="D1304" s="23" t="s">
        <v>9328</v>
      </c>
      <c r="E1304" s="23" t="s">
        <v>1758</v>
      </c>
      <c r="F1304" s="23" t="s">
        <v>9329</v>
      </c>
      <c r="G1304" s="22">
        <v>2013</v>
      </c>
      <c r="H1304" s="24">
        <v>41576</v>
      </c>
      <c r="I1304" s="23" t="s">
        <v>9330</v>
      </c>
      <c r="J1304" s="23" t="s">
        <v>9331</v>
      </c>
      <c r="K1304" s="26" t="s">
        <v>1759</v>
      </c>
      <c r="L1304" s="27"/>
      <c r="M1304" s="23"/>
    </row>
    <row r="1305" spans="1:13" ht="15.75" customHeight="1">
      <c r="A1305" s="22">
        <v>31228095</v>
      </c>
      <c r="B1305" s="23" t="s">
        <v>9332</v>
      </c>
      <c r="C1305" s="23" t="s">
        <v>9333</v>
      </c>
      <c r="D1305" s="23" t="s">
        <v>9334</v>
      </c>
      <c r="E1305" s="23" t="s">
        <v>2574</v>
      </c>
      <c r="F1305" s="23" t="s">
        <v>9335</v>
      </c>
      <c r="G1305" s="22">
        <v>2019</v>
      </c>
      <c r="H1305" s="24">
        <v>43639</v>
      </c>
      <c r="I1305" s="23"/>
      <c r="J1305" s="23"/>
      <c r="K1305" s="26" t="s">
        <v>2575</v>
      </c>
      <c r="L1305" s="27"/>
      <c r="M1305" s="27"/>
    </row>
    <row r="1306" spans="1:13" ht="15.75" customHeight="1">
      <c r="A1306" s="22">
        <v>15566776</v>
      </c>
      <c r="B1306" s="23" t="s">
        <v>9336</v>
      </c>
      <c r="C1306" s="23" t="s">
        <v>9337</v>
      </c>
      <c r="D1306" s="23" t="s">
        <v>9338</v>
      </c>
      <c r="E1306" s="23" t="s">
        <v>3716</v>
      </c>
      <c r="F1306" s="23" t="s">
        <v>9339</v>
      </c>
      <c r="G1306" s="22">
        <v>1994</v>
      </c>
      <c r="H1306" s="24">
        <v>34547</v>
      </c>
      <c r="I1306" s="23"/>
      <c r="J1306" s="23"/>
      <c r="K1306" s="26" t="s">
        <v>3719</v>
      </c>
      <c r="L1306" s="27"/>
      <c r="M1306" s="27"/>
    </row>
    <row r="1307" spans="1:13" ht="15.75" customHeight="1">
      <c r="A1307" s="22">
        <v>2773596</v>
      </c>
      <c r="B1307" s="23" t="s">
        <v>9340</v>
      </c>
      <c r="C1307" s="23" t="s">
        <v>9341</v>
      </c>
      <c r="D1307" s="23" t="s">
        <v>9342</v>
      </c>
      <c r="E1307" s="23" t="s">
        <v>3995</v>
      </c>
      <c r="F1307" s="23" t="s">
        <v>5122</v>
      </c>
      <c r="G1307" s="22">
        <v>1989</v>
      </c>
      <c r="H1307" s="24">
        <v>32660</v>
      </c>
      <c r="I1307" s="23"/>
      <c r="J1307" s="23"/>
      <c r="K1307" s="26" t="s">
        <v>3998</v>
      </c>
      <c r="L1307" s="27"/>
      <c r="M1307" s="27"/>
    </row>
    <row r="1308" spans="1:13" ht="15.75" customHeight="1">
      <c r="A1308" s="22">
        <v>36310678</v>
      </c>
      <c r="B1308" s="23" t="s">
        <v>9343</v>
      </c>
      <c r="C1308" s="23" t="s">
        <v>9344</v>
      </c>
      <c r="D1308" s="23" t="s">
        <v>9345</v>
      </c>
      <c r="E1308" s="23" t="s">
        <v>3125</v>
      </c>
      <c r="F1308" s="23" t="s">
        <v>9346</v>
      </c>
      <c r="G1308" s="22">
        <v>2022</v>
      </c>
      <c r="H1308" s="24">
        <v>44865</v>
      </c>
      <c r="I1308" s="26" t="s">
        <v>9347</v>
      </c>
      <c r="J1308" s="27"/>
      <c r="K1308" s="26" t="s">
        <v>3126</v>
      </c>
      <c r="L1308" s="27"/>
      <c r="M1308" s="23"/>
    </row>
    <row r="1309" spans="1:13" ht="15.75" customHeight="1">
      <c r="A1309" s="22">
        <v>30519529</v>
      </c>
      <c r="B1309" s="23" t="s">
        <v>9348</v>
      </c>
      <c r="C1309" s="23" t="s">
        <v>9349</v>
      </c>
      <c r="D1309" s="23" t="s">
        <v>9350</v>
      </c>
      <c r="E1309" s="23" t="s">
        <v>683</v>
      </c>
      <c r="F1309" s="23" t="s">
        <v>9351</v>
      </c>
      <c r="G1309" s="22">
        <v>2018</v>
      </c>
      <c r="H1309" s="24">
        <v>43441</v>
      </c>
      <c r="I1309" s="26" t="s">
        <v>9352</v>
      </c>
      <c r="J1309" s="27"/>
      <c r="K1309" s="26" t="s">
        <v>684</v>
      </c>
      <c r="L1309" s="27"/>
      <c r="M1309" s="27"/>
    </row>
    <row r="1310" spans="1:13" ht="15.75" customHeight="1">
      <c r="A1310" s="22">
        <v>29785130</v>
      </c>
      <c r="B1310" s="23" t="s">
        <v>9353</v>
      </c>
      <c r="C1310" s="23" t="s">
        <v>9354</v>
      </c>
      <c r="D1310" s="23" t="s">
        <v>9355</v>
      </c>
      <c r="E1310" s="23" t="s">
        <v>2850</v>
      </c>
      <c r="F1310" s="23" t="s">
        <v>9356</v>
      </c>
      <c r="G1310" s="22">
        <v>2018</v>
      </c>
      <c r="H1310" s="24">
        <v>43243</v>
      </c>
      <c r="I1310" s="26" t="s">
        <v>9357</v>
      </c>
      <c r="J1310" s="27"/>
      <c r="K1310" s="26" t="s">
        <v>2851</v>
      </c>
      <c r="L1310" s="27"/>
      <c r="M1310" s="23"/>
    </row>
    <row r="1311" spans="1:13" ht="15.75" customHeight="1">
      <c r="A1311" s="22">
        <v>23940750</v>
      </c>
      <c r="B1311" s="23" t="s">
        <v>9358</v>
      </c>
      <c r="C1311" s="23" t="s">
        <v>9359</v>
      </c>
      <c r="D1311" s="23" t="s">
        <v>9360</v>
      </c>
      <c r="E1311" s="23" t="s">
        <v>1236</v>
      </c>
      <c r="F1311" s="23" t="s">
        <v>4978</v>
      </c>
      <c r="G1311" s="22">
        <v>2013</v>
      </c>
      <c r="H1311" s="24">
        <v>41500</v>
      </c>
      <c r="I1311" s="26" t="s">
        <v>9361</v>
      </c>
      <c r="J1311" s="27"/>
      <c r="K1311" s="26" t="s">
        <v>1237</v>
      </c>
      <c r="L1311" s="27"/>
      <c r="M1311" s="27"/>
    </row>
    <row r="1312" spans="1:13" ht="15.75" customHeight="1">
      <c r="A1312" s="22">
        <v>31469438</v>
      </c>
      <c r="B1312" s="23" t="s">
        <v>9362</v>
      </c>
      <c r="C1312" s="23" t="s">
        <v>9363</v>
      </c>
      <c r="D1312" s="23" t="s">
        <v>9364</v>
      </c>
      <c r="E1312" s="23" t="s">
        <v>2010</v>
      </c>
      <c r="F1312" s="23" t="s">
        <v>5336</v>
      </c>
      <c r="G1312" s="22">
        <v>2020</v>
      </c>
      <c r="H1312" s="24">
        <v>43708</v>
      </c>
      <c r="I1312" s="23" t="s">
        <v>9365</v>
      </c>
      <c r="J1312" s="23" t="s">
        <v>9366</v>
      </c>
      <c r="K1312" s="26" t="s">
        <v>2011</v>
      </c>
      <c r="L1312" s="27"/>
      <c r="M1312" s="23"/>
    </row>
    <row r="1313" spans="1:13" ht="15.75" customHeight="1">
      <c r="A1313" s="22">
        <v>21925094</v>
      </c>
      <c r="B1313" s="23" t="s">
        <v>9367</v>
      </c>
      <c r="C1313" s="23" t="s">
        <v>9368</v>
      </c>
      <c r="D1313" s="23" t="s">
        <v>9369</v>
      </c>
      <c r="E1313" s="23" t="s">
        <v>2106</v>
      </c>
      <c r="F1313" s="23" t="s">
        <v>9370</v>
      </c>
      <c r="G1313" s="22">
        <v>2011</v>
      </c>
      <c r="H1313" s="24">
        <v>40806</v>
      </c>
      <c r="I1313" s="23"/>
      <c r="J1313" s="23"/>
      <c r="K1313" s="26" t="s">
        <v>2107</v>
      </c>
      <c r="L1313" s="27"/>
      <c r="M1313" s="27"/>
    </row>
    <row r="1314" spans="1:13" ht="15.75" customHeight="1">
      <c r="A1314" s="22">
        <v>35415058</v>
      </c>
      <c r="B1314" s="23" t="s">
        <v>9371</v>
      </c>
      <c r="C1314" s="23" t="s">
        <v>9372</v>
      </c>
      <c r="D1314" s="23" t="s">
        <v>9373</v>
      </c>
      <c r="E1314" s="23" t="s">
        <v>3176</v>
      </c>
      <c r="F1314" s="23" t="s">
        <v>9165</v>
      </c>
      <c r="G1314" s="22">
        <v>2022</v>
      </c>
      <c r="H1314" s="24">
        <v>44664</v>
      </c>
      <c r="I1314" s="26" t="s">
        <v>9374</v>
      </c>
      <c r="J1314" s="27"/>
      <c r="K1314" s="26" t="s">
        <v>3177</v>
      </c>
      <c r="L1314" s="27"/>
      <c r="M1314" s="23"/>
    </row>
    <row r="1315" spans="1:13" ht="15.75" customHeight="1">
      <c r="A1315" s="22">
        <v>2896909</v>
      </c>
      <c r="B1315" s="23" t="s">
        <v>9375</v>
      </c>
      <c r="C1315" s="23" t="s">
        <v>9376</v>
      </c>
      <c r="D1315" s="23" t="s">
        <v>9377</v>
      </c>
      <c r="E1315" s="23" t="s">
        <v>4551</v>
      </c>
      <c r="F1315" s="23" t="s">
        <v>6147</v>
      </c>
      <c r="G1315" s="22">
        <v>1988</v>
      </c>
      <c r="H1315" s="24">
        <v>32277</v>
      </c>
      <c r="I1315" s="23"/>
      <c r="J1315" s="23"/>
      <c r="K1315" s="26" t="s">
        <v>4554</v>
      </c>
      <c r="L1315" s="27"/>
      <c r="M1315" s="27"/>
    </row>
    <row r="1316" spans="1:13" ht="15.75" customHeight="1">
      <c r="A1316" s="22">
        <v>2166835</v>
      </c>
      <c r="B1316" s="23" t="s">
        <v>9378</v>
      </c>
      <c r="C1316" s="23" t="s">
        <v>9379</v>
      </c>
      <c r="D1316" s="23" t="s">
        <v>9380</v>
      </c>
      <c r="E1316" s="23" t="s">
        <v>2094</v>
      </c>
      <c r="F1316" s="23" t="s">
        <v>4891</v>
      </c>
      <c r="G1316" s="22">
        <v>1990</v>
      </c>
      <c r="H1316" s="24">
        <v>33117</v>
      </c>
      <c r="I1316" s="23" t="s">
        <v>9381</v>
      </c>
      <c r="J1316" s="23"/>
      <c r="K1316" s="26" t="s">
        <v>2099</v>
      </c>
      <c r="L1316" s="27"/>
      <c r="M1316" s="27"/>
    </row>
    <row r="1317" spans="1:13" ht="15.75" customHeight="1">
      <c r="A1317" s="22">
        <v>25285115</v>
      </c>
      <c r="B1317" s="23" t="s">
        <v>9382</v>
      </c>
      <c r="C1317" s="23" t="s">
        <v>9383</v>
      </c>
      <c r="D1317" s="23" t="s">
        <v>9384</v>
      </c>
      <c r="E1317" s="23" t="s">
        <v>1816</v>
      </c>
      <c r="F1317" s="23" t="s">
        <v>9385</v>
      </c>
      <c r="G1317" s="22">
        <v>2014</v>
      </c>
      <c r="H1317" s="24">
        <v>41919</v>
      </c>
      <c r="I1317" s="26" t="s">
        <v>9386</v>
      </c>
      <c r="J1317" s="27"/>
      <c r="K1317" s="26" t="s">
        <v>1817</v>
      </c>
      <c r="L1317" s="27"/>
      <c r="M1317" s="23"/>
    </row>
    <row r="1318" spans="1:13" ht="15.75" customHeight="1">
      <c r="A1318" s="22">
        <v>32551136</v>
      </c>
      <c r="B1318" s="23" t="s">
        <v>9387</v>
      </c>
      <c r="C1318" s="23" t="s">
        <v>9280</v>
      </c>
      <c r="D1318" s="23" t="s">
        <v>9388</v>
      </c>
      <c r="E1318" s="23" t="s">
        <v>2075</v>
      </c>
      <c r="F1318" s="23" t="s">
        <v>9282</v>
      </c>
      <c r="G1318" s="22">
        <v>2020</v>
      </c>
      <c r="H1318" s="24">
        <v>44002</v>
      </c>
      <c r="I1318" s="26" t="s">
        <v>9389</v>
      </c>
      <c r="J1318" s="27"/>
      <c r="K1318" s="26" t="s">
        <v>2078</v>
      </c>
      <c r="L1318" s="27"/>
      <c r="M1318" s="23"/>
    </row>
    <row r="1319" spans="1:13" ht="15.75" customHeight="1">
      <c r="A1319" s="22">
        <v>9509968</v>
      </c>
      <c r="B1319" s="23" t="s">
        <v>9390</v>
      </c>
      <c r="C1319" s="23" t="s">
        <v>9391</v>
      </c>
      <c r="D1319" s="23" t="s">
        <v>9392</v>
      </c>
      <c r="E1319" s="23" t="s">
        <v>3145</v>
      </c>
      <c r="F1319" s="23" t="s">
        <v>4863</v>
      </c>
      <c r="G1319" s="22">
        <v>1998</v>
      </c>
      <c r="H1319" s="24">
        <v>35878</v>
      </c>
      <c r="I1319" s="23"/>
      <c r="J1319" s="23"/>
      <c r="K1319" s="26" t="s">
        <v>3148</v>
      </c>
      <c r="L1319" s="27"/>
      <c r="M1319" s="23"/>
    </row>
    <row r="1320" spans="1:13" ht="15.75" customHeight="1">
      <c r="A1320" s="22">
        <v>22371761</v>
      </c>
      <c r="B1320" s="23" t="s">
        <v>9393</v>
      </c>
      <c r="C1320" s="23" t="s">
        <v>9394</v>
      </c>
      <c r="D1320" s="23" t="s">
        <v>9395</v>
      </c>
      <c r="E1320" s="23" t="s">
        <v>4269</v>
      </c>
      <c r="F1320" s="23" t="s">
        <v>9396</v>
      </c>
      <c r="G1320" s="22">
        <v>2010</v>
      </c>
      <c r="H1320" s="24">
        <v>40968</v>
      </c>
      <c r="I1320" s="26" t="s">
        <v>9397</v>
      </c>
      <c r="J1320" s="27"/>
      <c r="K1320" s="26" t="s">
        <v>4270</v>
      </c>
      <c r="L1320" s="27"/>
      <c r="M1320" s="27"/>
    </row>
    <row r="1321" spans="1:13" ht="15.75" customHeight="1">
      <c r="A1321" s="22">
        <v>38496135</v>
      </c>
      <c r="B1321" s="23" t="s">
        <v>9398</v>
      </c>
      <c r="C1321" s="23" t="s">
        <v>9399</v>
      </c>
      <c r="D1321" s="23" t="s">
        <v>9400</v>
      </c>
      <c r="E1321" s="23" t="s">
        <v>4741</v>
      </c>
      <c r="F1321" s="23" t="s">
        <v>9165</v>
      </c>
      <c r="G1321" s="22">
        <v>2024</v>
      </c>
      <c r="H1321" s="24">
        <v>45369</v>
      </c>
      <c r="I1321" s="26" t="s">
        <v>9401</v>
      </c>
      <c r="J1321" s="27"/>
      <c r="K1321" s="26" t="s">
        <v>4742</v>
      </c>
      <c r="L1321" s="27"/>
      <c r="M1321" s="23"/>
    </row>
    <row r="1322" spans="1:13" ht="15.75" customHeight="1">
      <c r="A1322" s="22">
        <v>12531788</v>
      </c>
      <c r="B1322" s="23" t="s">
        <v>9402</v>
      </c>
      <c r="C1322" s="23" t="s">
        <v>9403</v>
      </c>
      <c r="D1322" s="23" t="s">
        <v>9404</v>
      </c>
      <c r="E1322" s="23" t="s">
        <v>1338</v>
      </c>
      <c r="F1322" s="23" t="s">
        <v>5343</v>
      </c>
      <c r="G1322" s="22">
        <v>2003</v>
      </c>
      <c r="H1322" s="24">
        <v>37639</v>
      </c>
      <c r="I1322" s="23"/>
      <c r="J1322" s="23"/>
      <c r="K1322" s="26" t="s">
        <v>1339</v>
      </c>
      <c r="L1322" s="27"/>
      <c r="M1322" s="27"/>
    </row>
    <row r="1323" spans="1:13" ht="15.75" customHeight="1">
      <c r="A1323" s="22">
        <v>29531650</v>
      </c>
      <c r="B1323" s="23" t="s">
        <v>9405</v>
      </c>
      <c r="C1323" s="23" t="s">
        <v>9406</v>
      </c>
      <c r="D1323" s="23" t="s">
        <v>9407</v>
      </c>
      <c r="E1323" s="23" t="s">
        <v>3206</v>
      </c>
      <c r="F1323" s="23" t="s">
        <v>9408</v>
      </c>
      <c r="G1323" s="22">
        <v>2018</v>
      </c>
      <c r="H1323" s="24">
        <v>43173</v>
      </c>
      <c r="I1323" s="26" t="s">
        <v>9409</v>
      </c>
      <c r="J1323" s="27"/>
      <c r="K1323" s="26" t="s">
        <v>3207</v>
      </c>
      <c r="L1323" s="27"/>
      <c r="M1323" s="23"/>
    </row>
    <row r="1324" spans="1:13" ht="15.75" customHeight="1">
      <c r="A1324" s="22">
        <v>17035788</v>
      </c>
      <c r="B1324" s="23" t="s">
        <v>9410</v>
      </c>
      <c r="C1324" s="23" t="s">
        <v>9411</v>
      </c>
      <c r="D1324" s="23" t="s">
        <v>9412</v>
      </c>
      <c r="E1324" s="23" t="s">
        <v>3234</v>
      </c>
      <c r="F1324" s="23" t="s">
        <v>5035</v>
      </c>
      <c r="G1324" s="22">
        <v>1999</v>
      </c>
      <c r="H1324" s="24">
        <v>39003</v>
      </c>
      <c r="I1324" s="23"/>
      <c r="J1324" s="23"/>
      <c r="K1324" s="26" t="s">
        <v>3235</v>
      </c>
      <c r="L1324" s="27"/>
      <c r="M1324" s="27"/>
    </row>
    <row r="1325" spans="1:13" ht="15.75" customHeight="1">
      <c r="A1325" s="22">
        <v>2153965</v>
      </c>
      <c r="B1325" s="23" t="s">
        <v>9413</v>
      </c>
      <c r="C1325" s="23" t="s">
        <v>9414</v>
      </c>
      <c r="D1325" s="23" t="s">
        <v>9415</v>
      </c>
      <c r="E1325" s="23" t="s">
        <v>2094</v>
      </c>
      <c r="F1325" s="23" t="s">
        <v>5783</v>
      </c>
      <c r="G1325" s="22">
        <v>1990</v>
      </c>
      <c r="H1325" s="24">
        <v>32874</v>
      </c>
      <c r="I1325" s="23" t="s">
        <v>9416</v>
      </c>
      <c r="J1325" s="23"/>
      <c r="K1325" s="26" t="s">
        <v>2101</v>
      </c>
      <c r="L1325" s="27"/>
      <c r="M1325" s="23"/>
    </row>
    <row r="1326" spans="1:13" ht="15.75" customHeight="1">
      <c r="A1326" s="22">
        <v>38521411</v>
      </c>
      <c r="B1326" s="23" t="s">
        <v>9417</v>
      </c>
      <c r="C1326" s="23" t="s">
        <v>9418</v>
      </c>
      <c r="D1326" s="23" t="s">
        <v>9419</v>
      </c>
      <c r="E1326" s="23" t="s">
        <v>143</v>
      </c>
      <c r="F1326" s="23" t="s">
        <v>4876</v>
      </c>
      <c r="G1326" s="22">
        <v>2024</v>
      </c>
      <c r="H1326" s="24">
        <v>45374</v>
      </c>
      <c r="I1326" s="23"/>
      <c r="J1326" s="23"/>
      <c r="K1326" s="26" t="s">
        <v>437</v>
      </c>
      <c r="L1326" s="27"/>
      <c r="M1326" s="27"/>
    </row>
    <row r="1327" spans="1:13" ht="15.75" customHeight="1">
      <c r="A1327" s="22">
        <v>2463490</v>
      </c>
      <c r="B1327" s="23" t="s">
        <v>9420</v>
      </c>
      <c r="C1327" s="23" t="s">
        <v>9421</v>
      </c>
      <c r="D1327" s="23" t="s">
        <v>9422</v>
      </c>
      <c r="E1327" s="23" t="s">
        <v>3041</v>
      </c>
      <c r="F1327" s="23" t="s">
        <v>4813</v>
      </c>
      <c r="G1327" s="22">
        <v>1989</v>
      </c>
      <c r="H1327" s="24">
        <v>32534</v>
      </c>
      <c r="I1327" s="23"/>
      <c r="J1327" s="23"/>
      <c r="K1327" s="26" t="s">
        <v>3061</v>
      </c>
      <c r="L1327" s="27"/>
      <c r="M1327" s="23"/>
    </row>
    <row r="1328" spans="1:13" ht="15.75" customHeight="1">
      <c r="A1328" s="22">
        <v>28601677</v>
      </c>
      <c r="B1328" s="23" t="s">
        <v>9423</v>
      </c>
      <c r="C1328" s="23" t="s">
        <v>9424</v>
      </c>
      <c r="D1328" s="23" t="s">
        <v>9425</v>
      </c>
      <c r="E1328" s="23" t="s">
        <v>228</v>
      </c>
      <c r="F1328" s="23" t="s">
        <v>4896</v>
      </c>
      <c r="G1328" s="22">
        <v>2017</v>
      </c>
      <c r="H1328" s="24">
        <v>42898</v>
      </c>
      <c r="I1328" s="23"/>
      <c r="J1328" s="23"/>
      <c r="K1328" s="26" t="s">
        <v>361</v>
      </c>
      <c r="L1328" s="27"/>
      <c r="M1328" s="27"/>
    </row>
    <row r="1329" spans="1:13" ht="15.75" customHeight="1">
      <c r="A1329" s="22">
        <v>34595440</v>
      </c>
      <c r="B1329" s="23" t="s">
        <v>9426</v>
      </c>
      <c r="C1329" s="23" t="s">
        <v>9427</v>
      </c>
      <c r="D1329" s="23" t="s">
        <v>9428</v>
      </c>
      <c r="E1329" s="23" t="s">
        <v>1242</v>
      </c>
      <c r="F1329" s="23" t="s">
        <v>9429</v>
      </c>
      <c r="G1329" s="22">
        <v>2019</v>
      </c>
      <c r="H1329" s="24">
        <v>44470</v>
      </c>
      <c r="I1329" s="26" t="s">
        <v>9430</v>
      </c>
      <c r="J1329" s="27"/>
      <c r="K1329" s="26" t="s">
        <v>1243</v>
      </c>
      <c r="L1329" s="27"/>
      <c r="M1329" s="27"/>
    </row>
    <row r="1330" spans="1:13" ht="15.75" customHeight="1">
      <c r="A1330" s="22">
        <v>34104434</v>
      </c>
      <c r="B1330" s="23" t="s">
        <v>9431</v>
      </c>
      <c r="C1330" s="23" t="s">
        <v>9432</v>
      </c>
      <c r="D1330" s="23" t="s">
        <v>9433</v>
      </c>
      <c r="E1330" s="23" t="s">
        <v>967</v>
      </c>
      <c r="F1330" s="23" t="s">
        <v>9434</v>
      </c>
      <c r="G1330" s="22">
        <v>2021</v>
      </c>
      <c r="H1330" s="24">
        <v>44356</v>
      </c>
      <c r="I1330" s="26" t="s">
        <v>9435</v>
      </c>
      <c r="J1330" s="27"/>
      <c r="K1330" s="26" t="s">
        <v>968</v>
      </c>
      <c r="L1330" s="27"/>
      <c r="M1330" s="27"/>
    </row>
    <row r="1331" spans="1:13" ht="15.75" customHeight="1">
      <c r="A1331" s="22">
        <v>37559972</v>
      </c>
      <c r="B1331" s="23" t="s">
        <v>9436</v>
      </c>
      <c r="C1331" s="23" t="s">
        <v>9437</v>
      </c>
      <c r="D1331" s="23" t="s">
        <v>9438</v>
      </c>
      <c r="E1331" s="23" t="s">
        <v>1899</v>
      </c>
      <c r="F1331" s="23" t="s">
        <v>9439</v>
      </c>
      <c r="G1331" s="22">
        <v>2023</v>
      </c>
      <c r="H1331" s="24">
        <v>45148</v>
      </c>
      <c r="I1331" s="26" t="s">
        <v>9440</v>
      </c>
      <c r="J1331" s="27"/>
      <c r="K1331" s="26" t="s">
        <v>1900</v>
      </c>
      <c r="L1331" s="27"/>
      <c r="M1331" s="27"/>
    </row>
    <row r="1332" spans="1:13" ht="15.75" customHeight="1">
      <c r="A1332" s="22">
        <v>30122653</v>
      </c>
      <c r="B1332" s="23" t="s">
        <v>9441</v>
      </c>
      <c r="C1332" s="23" t="s">
        <v>9442</v>
      </c>
      <c r="D1332" s="23" t="s">
        <v>9443</v>
      </c>
      <c r="E1332" s="23" t="s">
        <v>3395</v>
      </c>
      <c r="F1332" s="23" t="s">
        <v>8416</v>
      </c>
      <c r="G1332" s="22">
        <v>2018</v>
      </c>
      <c r="H1332" s="24">
        <v>43333</v>
      </c>
      <c r="I1332" s="23"/>
      <c r="J1332" s="23"/>
      <c r="K1332" s="26" t="s">
        <v>3396</v>
      </c>
      <c r="L1332" s="27"/>
      <c r="M1332" s="27"/>
    </row>
    <row r="1333" spans="1:13" ht="15.75" customHeight="1">
      <c r="A1333" s="22">
        <v>23243510</v>
      </c>
      <c r="B1333" s="23" t="s">
        <v>9444</v>
      </c>
      <c r="C1333" s="23" t="s">
        <v>9445</v>
      </c>
      <c r="D1333" s="23" t="s">
        <v>9446</v>
      </c>
      <c r="E1333" s="23" t="s">
        <v>2406</v>
      </c>
      <c r="F1333" s="23" t="s">
        <v>9447</v>
      </c>
      <c r="G1333" s="22">
        <v>2012</v>
      </c>
      <c r="H1333" s="24">
        <v>41261</v>
      </c>
      <c r="I1333" s="26" t="s">
        <v>9448</v>
      </c>
      <c r="J1333" s="27"/>
      <c r="K1333" s="26" t="s">
        <v>2407</v>
      </c>
      <c r="L1333" s="27"/>
      <c r="M1333" s="23"/>
    </row>
    <row r="1334" spans="1:13" ht="15.75" customHeight="1">
      <c r="A1334" s="22">
        <v>20228849</v>
      </c>
      <c r="B1334" s="23" t="s">
        <v>9449</v>
      </c>
      <c r="C1334" s="23" t="s">
        <v>9450</v>
      </c>
      <c r="D1334" s="23" t="s">
        <v>9451</v>
      </c>
      <c r="E1334" s="23" t="s">
        <v>942</v>
      </c>
      <c r="F1334" s="23" t="s">
        <v>4863</v>
      </c>
      <c r="G1334" s="22">
        <v>2011</v>
      </c>
      <c r="H1334" s="24">
        <v>40253</v>
      </c>
      <c r="I1334" s="23"/>
      <c r="J1334" s="23"/>
      <c r="K1334" s="26" t="s">
        <v>943</v>
      </c>
      <c r="L1334" s="27"/>
      <c r="M1334" s="23"/>
    </row>
    <row r="1335" spans="1:13" ht="15.75" customHeight="1">
      <c r="A1335" s="22">
        <v>38796633</v>
      </c>
      <c r="B1335" s="23" t="s">
        <v>9452</v>
      </c>
      <c r="C1335" s="23" t="s">
        <v>9453</v>
      </c>
      <c r="D1335" s="23" t="s">
        <v>9454</v>
      </c>
      <c r="E1335" s="23" t="s">
        <v>1034</v>
      </c>
      <c r="F1335" s="23" t="s">
        <v>4863</v>
      </c>
      <c r="G1335" s="22">
        <v>2024</v>
      </c>
      <c r="H1335" s="24">
        <v>45437</v>
      </c>
      <c r="I1335" s="23"/>
      <c r="J1335" s="23"/>
      <c r="K1335" s="26" t="s">
        <v>1035</v>
      </c>
      <c r="L1335" s="27"/>
      <c r="M1335" s="27"/>
    </row>
    <row r="1336" spans="1:13" ht="15.75" customHeight="1">
      <c r="A1336" s="22">
        <v>34989946</v>
      </c>
      <c r="B1336" s="23" t="s">
        <v>9455</v>
      </c>
      <c r="C1336" s="23" t="s">
        <v>9456</v>
      </c>
      <c r="D1336" s="23" t="s">
        <v>9457</v>
      </c>
      <c r="E1336" s="23" t="s">
        <v>3935</v>
      </c>
      <c r="F1336" s="23" t="s">
        <v>7225</v>
      </c>
      <c r="G1336" s="22">
        <v>2022</v>
      </c>
      <c r="H1336" s="24">
        <v>44567</v>
      </c>
      <c r="I1336" s="26" t="s">
        <v>9458</v>
      </c>
      <c r="J1336" s="27"/>
      <c r="K1336" s="26" t="s">
        <v>3936</v>
      </c>
      <c r="L1336" s="27"/>
      <c r="M1336" s="27"/>
    </row>
    <row r="1337" spans="1:13" ht="15.75" customHeight="1">
      <c r="A1337" s="22">
        <v>36589231</v>
      </c>
      <c r="B1337" s="23" t="s">
        <v>9459</v>
      </c>
      <c r="C1337" s="23" t="s">
        <v>9460</v>
      </c>
      <c r="D1337" s="23" t="s">
        <v>9461</v>
      </c>
      <c r="E1337" s="23" t="s">
        <v>2626</v>
      </c>
      <c r="F1337" s="23" t="s">
        <v>9462</v>
      </c>
      <c r="G1337" s="22">
        <v>2022</v>
      </c>
      <c r="H1337" s="24">
        <v>44928</v>
      </c>
      <c r="I1337" s="26" t="s">
        <v>9463</v>
      </c>
      <c r="J1337" s="27"/>
      <c r="K1337" s="26" t="s">
        <v>2627</v>
      </c>
      <c r="L1337" s="27"/>
      <c r="M1337" s="27"/>
    </row>
    <row r="1338" spans="1:13" ht="15.75" customHeight="1">
      <c r="A1338" s="22">
        <v>36544772</v>
      </c>
      <c r="B1338" s="23" t="s">
        <v>9464</v>
      </c>
      <c r="C1338" s="23" t="s">
        <v>9465</v>
      </c>
      <c r="D1338" s="23" t="s">
        <v>9466</v>
      </c>
      <c r="E1338" s="23" t="s">
        <v>2238</v>
      </c>
      <c r="F1338" s="23" t="s">
        <v>4912</v>
      </c>
      <c r="G1338" s="22">
        <v>2022</v>
      </c>
      <c r="H1338" s="24">
        <v>44917</v>
      </c>
      <c r="I1338" s="26" t="s">
        <v>9467</v>
      </c>
      <c r="J1338" s="27"/>
      <c r="K1338" s="26" t="s">
        <v>2239</v>
      </c>
      <c r="L1338" s="27"/>
      <c r="M1338" s="27"/>
    </row>
    <row r="1339" spans="1:13" ht="15.75" customHeight="1">
      <c r="A1339" s="22">
        <v>2888966</v>
      </c>
      <c r="B1339" s="23" t="s">
        <v>9468</v>
      </c>
      <c r="C1339" s="23" t="s">
        <v>9469</v>
      </c>
      <c r="D1339" s="23" t="s">
        <v>9470</v>
      </c>
      <c r="E1339" s="23" t="s">
        <v>3041</v>
      </c>
      <c r="F1339" s="23" t="s">
        <v>6147</v>
      </c>
      <c r="G1339" s="22">
        <v>1987</v>
      </c>
      <c r="H1339" s="24">
        <v>32046</v>
      </c>
      <c r="I1339" s="23"/>
      <c r="J1339" s="23"/>
      <c r="K1339" s="26" t="s">
        <v>3063</v>
      </c>
      <c r="L1339" s="27"/>
      <c r="M1339" s="27"/>
    </row>
    <row r="1340" spans="1:13" ht="15.75" customHeight="1">
      <c r="A1340" s="22">
        <v>37496724</v>
      </c>
      <c r="B1340" s="23" t="s">
        <v>9471</v>
      </c>
      <c r="C1340" s="23" t="s">
        <v>9472</v>
      </c>
      <c r="D1340" s="23" t="s">
        <v>9473</v>
      </c>
      <c r="E1340" s="23" t="s">
        <v>2183</v>
      </c>
      <c r="F1340" s="23" t="s">
        <v>9474</v>
      </c>
      <c r="G1340" s="22">
        <v>2023</v>
      </c>
      <c r="H1340" s="24">
        <v>45134</v>
      </c>
      <c r="I1340" s="26" t="s">
        <v>9475</v>
      </c>
      <c r="J1340" s="27"/>
      <c r="K1340" s="26" t="s">
        <v>2184</v>
      </c>
      <c r="L1340" s="27"/>
      <c r="M1340" s="27"/>
    </row>
    <row r="1341" spans="1:13" ht="15.75" customHeight="1">
      <c r="A1341" s="22">
        <v>20399877</v>
      </c>
      <c r="B1341" s="23" t="s">
        <v>9476</v>
      </c>
      <c r="C1341" s="23" t="s">
        <v>9477</v>
      </c>
      <c r="D1341" s="23" t="s">
        <v>9478</v>
      </c>
      <c r="E1341" s="23" t="s">
        <v>278</v>
      </c>
      <c r="F1341" s="23" t="s">
        <v>5076</v>
      </c>
      <c r="G1341" s="22">
        <v>2010</v>
      </c>
      <c r="H1341" s="24">
        <v>40288</v>
      </c>
      <c r="I1341" s="23"/>
      <c r="J1341" s="23"/>
      <c r="K1341" s="26" t="s">
        <v>410</v>
      </c>
      <c r="L1341" s="27"/>
      <c r="M1341" s="27"/>
    </row>
    <row r="1342" spans="1:13" ht="15.75" customHeight="1">
      <c r="A1342" s="22">
        <v>38832402</v>
      </c>
      <c r="B1342" s="23" t="s">
        <v>9479</v>
      </c>
      <c r="C1342" s="23" t="s">
        <v>9480</v>
      </c>
      <c r="D1342" s="23" t="s">
        <v>9481</v>
      </c>
      <c r="E1342" s="23" t="s">
        <v>4768</v>
      </c>
      <c r="F1342" s="23" t="s">
        <v>5757</v>
      </c>
      <c r="G1342" s="22">
        <v>2024</v>
      </c>
      <c r="H1342" s="24">
        <v>45447</v>
      </c>
      <c r="I1342" s="23"/>
      <c r="J1342" s="23"/>
      <c r="K1342" s="26" t="s">
        <v>4769</v>
      </c>
      <c r="L1342" s="27"/>
      <c r="M1342" s="27"/>
    </row>
    <row r="1343" spans="1:13" ht="15.75" customHeight="1">
      <c r="A1343" s="22">
        <v>33789834</v>
      </c>
      <c r="B1343" s="23" t="s">
        <v>9482</v>
      </c>
      <c r="C1343" s="23" t="s">
        <v>9483</v>
      </c>
      <c r="D1343" s="23" t="s">
        <v>9484</v>
      </c>
      <c r="E1343" s="23" t="s">
        <v>4573</v>
      </c>
      <c r="F1343" s="23" t="s">
        <v>4876</v>
      </c>
      <c r="G1343" s="22">
        <v>2021</v>
      </c>
      <c r="H1343" s="24">
        <v>44287</v>
      </c>
      <c r="I1343" s="23"/>
      <c r="J1343" s="23"/>
      <c r="K1343" s="26" t="s">
        <v>4574</v>
      </c>
      <c r="L1343" s="27"/>
      <c r="M1343" s="27"/>
    </row>
    <row r="1344" spans="1:13" ht="15.75" customHeight="1">
      <c r="A1344" s="22">
        <v>8896431</v>
      </c>
      <c r="B1344" s="23" t="s">
        <v>9485</v>
      </c>
      <c r="C1344" s="23" t="s">
        <v>9486</v>
      </c>
      <c r="D1344" s="23" t="s">
        <v>9487</v>
      </c>
      <c r="E1344" s="23" t="s">
        <v>175</v>
      </c>
      <c r="F1344" s="23" t="s">
        <v>5343</v>
      </c>
      <c r="G1344" s="22">
        <v>1996</v>
      </c>
      <c r="H1344" s="24">
        <v>35370</v>
      </c>
      <c r="I1344" s="23"/>
      <c r="J1344" s="23"/>
      <c r="K1344" s="23"/>
      <c r="L1344" s="23"/>
      <c r="M1344" s="23"/>
    </row>
    <row r="1345" spans="1:13" ht="15.75" customHeight="1">
      <c r="A1345" s="22">
        <v>17259874</v>
      </c>
      <c r="B1345" s="23" t="s">
        <v>9488</v>
      </c>
      <c r="C1345" s="23" t="s">
        <v>9489</v>
      </c>
      <c r="D1345" s="23" t="s">
        <v>9490</v>
      </c>
      <c r="E1345" s="23" t="s">
        <v>4453</v>
      </c>
      <c r="F1345" s="23" t="s">
        <v>5982</v>
      </c>
      <c r="G1345" s="22">
        <v>2007</v>
      </c>
      <c r="H1345" s="24">
        <v>39112</v>
      </c>
      <c r="I1345" s="23"/>
      <c r="J1345" s="23"/>
      <c r="K1345" s="26" t="s">
        <v>4454</v>
      </c>
      <c r="L1345" s="27"/>
      <c r="M1345" s="27"/>
    </row>
    <row r="1346" spans="1:13" ht="15.75" customHeight="1">
      <c r="A1346" s="22">
        <v>36798106</v>
      </c>
      <c r="B1346" s="23" t="s">
        <v>9491</v>
      </c>
      <c r="C1346" s="23" t="s">
        <v>9492</v>
      </c>
      <c r="D1346" s="23" t="s">
        <v>9493</v>
      </c>
      <c r="E1346" s="23" t="s">
        <v>3663</v>
      </c>
      <c r="F1346" s="23" t="s">
        <v>9494</v>
      </c>
      <c r="G1346" s="22">
        <v>2023</v>
      </c>
      <c r="H1346" s="24">
        <v>44974</v>
      </c>
      <c r="I1346" s="26" t="s">
        <v>9495</v>
      </c>
      <c r="J1346" s="27"/>
      <c r="K1346" s="26" t="s">
        <v>3664</v>
      </c>
      <c r="L1346" s="27"/>
      <c r="M1346" s="27"/>
    </row>
    <row r="1347" spans="1:13" ht="15.75" customHeight="1">
      <c r="A1347" s="22">
        <v>38937612</v>
      </c>
      <c r="B1347" s="23" t="s">
        <v>9496</v>
      </c>
      <c r="C1347" s="23" t="s">
        <v>9497</v>
      </c>
      <c r="D1347" s="23" t="s">
        <v>9498</v>
      </c>
      <c r="E1347" s="23" t="s">
        <v>1038</v>
      </c>
      <c r="F1347" s="23" t="s">
        <v>4863</v>
      </c>
      <c r="G1347" s="22">
        <v>2024</v>
      </c>
      <c r="H1347" s="24">
        <v>45470</v>
      </c>
      <c r="I1347" s="23"/>
      <c r="J1347" s="23"/>
      <c r="K1347" s="26" t="s">
        <v>1039</v>
      </c>
      <c r="L1347" s="27"/>
      <c r="M1347" s="27"/>
    </row>
    <row r="1348" spans="1:13" ht="15.75" customHeight="1">
      <c r="A1348" s="22">
        <v>30815505</v>
      </c>
      <c r="B1348" s="23" t="s">
        <v>9499</v>
      </c>
      <c r="C1348" s="23" t="s">
        <v>9500</v>
      </c>
      <c r="D1348" s="23" t="s">
        <v>9501</v>
      </c>
      <c r="E1348" s="23" t="s">
        <v>247</v>
      </c>
      <c r="F1348" s="23" t="s">
        <v>9246</v>
      </c>
      <c r="G1348" s="22">
        <v>2019</v>
      </c>
      <c r="H1348" s="24">
        <v>43525</v>
      </c>
      <c r="I1348" s="26" t="s">
        <v>9502</v>
      </c>
      <c r="J1348" s="27"/>
      <c r="K1348" s="26" t="s">
        <v>381</v>
      </c>
      <c r="L1348" s="27"/>
      <c r="M1348" s="23"/>
    </row>
    <row r="1349" spans="1:13" ht="15.75" customHeight="1">
      <c r="A1349" s="22">
        <v>16170749</v>
      </c>
      <c r="B1349" s="23" t="s">
        <v>9503</v>
      </c>
      <c r="C1349" s="23" t="s">
        <v>9504</v>
      </c>
      <c r="D1349" s="23" t="s">
        <v>9505</v>
      </c>
      <c r="E1349" s="23" t="s">
        <v>3695</v>
      </c>
      <c r="F1349" s="23" t="s">
        <v>4992</v>
      </c>
      <c r="G1349" s="22">
        <v>2005</v>
      </c>
      <c r="H1349" s="24">
        <v>38615</v>
      </c>
      <c r="I1349" s="23"/>
      <c r="J1349" s="23"/>
      <c r="K1349" s="26" t="s">
        <v>3710</v>
      </c>
      <c r="L1349" s="27"/>
      <c r="M1349" s="23"/>
    </row>
    <row r="1350" spans="1:13" ht="15.75" customHeight="1">
      <c r="A1350" s="22">
        <v>18394275</v>
      </c>
      <c r="B1350" s="23" t="s">
        <v>9506</v>
      </c>
      <c r="C1350" s="23" t="s">
        <v>9507</v>
      </c>
      <c r="D1350" s="23" t="s">
        <v>9508</v>
      </c>
      <c r="E1350" s="23" t="s">
        <v>4591</v>
      </c>
      <c r="F1350" s="23" t="s">
        <v>5117</v>
      </c>
      <c r="G1350" s="22">
        <v>2008</v>
      </c>
      <c r="H1350" s="24">
        <v>39547</v>
      </c>
      <c r="I1350" s="26" t="s">
        <v>9509</v>
      </c>
      <c r="J1350" s="27"/>
      <c r="K1350" s="26" t="s">
        <v>4592</v>
      </c>
      <c r="L1350" s="27"/>
      <c r="M1350" s="23"/>
    </row>
    <row r="1351" spans="1:13" ht="15.75" customHeight="1">
      <c r="A1351" s="22">
        <v>2846608</v>
      </c>
      <c r="B1351" s="23" t="s">
        <v>9510</v>
      </c>
      <c r="C1351" s="23" t="s">
        <v>9511</v>
      </c>
      <c r="D1351" s="23" t="s">
        <v>9512</v>
      </c>
      <c r="E1351" s="23" t="s">
        <v>2800</v>
      </c>
      <c r="F1351" s="23" t="s">
        <v>5267</v>
      </c>
      <c r="G1351" s="22">
        <v>1988</v>
      </c>
      <c r="H1351" s="24">
        <v>32387</v>
      </c>
      <c r="I1351" s="23"/>
      <c r="J1351" s="23"/>
      <c r="K1351" s="26" t="s">
        <v>2810</v>
      </c>
      <c r="L1351" s="27"/>
      <c r="M1351" s="27"/>
    </row>
    <row r="1352" spans="1:13" ht="15.75" customHeight="1">
      <c r="A1352" s="22">
        <v>18765102</v>
      </c>
      <c r="B1352" s="23" t="s">
        <v>9513</v>
      </c>
      <c r="C1352" s="23" t="s">
        <v>9514</v>
      </c>
      <c r="D1352" s="23" t="s">
        <v>9515</v>
      </c>
      <c r="E1352" s="23" t="s">
        <v>2157</v>
      </c>
      <c r="F1352" s="23" t="s">
        <v>9516</v>
      </c>
      <c r="G1352" s="22">
        <v>2008</v>
      </c>
      <c r="H1352" s="24">
        <v>39695</v>
      </c>
      <c r="I1352" s="23"/>
      <c r="J1352" s="23"/>
      <c r="K1352" s="26" t="s">
        <v>2158</v>
      </c>
      <c r="L1352" s="27"/>
      <c r="M1352" s="27"/>
    </row>
    <row r="1353" spans="1:13" ht="15.75" customHeight="1">
      <c r="A1353" s="22">
        <v>9384487</v>
      </c>
      <c r="B1353" s="23" t="s">
        <v>9517</v>
      </c>
      <c r="C1353" s="23" t="s">
        <v>9518</v>
      </c>
      <c r="D1353" s="23" t="s">
        <v>9519</v>
      </c>
      <c r="E1353" s="23" t="s">
        <v>3458</v>
      </c>
      <c r="F1353" s="23" t="s">
        <v>4863</v>
      </c>
      <c r="G1353" s="22">
        <v>1997</v>
      </c>
      <c r="H1353" s="24">
        <v>35802</v>
      </c>
      <c r="I1353" s="23"/>
      <c r="J1353" s="23"/>
      <c r="K1353" s="26" t="s">
        <v>3459</v>
      </c>
      <c r="L1353" s="27"/>
      <c r="M1353" s="23"/>
    </row>
    <row r="1354" spans="1:13" ht="15.75" customHeight="1">
      <c r="A1354" s="22">
        <v>21166693</v>
      </c>
      <c r="B1354" s="23" t="s">
        <v>9520</v>
      </c>
      <c r="C1354" s="23" t="s">
        <v>9521</v>
      </c>
      <c r="D1354" s="23" t="s">
        <v>9522</v>
      </c>
      <c r="E1354" s="23" t="s">
        <v>4594</v>
      </c>
      <c r="F1354" s="23" t="s">
        <v>8114</v>
      </c>
      <c r="G1354" s="22">
        <v>2010</v>
      </c>
      <c r="H1354" s="24">
        <v>40533</v>
      </c>
      <c r="I1354" s="23"/>
      <c r="J1354" s="23"/>
      <c r="K1354" s="26" t="s">
        <v>4595</v>
      </c>
      <c r="L1354" s="27"/>
      <c r="M1354" s="27"/>
    </row>
    <row r="1355" spans="1:13" ht="15.75" customHeight="1">
      <c r="A1355" s="22">
        <v>3412023</v>
      </c>
      <c r="B1355" s="23" t="s">
        <v>9523</v>
      </c>
      <c r="C1355" s="23" t="s">
        <v>9524</v>
      </c>
      <c r="D1355" s="23" t="s">
        <v>9525</v>
      </c>
      <c r="E1355" s="23" t="s">
        <v>2556</v>
      </c>
      <c r="F1355" s="23" t="s">
        <v>6382</v>
      </c>
      <c r="G1355" s="22">
        <v>1988</v>
      </c>
      <c r="H1355" s="24">
        <v>32356</v>
      </c>
      <c r="I1355" s="23"/>
      <c r="J1355" s="23"/>
      <c r="K1355" s="23"/>
      <c r="L1355" s="23"/>
      <c r="M1355" s="23"/>
    </row>
    <row r="1356" spans="1:13" ht="15.75" customHeight="1">
      <c r="A1356" s="22">
        <v>27419347</v>
      </c>
      <c r="B1356" s="23" t="s">
        <v>9526</v>
      </c>
      <c r="C1356" s="23" t="s">
        <v>9527</v>
      </c>
      <c r="D1356" s="23" t="s">
        <v>9528</v>
      </c>
      <c r="E1356" s="23" t="s">
        <v>286</v>
      </c>
      <c r="F1356" s="23" t="s">
        <v>9529</v>
      </c>
      <c r="G1356" s="22">
        <v>2001</v>
      </c>
      <c r="H1356" s="24">
        <v>42567</v>
      </c>
      <c r="I1356" s="23"/>
      <c r="J1356" s="23"/>
      <c r="K1356" s="26" t="s">
        <v>416</v>
      </c>
      <c r="L1356" s="27"/>
      <c r="M1356" s="27"/>
    </row>
    <row r="1357" spans="1:13" ht="15.75" customHeight="1">
      <c r="A1357" s="22">
        <v>16387127</v>
      </c>
      <c r="B1357" s="23" t="s">
        <v>9530</v>
      </c>
      <c r="C1357" s="23" t="s">
        <v>9531</v>
      </c>
      <c r="D1357" s="23" t="s">
        <v>9532</v>
      </c>
      <c r="E1357" s="23" t="s">
        <v>2255</v>
      </c>
      <c r="F1357" s="23" t="s">
        <v>5696</v>
      </c>
      <c r="G1357" s="22">
        <v>2005</v>
      </c>
      <c r="H1357" s="24">
        <v>38720</v>
      </c>
      <c r="I1357" s="23"/>
      <c r="J1357" s="23"/>
      <c r="K1357" s="26" t="s">
        <v>2256</v>
      </c>
      <c r="L1357" s="27"/>
      <c r="M1357" s="27"/>
    </row>
    <row r="1358" spans="1:13" ht="15.75" customHeight="1">
      <c r="A1358" s="22">
        <v>2786090</v>
      </c>
      <c r="B1358" s="23" t="s">
        <v>9533</v>
      </c>
      <c r="C1358" s="23" t="s">
        <v>9534</v>
      </c>
      <c r="D1358" s="23" t="s">
        <v>9535</v>
      </c>
      <c r="E1358" s="23" t="s">
        <v>1256</v>
      </c>
      <c r="F1358" s="23" t="s">
        <v>4891</v>
      </c>
      <c r="G1358" s="22">
        <v>1989</v>
      </c>
      <c r="H1358" s="24">
        <v>32660</v>
      </c>
      <c r="I1358" s="23" t="s">
        <v>9536</v>
      </c>
      <c r="J1358" s="23"/>
      <c r="K1358" s="26" t="s">
        <v>1257</v>
      </c>
      <c r="L1358" s="27"/>
      <c r="M1358" s="27"/>
    </row>
    <row r="1359" spans="1:13" ht="15.75" customHeight="1">
      <c r="A1359" s="22">
        <v>32299316</v>
      </c>
      <c r="B1359" s="23" t="s">
        <v>9537</v>
      </c>
      <c r="C1359" s="23" t="s">
        <v>9538</v>
      </c>
      <c r="D1359" s="23" t="s">
        <v>9539</v>
      </c>
      <c r="E1359" s="23" t="s">
        <v>2752</v>
      </c>
      <c r="F1359" s="23" t="s">
        <v>7258</v>
      </c>
      <c r="G1359" s="22">
        <v>2020</v>
      </c>
      <c r="H1359" s="24">
        <v>43939</v>
      </c>
      <c r="I1359" s="23"/>
      <c r="J1359" s="23"/>
      <c r="K1359" s="26" t="s">
        <v>2753</v>
      </c>
      <c r="L1359" s="27"/>
      <c r="M1359" s="27"/>
    </row>
    <row r="1360" spans="1:13" ht="15.75" customHeight="1">
      <c r="A1360" s="22">
        <v>37012846</v>
      </c>
      <c r="B1360" s="23" t="s">
        <v>9540</v>
      </c>
      <c r="C1360" s="23" t="s">
        <v>9541</v>
      </c>
      <c r="D1360" s="23" t="s">
        <v>9542</v>
      </c>
      <c r="E1360" s="23" t="s">
        <v>2206</v>
      </c>
      <c r="F1360" s="23" t="s">
        <v>9543</v>
      </c>
      <c r="G1360" s="22">
        <v>2007</v>
      </c>
      <c r="H1360" s="24">
        <v>45020</v>
      </c>
      <c r="I1360" s="23"/>
      <c r="J1360" s="23"/>
      <c r="K1360" s="26" t="s">
        <v>2209</v>
      </c>
      <c r="L1360" s="27"/>
      <c r="M1360" s="23"/>
    </row>
    <row r="1361" spans="1:13" ht="15.75" customHeight="1">
      <c r="A1361" s="22">
        <v>38846028</v>
      </c>
      <c r="B1361" s="23" t="s">
        <v>9544</v>
      </c>
      <c r="C1361" s="23" t="s">
        <v>9545</v>
      </c>
      <c r="D1361" s="23" t="s">
        <v>9546</v>
      </c>
      <c r="E1361" s="23" t="s">
        <v>4771</v>
      </c>
      <c r="F1361" s="23" t="s">
        <v>9439</v>
      </c>
      <c r="G1361" s="22">
        <v>2024</v>
      </c>
      <c r="H1361" s="24">
        <v>45450</v>
      </c>
      <c r="I1361" s="26" t="s">
        <v>9547</v>
      </c>
      <c r="J1361" s="27"/>
      <c r="K1361" s="26" t="s">
        <v>4772</v>
      </c>
      <c r="L1361" s="27"/>
      <c r="M1361" s="27"/>
    </row>
    <row r="1362" spans="1:13" ht="15.75" customHeight="1">
      <c r="A1362" s="22">
        <v>34329754</v>
      </c>
      <c r="B1362" s="23" t="s">
        <v>9548</v>
      </c>
      <c r="C1362" s="23" t="s">
        <v>9549</v>
      </c>
      <c r="D1362" s="23" t="s">
        <v>9550</v>
      </c>
      <c r="E1362" s="23" t="s">
        <v>239</v>
      </c>
      <c r="F1362" s="23" t="s">
        <v>4876</v>
      </c>
      <c r="G1362" s="22">
        <v>2021</v>
      </c>
      <c r="H1362" s="24">
        <v>44407</v>
      </c>
      <c r="I1362" s="23"/>
      <c r="J1362" s="23"/>
      <c r="K1362" s="26" t="s">
        <v>375</v>
      </c>
      <c r="L1362" s="27"/>
      <c r="M1362" s="27"/>
    </row>
    <row r="1363" spans="1:13" ht="15.75" customHeight="1">
      <c r="A1363" s="22">
        <v>2544678</v>
      </c>
      <c r="B1363" s="23" t="s">
        <v>9551</v>
      </c>
      <c r="C1363" s="23" t="s">
        <v>9552</v>
      </c>
      <c r="D1363" s="23" t="s">
        <v>9553</v>
      </c>
      <c r="E1363" s="23" t="s">
        <v>4435</v>
      </c>
      <c r="F1363" s="23" t="s">
        <v>4923</v>
      </c>
      <c r="G1363" s="22">
        <v>1989</v>
      </c>
      <c r="H1363" s="24">
        <v>32660</v>
      </c>
      <c r="I1363" s="23"/>
      <c r="J1363" s="23"/>
      <c r="K1363" s="26" t="s">
        <v>4446</v>
      </c>
      <c r="L1363" s="27"/>
      <c r="M1363" s="23"/>
    </row>
    <row r="1364" spans="1:13" ht="15.75" customHeight="1">
      <c r="A1364" s="22">
        <v>38907627</v>
      </c>
      <c r="B1364" s="23" t="s">
        <v>9554</v>
      </c>
      <c r="C1364" s="23" t="s">
        <v>9555</v>
      </c>
      <c r="D1364" s="23" t="s">
        <v>9556</v>
      </c>
      <c r="E1364" s="23" t="s">
        <v>4774</v>
      </c>
      <c r="F1364" s="23" t="s">
        <v>8516</v>
      </c>
      <c r="G1364" s="22">
        <v>2024</v>
      </c>
      <c r="H1364" s="24">
        <v>45465</v>
      </c>
      <c r="I1364" s="23"/>
      <c r="J1364" s="23"/>
      <c r="K1364" s="26" t="s">
        <v>4775</v>
      </c>
      <c r="L1364" s="27"/>
      <c r="M1364" s="27"/>
    </row>
    <row r="1365" spans="1:13" ht="15.75" customHeight="1">
      <c r="A1365" s="22">
        <v>29896671</v>
      </c>
      <c r="B1365" s="23" t="s">
        <v>9557</v>
      </c>
      <c r="C1365" s="23" t="s">
        <v>6689</v>
      </c>
      <c r="D1365" s="23" t="s">
        <v>9558</v>
      </c>
      <c r="E1365" s="23" t="s">
        <v>195</v>
      </c>
      <c r="F1365" s="23" t="s">
        <v>6522</v>
      </c>
      <c r="G1365" s="22">
        <v>2018</v>
      </c>
      <c r="H1365" s="24">
        <v>43265</v>
      </c>
      <c r="I1365" s="23"/>
      <c r="J1365" s="23"/>
      <c r="K1365" s="26" t="s">
        <v>4672</v>
      </c>
      <c r="L1365" s="27"/>
      <c r="M1365" s="27"/>
    </row>
    <row r="1366" spans="1:13" ht="15.75" customHeight="1">
      <c r="A1366" s="22">
        <v>26105089</v>
      </c>
      <c r="B1366" s="23" t="s">
        <v>9559</v>
      </c>
      <c r="C1366" s="23" t="s">
        <v>9560</v>
      </c>
      <c r="D1366" s="23" t="s">
        <v>9561</v>
      </c>
      <c r="E1366" s="23" t="s">
        <v>991</v>
      </c>
      <c r="F1366" s="23" t="s">
        <v>5211</v>
      </c>
      <c r="G1366" s="22">
        <v>2015</v>
      </c>
      <c r="H1366" s="24">
        <v>42180</v>
      </c>
      <c r="I1366" s="23"/>
      <c r="J1366" s="23"/>
      <c r="K1366" s="26" t="s">
        <v>992</v>
      </c>
      <c r="L1366" s="27"/>
      <c r="M1366" s="23"/>
    </row>
    <row r="1367" spans="1:13" ht="15.75" customHeight="1">
      <c r="A1367" s="22">
        <v>31891386</v>
      </c>
      <c r="B1367" s="23" t="s">
        <v>9562</v>
      </c>
      <c r="C1367" s="23" t="s">
        <v>5489</v>
      </c>
      <c r="D1367" s="23" t="s">
        <v>9563</v>
      </c>
      <c r="E1367" s="23" t="s">
        <v>775</v>
      </c>
      <c r="F1367" s="23" t="s">
        <v>4992</v>
      </c>
      <c r="G1367" s="22">
        <v>2020</v>
      </c>
      <c r="H1367" s="24">
        <v>43831</v>
      </c>
      <c r="I1367" s="23"/>
      <c r="J1367" s="23"/>
      <c r="K1367" s="26" t="s">
        <v>3339</v>
      </c>
      <c r="L1367" s="27"/>
      <c r="M1367" s="23"/>
    </row>
    <row r="1368" spans="1:13" ht="15.75" customHeight="1">
      <c r="A1368" s="22">
        <v>28894558</v>
      </c>
      <c r="B1368" s="23" t="s">
        <v>9564</v>
      </c>
      <c r="C1368" s="23" t="s">
        <v>9565</v>
      </c>
      <c r="D1368" s="23" t="s">
        <v>9566</v>
      </c>
      <c r="E1368" s="23" t="s">
        <v>4301</v>
      </c>
      <c r="F1368" s="23" t="s">
        <v>9408</v>
      </c>
      <c r="G1368" s="22">
        <v>2017</v>
      </c>
      <c r="H1368" s="24">
        <v>42991</v>
      </c>
      <c r="I1368" s="26" t="s">
        <v>9567</v>
      </c>
      <c r="J1368" s="27"/>
      <c r="K1368" s="26" t="s">
        <v>4302</v>
      </c>
      <c r="L1368" s="27"/>
      <c r="M1368" s="23"/>
    </row>
    <row r="1369" spans="1:13" ht="15.75" customHeight="1">
      <c r="A1369" s="22">
        <v>28472480</v>
      </c>
      <c r="B1369" s="23" t="s">
        <v>9568</v>
      </c>
      <c r="C1369" s="23" t="s">
        <v>9569</v>
      </c>
      <c r="D1369" s="23" t="s">
        <v>9570</v>
      </c>
      <c r="E1369" s="23" t="s">
        <v>1109</v>
      </c>
      <c r="F1369" s="23" t="s">
        <v>4992</v>
      </c>
      <c r="G1369" s="22">
        <v>2017</v>
      </c>
      <c r="H1369" s="24">
        <v>42860</v>
      </c>
      <c r="I1369" s="26" t="s">
        <v>9571</v>
      </c>
      <c r="J1369" s="27"/>
      <c r="K1369" s="26" t="s">
        <v>1110</v>
      </c>
      <c r="L1369" s="27"/>
      <c r="M1369" s="23"/>
    </row>
    <row r="1370" spans="1:13" ht="15.75" customHeight="1">
      <c r="A1370" s="22">
        <v>25462447</v>
      </c>
      <c r="B1370" s="23" t="s">
        <v>9572</v>
      </c>
      <c r="C1370" s="23" t="s">
        <v>9573</v>
      </c>
      <c r="D1370" s="23" t="s">
        <v>9574</v>
      </c>
      <c r="E1370" s="23" t="s">
        <v>3640</v>
      </c>
      <c r="F1370" s="23" t="s">
        <v>4855</v>
      </c>
      <c r="G1370" s="22">
        <v>2014</v>
      </c>
      <c r="H1370" s="24">
        <v>41976</v>
      </c>
      <c r="I1370" s="23" t="s">
        <v>9575</v>
      </c>
      <c r="J1370" s="23" t="s">
        <v>9576</v>
      </c>
      <c r="K1370" s="26" t="s">
        <v>3641</v>
      </c>
      <c r="L1370" s="27"/>
      <c r="M1370" s="27"/>
    </row>
    <row r="1371" spans="1:13" ht="15.75" customHeight="1">
      <c r="A1371" s="22">
        <v>2161867</v>
      </c>
      <c r="B1371" s="23" t="s">
        <v>9577</v>
      </c>
      <c r="C1371" s="23" t="s">
        <v>9578</v>
      </c>
      <c r="D1371" s="23" t="s">
        <v>9579</v>
      </c>
      <c r="E1371" s="23" t="s">
        <v>1639</v>
      </c>
      <c r="F1371" s="23" t="s">
        <v>5331</v>
      </c>
      <c r="G1371" s="22">
        <v>1990</v>
      </c>
      <c r="H1371" s="24">
        <v>32994</v>
      </c>
      <c r="I1371" s="23" t="s">
        <v>9580</v>
      </c>
      <c r="J1371" s="23"/>
      <c r="K1371" s="26" t="s">
        <v>1640</v>
      </c>
      <c r="L1371" s="27"/>
      <c r="M1371" s="27"/>
    </row>
    <row r="1372" spans="1:13" ht="15.75" customHeight="1">
      <c r="A1372" s="22">
        <v>27419878</v>
      </c>
      <c r="B1372" s="23" t="s">
        <v>9581</v>
      </c>
      <c r="C1372" s="23" t="s">
        <v>9582</v>
      </c>
      <c r="D1372" s="23" t="s">
        <v>9583</v>
      </c>
      <c r="E1372" s="23" t="s">
        <v>4533</v>
      </c>
      <c r="F1372" s="23" t="s">
        <v>9529</v>
      </c>
      <c r="G1372" s="22">
        <v>2001</v>
      </c>
      <c r="H1372" s="24">
        <v>42567</v>
      </c>
      <c r="I1372" s="23"/>
      <c r="J1372" s="23"/>
      <c r="K1372" s="26" t="s">
        <v>4534</v>
      </c>
      <c r="L1372" s="27"/>
      <c r="M1372" s="27"/>
    </row>
    <row r="1373" spans="1:13" ht="15.75" customHeight="1">
      <c r="A1373" s="22">
        <v>38238927</v>
      </c>
      <c r="B1373" s="23" t="s">
        <v>9584</v>
      </c>
      <c r="C1373" s="23" t="s">
        <v>9585</v>
      </c>
      <c r="D1373" s="23" t="s">
        <v>9586</v>
      </c>
      <c r="E1373" s="23" t="s">
        <v>1745</v>
      </c>
      <c r="F1373" s="23" t="s">
        <v>9587</v>
      </c>
      <c r="G1373" s="22">
        <v>2024</v>
      </c>
      <c r="H1373" s="24">
        <v>45310</v>
      </c>
      <c r="I1373" s="23"/>
      <c r="J1373" s="23"/>
      <c r="K1373" s="26" t="s">
        <v>1746</v>
      </c>
      <c r="L1373" s="27"/>
      <c r="M1373" s="23"/>
    </row>
    <row r="1374" spans="1:13" ht="15.75" customHeight="1">
      <c r="A1374" s="22">
        <v>26114018</v>
      </c>
      <c r="B1374" s="23" t="s">
        <v>9588</v>
      </c>
      <c r="C1374" s="23" t="s">
        <v>9589</v>
      </c>
      <c r="D1374" s="23" t="s">
        <v>9590</v>
      </c>
      <c r="E1374" s="23" t="s">
        <v>2620</v>
      </c>
      <c r="F1374" s="23" t="s">
        <v>9591</v>
      </c>
      <c r="G1374" s="22">
        <v>2014</v>
      </c>
      <c r="H1374" s="24">
        <v>42182</v>
      </c>
      <c r="I1374" s="26" t="s">
        <v>9592</v>
      </c>
      <c r="J1374" s="27"/>
      <c r="K1374" s="26" t="s">
        <v>2621</v>
      </c>
      <c r="L1374" s="27"/>
      <c r="M1374" s="27"/>
    </row>
    <row r="1375" spans="1:13" ht="15.75" customHeight="1">
      <c r="A1375" s="22">
        <v>2911127</v>
      </c>
      <c r="B1375" s="23" t="s">
        <v>9593</v>
      </c>
      <c r="C1375" s="23" t="s">
        <v>9594</v>
      </c>
      <c r="D1375" s="23" t="s">
        <v>9595</v>
      </c>
      <c r="E1375" s="23" t="s">
        <v>2412</v>
      </c>
      <c r="F1375" s="23" t="s">
        <v>4891</v>
      </c>
      <c r="G1375" s="22">
        <v>1989</v>
      </c>
      <c r="H1375" s="24">
        <v>32540</v>
      </c>
      <c r="I1375" s="23" t="s">
        <v>9596</v>
      </c>
      <c r="J1375" s="23"/>
      <c r="K1375" s="26" t="s">
        <v>2417</v>
      </c>
      <c r="L1375" s="27"/>
      <c r="M1375" s="27"/>
    </row>
    <row r="1376" spans="1:13" ht="15.75" customHeight="1">
      <c r="A1376" s="22">
        <v>38971380</v>
      </c>
      <c r="B1376" s="23" t="s">
        <v>9597</v>
      </c>
      <c r="C1376" s="23" t="s">
        <v>9598</v>
      </c>
      <c r="D1376" s="23" t="s">
        <v>9599</v>
      </c>
      <c r="E1376" s="23" t="s">
        <v>4788</v>
      </c>
      <c r="F1376" s="23" t="s">
        <v>5267</v>
      </c>
      <c r="G1376" s="22">
        <v>2024</v>
      </c>
      <c r="H1376" s="24">
        <v>45479</v>
      </c>
      <c r="I1376" s="23"/>
      <c r="J1376" s="23"/>
      <c r="K1376" s="26" t="s">
        <v>4789</v>
      </c>
      <c r="L1376" s="27"/>
      <c r="M1376" s="27"/>
    </row>
    <row r="1377" spans="1:13" ht="15.75" customHeight="1">
      <c r="A1377" s="22">
        <v>35677042</v>
      </c>
      <c r="B1377" s="23" t="s">
        <v>9600</v>
      </c>
      <c r="C1377" s="23" t="s">
        <v>5066</v>
      </c>
      <c r="D1377" s="23" t="s">
        <v>9601</v>
      </c>
      <c r="E1377" s="23" t="s">
        <v>4464</v>
      </c>
      <c r="F1377" s="23" t="s">
        <v>4912</v>
      </c>
      <c r="G1377" s="22">
        <v>2022</v>
      </c>
      <c r="H1377" s="24">
        <v>44721</v>
      </c>
      <c r="I1377" s="26" t="s">
        <v>9602</v>
      </c>
      <c r="J1377" s="27"/>
      <c r="K1377" s="26" t="s">
        <v>4467</v>
      </c>
      <c r="L1377" s="27"/>
      <c r="M1377" s="27"/>
    </row>
    <row r="1378" spans="1:13" ht="15.75" customHeight="1">
      <c r="A1378" s="22">
        <v>9453142</v>
      </c>
      <c r="B1378" s="23" t="s">
        <v>9603</v>
      </c>
      <c r="C1378" s="23" t="s">
        <v>9604</v>
      </c>
      <c r="D1378" s="23" t="s">
        <v>9605</v>
      </c>
      <c r="E1378" s="23" t="s">
        <v>1341</v>
      </c>
      <c r="F1378" s="23" t="s">
        <v>5122</v>
      </c>
      <c r="G1378" s="22">
        <v>1997</v>
      </c>
      <c r="H1378" s="24">
        <v>35833</v>
      </c>
      <c r="I1378" s="23"/>
      <c r="J1378" s="23"/>
      <c r="K1378" s="26" t="s">
        <v>1350</v>
      </c>
      <c r="L1378" s="27"/>
      <c r="M1378" s="27"/>
    </row>
    <row r="1379" spans="1:13" ht="15.75" customHeight="1">
      <c r="A1379" s="22">
        <v>37181429</v>
      </c>
      <c r="B1379" s="23" t="s">
        <v>9606</v>
      </c>
      <c r="C1379" s="23" t="s">
        <v>9607</v>
      </c>
      <c r="D1379" s="23" t="s">
        <v>9608</v>
      </c>
      <c r="E1379" s="23" t="s">
        <v>4450</v>
      </c>
      <c r="F1379" s="23" t="s">
        <v>9609</v>
      </c>
      <c r="G1379" s="22">
        <v>2023</v>
      </c>
      <c r="H1379" s="24">
        <v>45060</v>
      </c>
      <c r="I1379" s="26" t="s">
        <v>9610</v>
      </c>
      <c r="J1379" s="27"/>
      <c r="K1379" s="26" t="s">
        <v>4451</v>
      </c>
      <c r="L1379" s="27"/>
      <c r="M1379" s="27"/>
    </row>
    <row r="1380" spans="1:13" ht="15.75" customHeight="1">
      <c r="A1380" s="22">
        <v>9174632</v>
      </c>
      <c r="B1380" s="23" t="s">
        <v>9611</v>
      </c>
      <c r="C1380" s="23" t="s">
        <v>9612</v>
      </c>
      <c r="D1380" s="23" t="s">
        <v>9613</v>
      </c>
      <c r="E1380" s="23" t="s">
        <v>2721</v>
      </c>
      <c r="F1380" s="23" t="s">
        <v>9614</v>
      </c>
      <c r="G1380" s="22">
        <v>1997</v>
      </c>
      <c r="H1380" s="24">
        <v>35551</v>
      </c>
      <c r="I1380" s="23"/>
      <c r="J1380" s="23"/>
      <c r="K1380" s="26" t="s">
        <v>2722</v>
      </c>
      <c r="L1380" s="27"/>
      <c r="M1380" s="23"/>
    </row>
    <row r="1381" spans="1:13" ht="15.75" customHeight="1">
      <c r="A1381" s="22">
        <v>29679773</v>
      </c>
      <c r="B1381" s="23" t="s">
        <v>9615</v>
      </c>
      <c r="C1381" s="23" t="s">
        <v>9616</v>
      </c>
      <c r="D1381" s="23" t="s">
        <v>9617</v>
      </c>
      <c r="E1381" s="23" t="s">
        <v>875</v>
      </c>
      <c r="F1381" s="23" t="s">
        <v>5076</v>
      </c>
      <c r="G1381" s="22">
        <v>2018</v>
      </c>
      <c r="H1381" s="24">
        <v>43212</v>
      </c>
      <c r="I1381" s="23" t="s">
        <v>9618</v>
      </c>
      <c r="J1381" s="23" t="s">
        <v>9619</v>
      </c>
      <c r="K1381" s="26" t="s">
        <v>876</v>
      </c>
      <c r="L1381" s="27"/>
      <c r="M1381" s="27"/>
    </row>
    <row r="1382" spans="1:13" ht="15.75" customHeight="1">
      <c r="A1382" s="22">
        <v>37422195</v>
      </c>
      <c r="B1382" s="23" t="s">
        <v>9620</v>
      </c>
      <c r="C1382" s="23" t="s">
        <v>9621</v>
      </c>
      <c r="D1382" s="23" t="s">
        <v>9622</v>
      </c>
      <c r="E1382" s="23" t="s">
        <v>4286</v>
      </c>
      <c r="F1382" s="23" t="s">
        <v>4876</v>
      </c>
      <c r="G1382" s="22">
        <v>2023</v>
      </c>
      <c r="H1382" s="24">
        <v>45115</v>
      </c>
      <c r="I1382" s="23"/>
      <c r="J1382" s="23"/>
      <c r="K1382" s="26" t="s">
        <v>4289</v>
      </c>
      <c r="L1382" s="27"/>
      <c r="M1382" s="27"/>
    </row>
    <row r="1383" spans="1:13" ht="15.75" customHeight="1">
      <c r="A1383" s="22">
        <v>33965190</v>
      </c>
      <c r="B1383" s="23" t="s">
        <v>9623</v>
      </c>
      <c r="C1383" s="23" t="s">
        <v>9624</v>
      </c>
      <c r="D1383" s="23" t="s">
        <v>9625</v>
      </c>
      <c r="E1383" s="23" t="s">
        <v>918</v>
      </c>
      <c r="F1383" s="23" t="s">
        <v>4876</v>
      </c>
      <c r="G1383" s="22">
        <v>2021</v>
      </c>
      <c r="H1383" s="24">
        <v>44325</v>
      </c>
      <c r="I1383" s="23"/>
      <c r="J1383" s="23"/>
      <c r="K1383" s="26" t="s">
        <v>919</v>
      </c>
      <c r="L1383" s="27"/>
      <c r="M1383" s="27"/>
    </row>
    <row r="1384" spans="1:13" ht="15.75" customHeight="1">
      <c r="A1384" s="22">
        <v>37649537</v>
      </c>
      <c r="B1384" s="23" t="s">
        <v>9626</v>
      </c>
      <c r="C1384" s="23" t="s">
        <v>9627</v>
      </c>
      <c r="D1384" s="23" t="s">
        <v>9628</v>
      </c>
      <c r="E1384" s="23" t="s">
        <v>3088</v>
      </c>
      <c r="F1384" s="23" t="s">
        <v>9629</v>
      </c>
      <c r="G1384" s="22">
        <v>2023</v>
      </c>
      <c r="H1384" s="24">
        <v>45169</v>
      </c>
      <c r="I1384" s="26" t="s">
        <v>9630</v>
      </c>
      <c r="J1384" s="27"/>
      <c r="K1384" s="26" t="s">
        <v>3089</v>
      </c>
      <c r="L1384" s="27"/>
      <c r="M1384" s="27"/>
    </row>
    <row r="1385" spans="1:13" ht="15.75" customHeight="1">
      <c r="A1385" s="22">
        <v>14742988</v>
      </c>
      <c r="B1385" s="23" t="s">
        <v>9631</v>
      </c>
      <c r="C1385" s="23" t="s">
        <v>9632</v>
      </c>
      <c r="D1385" s="23" t="s">
        <v>9633</v>
      </c>
      <c r="E1385" s="23" t="s">
        <v>2617</v>
      </c>
      <c r="F1385" s="23" t="s">
        <v>5445</v>
      </c>
      <c r="G1385" s="22">
        <v>2004</v>
      </c>
      <c r="H1385" s="24">
        <v>38013</v>
      </c>
      <c r="I1385" s="23"/>
      <c r="J1385" s="23"/>
      <c r="K1385" s="26" t="s">
        <v>2618</v>
      </c>
      <c r="L1385" s="27"/>
      <c r="M1385" s="27"/>
    </row>
    <row r="1386" spans="1:13" ht="15.75" customHeight="1">
      <c r="A1386" s="22">
        <v>34757063</v>
      </c>
      <c r="B1386" s="23" t="s">
        <v>9634</v>
      </c>
      <c r="C1386" s="23" t="s">
        <v>9635</v>
      </c>
      <c r="D1386" s="23" t="s">
        <v>9636</v>
      </c>
      <c r="E1386" s="23" t="s">
        <v>3212</v>
      </c>
      <c r="F1386" s="23" t="s">
        <v>8370</v>
      </c>
      <c r="G1386" s="22">
        <v>2022</v>
      </c>
      <c r="H1386" s="24">
        <v>44510</v>
      </c>
      <c r="I1386" s="23"/>
      <c r="J1386" s="23"/>
      <c r="K1386" s="26" t="s">
        <v>3213</v>
      </c>
      <c r="L1386" s="27"/>
      <c r="M1386" s="27"/>
    </row>
    <row r="1387" spans="1:13" ht="15.75" customHeight="1">
      <c r="A1387" s="22">
        <v>34298243</v>
      </c>
      <c r="B1387" s="23" t="s">
        <v>9637</v>
      </c>
      <c r="C1387" s="23" t="s">
        <v>9638</v>
      </c>
      <c r="D1387" s="23" t="s">
        <v>9639</v>
      </c>
      <c r="E1387" s="23" t="s">
        <v>4527</v>
      </c>
      <c r="F1387" s="23" t="s">
        <v>4876</v>
      </c>
      <c r="G1387" s="22">
        <v>2021</v>
      </c>
      <c r="H1387" s="24">
        <v>44400</v>
      </c>
      <c r="I1387" s="23"/>
      <c r="J1387" s="23"/>
      <c r="K1387" s="26" t="s">
        <v>4531</v>
      </c>
      <c r="L1387" s="27"/>
      <c r="M1387" s="27"/>
    </row>
    <row r="1388" spans="1:13" ht="15.75" customHeight="1">
      <c r="A1388" s="22">
        <v>31798967</v>
      </c>
      <c r="B1388" s="23" t="s">
        <v>9640</v>
      </c>
      <c r="C1388" s="23" t="s">
        <v>9280</v>
      </c>
      <c r="D1388" s="23" t="s">
        <v>9641</v>
      </c>
      <c r="E1388" s="23" t="s">
        <v>2075</v>
      </c>
      <c r="F1388" s="23" t="s">
        <v>9282</v>
      </c>
      <c r="G1388" s="22">
        <v>2019</v>
      </c>
      <c r="H1388" s="24">
        <v>43804</v>
      </c>
      <c r="I1388" s="26" t="s">
        <v>9642</v>
      </c>
      <c r="J1388" s="27"/>
      <c r="K1388" s="26" t="s">
        <v>2080</v>
      </c>
      <c r="L1388" s="27"/>
      <c r="M1388" s="23"/>
    </row>
    <row r="1389" spans="1:13" ht="15.75" customHeight="1">
      <c r="A1389" s="22">
        <v>27364410</v>
      </c>
      <c r="B1389" s="23" t="s">
        <v>9643</v>
      </c>
      <c r="C1389" s="23" t="s">
        <v>9644</v>
      </c>
      <c r="D1389" s="23" t="s">
        <v>9645</v>
      </c>
      <c r="E1389" s="23" t="s">
        <v>184</v>
      </c>
      <c r="F1389" s="23" t="s">
        <v>4923</v>
      </c>
      <c r="G1389" s="22">
        <v>2017</v>
      </c>
      <c r="H1389" s="24">
        <v>42553</v>
      </c>
      <c r="I1389" s="23"/>
      <c r="J1389" s="23"/>
      <c r="K1389" s="26" t="s">
        <v>365</v>
      </c>
      <c r="L1389" s="27"/>
      <c r="M1389" s="23"/>
    </row>
    <row r="1390" spans="1:13" ht="15.75" customHeight="1">
      <c r="A1390" s="22">
        <v>10968172</v>
      </c>
      <c r="B1390" s="23" t="s">
        <v>9646</v>
      </c>
      <c r="C1390" s="23" t="s">
        <v>9647</v>
      </c>
      <c r="D1390" s="23" t="s">
        <v>9648</v>
      </c>
      <c r="E1390" s="23" t="s">
        <v>1648</v>
      </c>
      <c r="F1390" s="23" t="s">
        <v>7915</v>
      </c>
      <c r="G1390" s="22">
        <v>1998</v>
      </c>
      <c r="H1390" s="24">
        <v>36770</v>
      </c>
      <c r="I1390" s="23"/>
      <c r="J1390" s="23"/>
      <c r="K1390" s="23"/>
      <c r="L1390" s="23"/>
      <c r="M1390" s="23"/>
    </row>
    <row r="1391" spans="1:13" ht="15.75" customHeight="1">
      <c r="A1391" s="22">
        <v>21348118</v>
      </c>
      <c r="B1391" s="23" t="s">
        <v>9649</v>
      </c>
      <c r="C1391" s="23" t="s">
        <v>9650</v>
      </c>
      <c r="D1391" s="23" t="s">
        <v>9651</v>
      </c>
      <c r="E1391" s="23" t="s">
        <v>9652</v>
      </c>
      <c r="F1391" s="23" t="s">
        <v>9113</v>
      </c>
      <c r="G1391" s="22">
        <v>2007</v>
      </c>
      <c r="H1391" s="24">
        <v>39083</v>
      </c>
      <c r="I1391" s="23"/>
      <c r="J1391" s="23"/>
      <c r="K1391" s="23"/>
      <c r="L1391" s="23"/>
      <c r="M1391" s="23"/>
    </row>
    <row r="1392" spans="1:13" ht="15.75" customHeight="1">
      <c r="A1392" s="22">
        <v>37543212</v>
      </c>
      <c r="B1392" s="23" t="s">
        <v>9653</v>
      </c>
      <c r="C1392" s="23" t="s">
        <v>9654</v>
      </c>
      <c r="D1392" s="23" t="s">
        <v>9655</v>
      </c>
      <c r="E1392" s="23" t="s">
        <v>613</v>
      </c>
      <c r="F1392" s="23" t="s">
        <v>4876</v>
      </c>
      <c r="G1392" s="22">
        <v>2023</v>
      </c>
      <c r="H1392" s="24">
        <v>45143</v>
      </c>
      <c r="I1392" s="23"/>
      <c r="J1392" s="23"/>
      <c r="K1392" s="26" t="s">
        <v>2282</v>
      </c>
      <c r="L1392" s="27"/>
      <c r="M1392" s="27"/>
    </row>
    <row r="1393" spans="1:13" ht="15.75" customHeight="1">
      <c r="A1393" s="22">
        <v>21328386</v>
      </c>
      <c r="B1393" s="23" t="s">
        <v>9656</v>
      </c>
      <c r="C1393" s="23" t="s">
        <v>9657</v>
      </c>
      <c r="D1393" s="23" t="s">
        <v>9658</v>
      </c>
      <c r="E1393" s="23" t="s">
        <v>151</v>
      </c>
      <c r="F1393" s="23" t="s">
        <v>4923</v>
      </c>
      <c r="G1393" s="22">
        <v>2011</v>
      </c>
      <c r="H1393" s="24">
        <v>40592</v>
      </c>
      <c r="I1393" s="23"/>
      <c r="J1393" s="23"/>
      <c r="K1393" s="26" t="s">
        <v>806</v>
      </c>
      <c r="L1393" s="27"/>
      <c r="M1393" s="23"/>
    </row>
    <row r="1394" spans="1:13" ht="15.75" customHeight="1">
      <c r="A1394" s="22">
        <v>25462450</v>
      </c>
      <c r="B1394" s="23" t="s">
        <v>9659</v>
      </c>
      <c r="C1394" s="23" t="s">
        <v>9660</v>
      </c>
      <c r="D1394" s="23" t="s">
        <v>9661</v>
      </c>
      <c r="E1394" s="23" t="s">
        <v>1543</v>
      </c>
      <c r="F1394" s="23" t="s">
        <v>4855</v>
      </c>
      <c r="G1394" s="22">
        <v>2014</v>
      </c>
      <c r="H1394" s="24">
        <v>41976</v>
      </c>
      <c r="I1394" s="23"/>
      <c r="J1394" s="23"/>
      <c r="K1394" s="26" t="s">
        <v>1554</v>
      </c>
      <c r="L1394" s="27"/>
      <c r="M1394" s="27"/>
    </row>
    <row r="1395" spans="1:13" ht="15.75" customHeight="1">
      <c r="A1395" s="22">
        <v>12858204</v>
      </c>
      <c r="B1395" s="23" t="s">
        <v>9662</v>
      </c>
      <c r="C1395" s="23" t="s">
        <v>9663</v>
      </c>
      <c r="D1395" s="23" t="s">
        <v>9664</v>
      </c>
      <c r="E1395" s="23" t="s">
        <v>1003</v>
      </c>
      <c r="F1395" s="23" t="s">
        <v>4863</v>
      </c>
      <c r="G1395" s="22">
        <v>2003</v>
      </c>
      <c r="H1395" s="24">
        <v>37817</v>
      </c>
      <c r="I1395" s="23"/>
      <c r="J1395" s="23"/>
      <c r="K1395" s="26" t="s">
        <v>1004</v>
      </c>
      <c r="L1395" s="27"/>
      <c r="M1395" s="23"/>
    </row>
    <row r="1396" spans="1:13" ht="15.75" customHeight="1">
      <c r="A1396" s="22">
        <v>25015512</v>
      </c>
      <c r="B1396" s="23" t="s">
        <v>9665</v>
      </c>
      <c r="C1396" s="23" t="s">
        <v>9666</v>
      </c>
      <c r="D1396" s="23" t="s">
        <v>9667</v>
      </c>
      <c r="E1396" s="23" t="s">
        <v>3646</v>
      </c>
      <c r="F1396" s="23" t="s">
        <v>9668</v>
      </c>
      <c r="G1396" s="22">
        <v>2014</v>
      </c>
      <c r="H1396" s="24">
        <v>41833</v>
      </c>
      <c r="I1396" s="23"/>
      <c r="J1396" s="23"/>
      <c r="K1396" s="26" t="s">
        <v>3647</v>
      </c>
      <c r="L1396" s="27"/>
      <c r="M1396" s="27"/>
    </row>
    <row r="1397" spans="1:13" ht="15.75" customHeight="1">
      <c r="A1397" s="22">
        <v>8212853</v>
      </c>
      <c r="B1397" s="23" t="s">
        <v>9669</v>
      </c>
      <c r="C1397" s="23" t="s">
        <v>9670</v>
      </c>
      <c r="D1397" s="23" t="s">
        <v>9671</v>
      </c>
      <c r="E1397" s="23" t="s">
        <v>1341</v>
      </c>
      <c r="F1397" s="23" t="s">
        <v>5122</v>
      </c>
      <c r="G1397" s="22">
        <v>1993</v>
      </c>
      <c r="H1397" s="24">
        <v>34151</v>
      </c>
      <c r="I1397" s="23"/>
      <c r="J1397" s="23"/>
      <c r="K1397" s="26" t="s">
        <v>1352</v>
      </c>
      <c r="L1397" s="27"/>
      <c r="M1397" s="27"/>
    </row>
    <row r="1398" spans="1:13" ht="15.75" customHeight="1">
      <c r="A1398" s="22">
        <v>35371815</v>
      </c>
      <c r="B1398" s="23" t="s">
        <v>9672</v>
      </c>
      <c r="C1398" s="23" t="s">
        <v>9673</v>
      </c>
      <c r="D1398" s="23" t="s">
        <v>9674</v>
      </c>
      <c r="E1398" s="23" t="s">
        <v>4253</v>
      </c>
      <c r="F1398" s="23" t="s">
        <v>9165</v>
      </c>
      <c r="G1398" s="22">
        <v>2022</v>
      </c>
      <c r="H1398" s="24">
        <v>44655</v>
      </c>
      <c r="I1398" s="26" t="s">
        <v>9675</v>
      </c>
      <c r="J1398" s="27"/>
      <c r="K1398" s="26" t="s">
        <v>4254</v>
      </c>
      <c r="L1398" s="27"/>
      <c r="M1398" s="23"/>
    </row>
    <row r="1399" spans="1:13" ht="15.75" customHeight="1">
      <c r="A1399" s="22">
        <v>28392330</v>
      </c>
      <c r="B1399" s="23" t="s">
        <v>9676</v>
      </c>
      <c r="C1399" s="23" t="s">
        <v>9677</v>
      </c>
      <c r="D1399" s="23" t="s">
        <v>9678</v>
      </c>
      <c r="E1399" s="23" t="s">
        <v>445</v>
      </c>
      <c r="F1399" s="23" t="s">
        <v>9679</v>
      </c>
      <c r="G1399" s="22">
        <v>2017</v>
      </c>
      <c r="H1399" s="24">
        <v>42836</v>
      </c>
      <c r="I1399" s="23"/>
      <c r="J1399" s="23"/>
      <c r="K1399" s="26" t="s">
        <v>446</v>
      </c>
      <c r="L1399" s="27"/>
      <c r="M1399" s="27"/>
    </row>
    <row r="1400" spans="1:13" ht="15.75" customHeight="1">
      <c r="A1400" s="22">
        <v>38771118</v>
      </c>
      <c r="B1400" s="23" t="s">
        <v>9680</v>
      </c>
      <c r="C1400" s="23" t="s">
        <v>9681</v>
      </c>
      <c r="D1400" s="23" t="s">
        <v>9682</v>
      </c>
      <c r="E1400" s="23" t="s">
        <v>619</v>
      </c>
      <c r="F1400" s="23" t="s">
        <v>4992</v>
      </c>
      <c r="G1400" s="22">
        <v>2024</v>
      </c>
      <c r="H1400" s="24">
        <v>45433</v>
      </c>
      <c r="I1400" s="23"/>
      <c r="J1400" s="23"/>
      <c r="K1400" s="26" t="s">
        <v>4763</v>
      </c>
      <c r="L1400" s="27"/>
      <c r="M1400" s="23"/>
    </row>
    <row r="1401" spans="1:13" ht="15.75" customHeight="1">
      <c r="A1401" s="22">
        <v>32386102</v>
      </c>
      <c r="B1401" s="23" t="s">
        <v>9683</v>
      </c>
      <c r="C1401" s="23" t="s">
        <v>9684</v>
      </c>
      <c r="D1401" s="23" t="s">
        <v>9685</v>
      </c>
      <c r="E1401" s="23" t="s">
        <v>258</v>
      </c>
      <c r="F1401" s="23" t="s">
        <v>9686</v>
      </c>
      <c r="G1401" s="22">
        <v>2020</v>
      </c>
      <c r="H1401" s="24">
        <v>43961</v>
      </c>
      <c r="I1401" s="26" t="s">
        <v>9687</v>
      </c>
      <c r="J1401" s="27"/>
      <c r="K1401" s="26" t="s">
        <v>389</v>
      </c>
      <c r="L1401" s="27"/>
      <c r="M1401" s="23"/>
    </row>
    <row r="1402" spans="1:13" ht="15.75" customHeight="1">
      <c r="A1402" s="22">
        <v>11339860</v>
      </c>
      <c r="B1402" s="23" t="s">
        <v>9688</v>
      </c>
      <c r="C1402" s="23" t="s">
        <v>9689</v>
      </c>
      <c r="D1402" s="23" t="s">
        <v>9690</v>
      </c>
      <c r="E1402" s="23" t="s">
        <v>1332</v>
      </c>
      <c r="F1402" s="23" t="s">
        <v>9691</v>
      </c>
      <c r="G1402" s="22">
        <v>2001</v>
      </c>
      <c r="H1402" s="24">
        <v>37019</v>
      </c>
      <c r="I1402" s="23"/>
      <c r="J1402" s="23"/>
      <c r="K1402" s="26" t="s">
        <v>1333</v>
      </c>
      <c r="L1402" s="27"/>
      <c r="M1402" s="23"/>
    </row>
    <row r="1403" spans="1:13" ht="15.75" customHeight="1">
      <c r="A1403" s="22">
        <v>20487415</v>
      </c>
      <c r="B1403" s="23" t="s">
        <v>9692</v>
      </c>
      <c r="C1403" s="23" t="s">
        <v>9693</v>
      </c>
      <c r="D1403" s="23" t="s">
        <v>9694</v>
      </c>
      <c r="E1403" s="23" t="s">
        <v>1175</v>
      </c>
      <c r="F1403" s="23" t="s">
        <v>4974</v>
      </c>
      <c r="G1403" s="22">
        <v>2010</v>
      </c>
      <c r="H1403" s="24">
        <v>40320</v>
      </c>
      <c r="I1403" s="23"/>
      <c r="J1403" s="23"/>
      <c r="K1403" s="26" t="s">
        <v>1176</v>
      </c>
      <c r="L1403" s="27"/>
      <c r="M1403" s="27"/>
    </row>
    <row r="1404" spans="1:13" ht="15.75" customHeight="1">
      <c r="A1404" s="22">
        <v>22497528</v>
      </c>
      <c r="B1404" s="23" t="s">
        <v>9695</v>
      </c>
      <c r="C1404" s="23" t="s">
        <v>9696</v>
      </c>
      <c r="D1404" s="23" t="s">
        <v>9697</v>
      </c>
      <c r="E1404" s="23" t="s">
        <v>1425</v>
      </c>
      <c r="F1404" s="23" t="s">
        <v>9698</v>
      </c>
      <c r="G1404" s="22">
        <v>2012</v>
      </c>
      <c r="H1404" s="24">
        <v>41013</v>
      </c>
      <c r="I1404" s="23"/>
      <c r="J1404" s="23"/>
      <c r="K1404" s="26" t="s">
        <v>1426</v>
      </c>
      <c r="L1404" s="27"/>
      <c r="M1404" s="23"/>
    </row>
    <row r="1405" spans="1:13" ht="15.75" customHeight="1">
      <c r="A1405" s="22">
        <v>28443092</v>
      </c>
      <c r="B1405" s="23" t="s">
        <v>9699</v>
      </c>
      <c r="C1405" s="23" t="s">
        <v>9700</v>
      </c>
      <c r="D1405" s="23" t="s">
        <v>9701</v>
      </c>
      <c r="E1405" s="23" t="s">
        <v>3927</v>
      </c>
      <c r="F1405" s="23" t="s">
        <v>4912</v>
      </c>
      <c r="G1405" s="22">
        <v>2017</v>
      </c>
      <c r="H1405" s="24">
        <v>42852</v>
      </c>
      <c r="I1405" s="26" t="s">
        <v>9702</v>
      </c>
      <c r="J1405" s="27"/>
      <c r="K1405" s="26" t="s">
        <v>3930</v>
      </c>
      <c r="L1405" s="27"/>
      <c r="M1405" s="27"/>
    </row>
    <row r="1406" spans="1:13" ht="15.75" customHeight="1">
      <c r="A1406" s="22">
        <v>27928011</v>
      </c>
      <c r="B1406" s="23" t="s">
        <v>9703</v>
      </c>
      <c r="C1406" s="23" t="s">
        <v>9704</v>
      </c>
      <c r="D1406" s="23" t="s">
        <v>9705</v>
      </c>
      <c r="E1406" s="23" t="s">
        <v>2465</v>
      </c>
      <c r="F1406" s="23" t="s">
        <v>4891</v>
      </c>
      <c r="G1406" s="22">
        <v>2017</v>
      </c>
      <c r="H1406" s="24">
        <v>42713</v>
      </c>
      <c r="I1406" s="26" t="s">
        <v>9706</v>
      </c>
      <c r="J1406" s="27"/>
      <c r="K1406" s="26" t="s">
        <v>2466</v>
      </c>
      <c r="L1406" s="27"/>
      <c r="M1406" s="23"/>
    </row>
    <row r="1407" spans="1:13" ht="15.75" customHeight="1">
      <c r="A1407" s="22">
        <v>20414752</v>
      </c>
      <c r="B1407" s="23" t="s">
        <v>9707</v>
      </c>
      <c r="C1407" s="23" t="s">
        <v>7324</v>
      </c>
      <c r="D1407" s="23" t="s">
        <v>9708</v>
      </c>
      <c r="E1407" s="23" t="s">
        <v>249</v>
      </c>
      <c r="F1407" s="23" t="s">
        <v>4927</v>
      </c>
      <c r="G1407" s="22">
        <v>2010</v>
      </c>
      <c r="H1407" s="24">
        <v>40292</v>
      </c>
      <c r="I1407" s="23"/>
      <c r="J1407" s="23"/>
      <c r="K1407" s="26" t="s">
        <v>2996</v>
      </c>
      <c r="L1407" s="27"/>
      <c r="M1407" s="27"/>
    </row>
    <row r="1408" spans="1:13" ht="15.75" customHeight="1">
      <c r="A1408" s="22">
        <v>36110128</v>
      </c>
      <c r="B1408" s="23" t="s">
        <v>9709</v>
      </c>
      <c r="C1408" s="23" t="s">
        <v>9710</v>
      </c>
      <c r="D1408" s="23" t="s">
        <v>9711</v>
      </c>
      <c r="E1408" s="23" t="s">
        <v>733</v>
      </c>
      <c r="F1408" s="23" t="s">
        <v>9356</v>
      </c>
      <c r="G1408" s="22">
        <v>2022</v>
      </c>
      <c r="H1408" s="24">
        <v>44820</v>
      </c>
      <c r="I1408" s="26" t="s">
        <v>9712</v>
      </c>
      <c r="J1408" s="27"/>
      <c r="K1408" s="26" t="s">
        <v>734</v>
      </c>
      <c r="L1408" s="27"/>
      <c r="M1408" s="23"/>
    </row>
    <row r="1409" spans="1:13" ht="15.75" customHeight="1">
      <c r="A1409" s="22">
        <v>23816504</v>
      </c>
      <c r="B1409" s="23" t="s">
        <v>9713</v>
      </c>
      <c r="C1409" s="23" t="s">
        <v>9714</v>
      </c>
      <c r="D1409" s="23" t="s">
        <v>9715</v>
      </c>
      <c r="E1409" s="23" t="s">
        <v>1852</v>
      </c>
      <c r="F1409" s="23" t="s">
        <v>9716</v>
      </c>
      <c r="G1409" s="22">
        <v>2014</v>
      </c>
      <c r="H1409" s="24">
        <v>41458</v>
      </c>
      <c r="I1409" s="23"/>
      <c r="J1409" s="23"/>
      <c r="K1409" s="26" t="s">
        <v>1855</v>
      </c>
      <c r="L1409" s="27"/>
      <c r="M1409" s="27"/>
    </row>
    <row r="1410" spans="1:13" ht="15.75" customHeight="1">
      <c r="A1410" s="22">
        <v>38298135</v>
      </c>
      <c r="B1410" s="23" t="s">
        <v>9717</v>
      </c>
      <c r="C1410" s="23" t="s">
        <v>9718</v>
      </c>
      <c r="D1410" s="23" t="s">
        <v>9719</v>
      </c>
      <c r="E1410" s="23" t="s">
        <v>4727</v>
      </c>
      <c r="F1410" s="23" t="s">
        <v>9720</v>
      </c>
      <c r="G1410" s="22">
        <v>2024</v>
      </c>
      <c r="H1410" s="24">
        <v>45323</v>
      </c>
      <c r="I1410" s="23"/>
      <c r="J1410" s="23"/>
      <c r="K1410" s="26" t="s">
        <v>4728</v>
      </c>
      <c r="L1410" s="27"/>
      <c r="M1410" s="23"/>
    </row>
    <row r="1411" spans="1:13" ht="15.75" customHeight="1">
      <c r="A1411" s="22">
        <v>12355385</v>
      </c>
      <c r="B1411" s="23" t="s">
        <v>9721</v>
      </c>
      <c r="C1411" s="23" t="s">
        <v>9722</v>
      </c>
      <c r="D1411" s="23" t="s">
        <v>9723</v>
      </c>
      <c r="E1411" s="23" t="s">
        <v>3695</v>
      </c>
      <c r="F1411" s="23" t="s">
        <v>5080</v>
      </c>
      <c r="G1411" s="22">
        <v>2002</v>
      </c>
      <c r="H1411" s="24">
        <v>37531</v>
      </c>
      <c r="I1411" s="23"/>
      <c r="J1411" s="23"/>
      <c r="K1411" s="26" t="s">
        <v>3712</v>
      </c>
      <c r="L1411" s="27"/>
      <c r="M1411" s="23"/>
    </row>
    <row r="1412" spans="1:13" ht="15.75" customHeight="1">
      <c r="A1412" s="22">
        <v>9366423</v>
      </c>
      <c r="B1412" s="23" t="s">
        <v>9724</v>
      </c>
      <c r="C1412" s="23" t="s">
        <v>9725</v>
      </c>
      <c r="D1412" s="23" t="s">
        <v>9726</v>
      </c>
      <c r="E1412" s="23" t="s">
        <v>1228</v>
      </c>
      <c r="F1412" s="23" t="s">
        <v>6293</v>
      </c>
      <c r="G1412" s="22">
        <v>1997</v>
      </c>
      <c r="H1412" s="24">
        <v>35754</v>
      </c>
      <c r="I1412" s="23"/>
      <c r="J1412" s="23"/>
      <c r="K1412" s="23"/>
      <c r="L1412" s="23"/>
      <c r="M1412" s="23"/>
    </row>
    <row r="1413" spans="1:13" ht="15.75" customHeight="1">
      <c r="A1413" s="22">
        <v>19022297</v>
      </c>
      <c r="B1413" s="23" t="s">
        <v>9727</v>
      </c>
      <c r="C1413" s="23" t="s">
        <v>9728</v>
      </c>
      <c r="D1413" s="23" t="s">
        <v>9729</v>
      </c>
      <c r="E1413" s="23" t="s">
        <v>3310</v>
      </c>
      <c r="F1413" s="23" t="s">
        <v>5267</v>
      </c>
      <c r="G1413" s="22">
        <v>2009</v>
      </c>
      <c r="H1413" s="24">
        <v>39774</v>
      </c>
      <c r="I1413" s="23"/>
      <c r="J1413" s="23"/>
      <c r="K1413" s="26" t="s">
        <v>3311</v>
      </c>
      <c r="L1413" s="27"/>
      <c r="M1413" s="27"/>
    </row>
    <row r="1414" spans="1:13" ht="15.75" customHeight="1">
      <c r="A1414" s="22">
        <v>32401076</v>
      </c>
      <c r="B1414" s="23" t="s">
        <v>9730</v>
      </c>
      <c r="C1414" s="23" t="s">
        <v>9731</v>
      </c>
      <c r="D1414" s="23" t="s">
        <v>9732</v>
      </c>
      <c r="E1414" s="23" t="s">
        <v>4055</v>
      </c>
      <c r="F1414" s="23" t="s">
        <v>9259</v>
      </c>
      <c r="G1414" s="22">
        <v>2022</v>
      </c>
      <c r="H1414" s="24">
        <v>43965</v>
      </c>
      <c r="I1414" s="23" t="s">
        <v>9733</v>
      </c>
      <c r="J1414" s="23" t="s">
        <v>9734</v>
      </c>
      <c r="K1414" s="26" t="s">
        <v>4056</v>
      </c>
      <c r="L1414" s="27"/>
      <c r="M1414" s="27"/>
    </row>
    <row r="1415" spans="1:13" ht="15.75" customHeight="1">
      <c r="A1415" s="22">
        <v>26920464</v>
      </c>
      <c r="B1415" s="23" t="s">
        <v>9735</v>
      </c>
      <c r="C1415" s="23" t="s">
        <v>9736</v>
      </c>
      <c r="D1415" s="23" t="s">
        <v>9737</v>
      </c>
      <c r="E1415" s="23" t="s">
        <v>772</v>
      </c>
      <c r="F1415" s="23" t="s">
        <v>9679</v>
      </c>
      <c r="G1415" s="22">
        <v>2016</v>
      </c>
      <c r="H1415" s="24">
        <v>42428</v>
      </c>
      <c r="I1415" s="23" t="s">
        <v>9738</v>
      </c>
      <c r="J1415" s="23" t="s">
        <v>9739</v>
      </c>
      <c r="K1415" s="26" t="s">
        <v>773</v>
      </c>
      <c r="L1415" s="27"/>
      <c r="M1415" s="27"/>
    </row>
    <row r="1416" spans="1:13" ht="15.75" customHeight="1">
      <c r="A1416" s="22">
        <v>33917715</v>
      </c>
      <c r="B1416" s="23" t="s">
        <v>9740</v>
      </c>
      <c r="C1416" s="23" t="s">
        <v>9741</v>
      </c>
      <c r="D1416" s="23" t="s">
        <v>9742</v>
      </c>
      <c r="E1416" s="23" t="s">
        <v>742</v>
      </c>
      <c r="F1416" s="23" t="s">
        <v>9231</v>
      </c>
      <c r="G1416" s="22">
        <v>2021</v>
      </c>
      <c r="H1416" s="24">
        <v>44316</v>
      </c>
      <c r="I1416" s="26" t="s">
        <v>9743</v>
      </c>
      <c r="J1416" s="27"/>
      <c r="K1416" s="26" t="s">
        <v>743</v>
      </c>
      <c r="L1416" s="27"/>
      <c r="M1416" s="27"/>
    </row>
    <row r="1417" spans="1:13" ht="15.75" customHeight="1">
      <c r="A1417" s="22">
        <v>2824914</v>
      </c>
      <c r="B1417" s="23" t="s">
        <v>9744</v>
      </c>
      <c r="C1417" s="23" t="s">
        <v>9745</v>
      </c>
      <c r="D1417" s="23" t="s">
        <v>9746</v>
      </c>
      <c r="E1417" s="23" t="s">
        <v>1330</v>
      </c>
      <c r="F1417" s="23" t="s">
        <v>9747</v>
      </c>
      <c r="G1417" s="22">
        <v>1987</v>
      </c>
      <c r="H1417" s="24">
        <v>32082</v>
      </c>
      <c r="I1417" s="23"/>
      <c r="J1417" s="23"/>
      <c r="K1417" s="23"/>
      <c r="L1417" s="23"/>
      <c r="M1417" s="23"/>
    </row>
    <row r="1418" spans="1:13" ht="15.75" customHeight="1">
      <c r="A1418" s="22">
        <v>38487325</v>
      </c>
      <c r="B1418" s="23" t="s">
        <v>9748</v>
      </c>
      <c r="C1418" s="23" t="s">
        <v>9749</v>
      </c>
      <c r="D1418" s="23" t="s">
        <v>9750</v>
      </c>
      <c r="E1418" s="23" t="s">
        <v>4738</v>
      </c>
      <c r="F1418" s="23" t="s">
        <v>9751</v>
      </c>
      <c r="G1418" s="22">
        <v>2024</v>
      </c>
      <c r="H1418" s="24">
        <v>45366</v>
      </c>
      <c r="I1418" s="26" t="s">
        <v>9752</v>
      </c>
      <c r="J1418" s="27"/>
      <c r="K1418" s="26" t="s">
        <v>4739</v>
      </c>
      <c r="L1418" s="27"/>
      <c r="M1418" s="27"/>
    </row>
    <row r="1419" spans="1:13" ht="15.75" customHeight="1">
      <c r="A1419" s="22">
        <v>1337559</v>
      </c>
      <c r="B1419" s="23" t="s">
        <v>9753</v>
      </c>
      <c r="C1419" s="23" t="s">
        <v>9754</v>
      </c>
      <c r="D1419" s="23" t="s">
        <v>9755</v>
      </c>
      <c r="E1419" s="23" t="s">
        <v>3461</v>
      </c>
      <c r="F1419" s="23" t="s">
        <v>5031</v>
      </c>
      <c r="G1419" s="22">
        <v>1992</v>
      </c>
      <c r="H1419" s="24">
        <v>33909</v>
      </c>
      <c r="I1419" s="23"/>
      <c r="J1419" s="23"/>
      <c r="K1419" s="23"/>
      <c r="L1419" s="23"/>
      <c r="M1419" s="23"/>
    </row>
    <row r="1420" spans="1:13" ht="15.75" customHeight="1">
      <c r="A1420" s="22">
        <v>20851868</v>
      </c>
      <c r="B1420" s="23" t="s">
        <v>9756</v>
      </c>
      <c r="C1420" s="23" t="s">
        <v>9757</v>
      </c>
      <c r="D1420" s="23" t="s">
        <v>9758</v>
      </c>
      <c r="E1420" s="23" t="s">
        <v>872</v>
      </c>
      <c r="F1420" s="23" t="s">
        <v>6289</v>
      </c>
      <c r="G1420" s="22">
        <v>2011</v>
      </c>
      <c r="H1420" s="24">
        <v>40442</v>
      </c>
      <c r="I1420" s="26" t="s">
        <v>9759</v>
      </c>
      <c r="J1420" s="27"/>
      <c r="K1420" s="26" t="s">
        <v>873</v>
      </c>
      <c r="L1420" s="27"/>
      <c r="M1420" s="27"/>
    </row>
    <row r="1421" spans="1:13" ht="15.75" customHeight="1">
      <c r="A1421" s="22">
        <v>2548350</v>
      </c>
      <c r="B1421" s="23" t="s">
        <v>9760</v>
      </c>
      <c r="C1421" s="23" t="s">
        <v>9761</v>
      </c>
      <c r="D1421" s="23" t="s">
        <v>9762</v>
      </c>
      <c r="E1421" s="23" t="s">
        <v>2864</v>
      </c>
      <c r="F1421" s="23" t="s">
        <v>9763</v>
      </c>
      <c r="G1421" s="22">
        <v>1989</v>
      </c>
      <c r="H1421" s="24">
        <v>32682</v>
      </c>
      <c r="I1421" s="23"/>
      <c r="J1421" s="23"/>
      <c r="K1421" s="23"/>
      <c r="L1421" s="23"/>
      <c r="M1421" s="23"/>
    </row>
    <row r="1422" spans="1:13" ht="15.75" customHeight="1">
      <c r="A1422" s="22">
        <v>32036434</v>
      </c>
      <c r="B1422" s="23" t="s">
        <v>9764</v>
      </c>
      <c r="C1422" s="23" t="s">
        <v>9765</v>
      </c>
      <c r="D1422" s="23" t="s">
        <v>9766</v>
      </c>
      <c r="E1422" s="23" t="s">
        <v>147</v>
      </c>
      <c r="F1422" s="23" t="s">
        <v>9767</v>
      </c>
      <c r="G1422" s="22">
        <v>2020</v>
      </c>
      <c r="H1422" s="24">
        <v>43871</v>
      </c>
      <c r="I1422" s="23"/>
      <c r="J1422" s="23"/>
      <c r="K1422" s="26" t="s">
        <v>736</v>
      </c>
      <c r="L1422" s="27"/>
      <c r="M1422" s="27"/>
    </row>
    <row r="1423" spans="1:13" ht="15.75" customHeight="1">
      <c r="A1423" s="22">
        <v>18628071</v>
      </c>
      <c r="B1423" s="23" t="s">
        <v>9768</v>
      </c>
      <c r="C1423" s="23" t="s">
        <v>9769</v>
      </c>
      <c r="D1423" s="23" t="s">
        <v>9770</v>
      </c>
      <c r="E1423" s="23" t="s">
        <v>4358</v>
      </c>
      <c r="F1423" s="23" t="s">
        <v>9771</v>
      </c>
      <c r="G1423" s="22">
        <v>2008</v>
      </c>
      <c r="H1423" s="24">
        <v>39646</v>
      </c>
      <c r="I1423" s="23"/>
      <c r="J1423" s="23"/>
      <c r="K1423" s="26" t="s">
        <v>4359</v>
      </c>
      <c r="L1423" s="27"/>
      <c r="M1423" s="27"/>
    </row>
    <row r="1424" spans="1:13" ht="15.75" customHeight="1">
      <c r="A1424" s="22">
        <v>33088521</v>
      </c>
      <c r="B1424" s="23" t="s">
        <v>9772</v>
      </c>
      <c r="C1424" s="23" t="s">
        <v>9773</v>
      </c>
      <c r="D1424" s="23" t="s">
        <v>9774</v>
      </c>
      <c r="E1424" s="23" t="s">
        <v>2911</v>
      </c>
      <c r="F1424" s="23" t="s">
        <v>9775</v>
      </c>
      <c r="G1424" s="22">
        <v>2020</v>
      </c>
      <c r="H1424" s="24">
        <v>44126</v>
      </c>
      <c r="I1424" s="26" t="s">
        <v>9776</v>
      </c>
      <c r="J1424" s="27"/>
      <c r="K1424" s="26" t="s">
        <v>2912</v>
      </c>
      <c r="L1424" s="27"/>
      <c r="M1424" s="23"/>
    </row>
    <row r="1425" spans="1:13" ht="15.75" customHeight="1">
      <c r="A1425" s="22">
        <v>31554674</v>
      </c>
      <c r="B1425" s="23" t="s">
        <v>9777</v>
      </c>
      <c r="C1425" s="23" t="s">
        <v>9778</v>
      </c>
      <c r="D1425" s="23" t="s">
        <v>9779</v>
      </c>
      <c r="E1425" s="23" t="s">
        <v>1514</v>
      </c>
      <c r="F1425" s="23" t="s">
        <v>5331</v>
      </c>
      <c r="G1425" s="22">
        <v>2019</v>
      </c>
      <c r="H1425" s="24">
        <v>43735</v>
      </c>
      <c r="I1425" s="26" t="s">
        <v>9780</v>
      </c>
      <c r="J1425" s="27"/>
      <c r="K1425" s="26" t="s">
        <v>1515</v>
      </c>
      <c r="L1425" s="27"/>
      <c r="M1425" s="23"/>
    </row>
    <row r="1426" spans="1:13" ht="15.75" customHeight="1">
      <c r="A1426" s="22">
        <v>34523191</v>
      </c>
      <c r="B1426" s="23" t="s">
        <v>9781</v>
      </c>
      <c r="C1426" s="23" t="s">
        <v>9782</v>
      </c>
      <c r="D1426" s="23" t="s">
        <v>9783</v>
      </c>
      <c r="E1426" s="23" t="s">
        <v>147</v>
      </c>
      <c r="F1426" s="23" t="s">
        <v>8121</v>
      </c>
      <c r="G1426" s="22">
        <v>2023</v>
      </c>
      <c r="H1426" s="24">
        <v>44454</v>
      </c>
      <c r="I1426" s="23"/>
      <c r="J1426" s="23"/>
      <c r="K1426" s="26" t="s">
        <v>386</v>
      </c>
      <c r="L1426" s="27"/>
      <c r="M1426" s="23"/>
    </row>
    <row r="1427" spans="1:13" ht="15.75" customHeight="1">
      <c r="A1427" s="22">
        <v>25807050</v>
      </c>
      <c r="B1427" s="23" t="s">
        <v>9784</v>
      </c>
      <c r="C1427" s="23" t="s">
        <v>9785</v>
      </c>
      <c r="D1427" s="23" t="s">
        <v>9786</v>
      </c>
      <c r="E1427" s="23" t="s">
        <v>672</v>
      </c>
      <c r="F1427" s="23" t="s">
        <v>4842</v>
      </c>
      <c r="G1427" s="22">
        <v>2015</v>
      </c>
      <c r="H1427" s="24">
        <v>42089</v>
      </c>
      <c r="I1427" s="26" t="s">
        <v>9787</v>
      </c>
      <c r="J1427" s="27"/>
      <c r="K1427" s="26" t="s">
        <v>675</v>
      </c>
      <c r="L1427" s="27"/>
      <c r="M1427" s="23"/>
    </row>
    <row r="1428" spans="1:13" ht="15.75" customHeight="1">
      <c r="A1428" s="22">
        <v>29528545</v>
      </c>
      <c r="B1428" s="23" t="s">
        <v>9788</v>
      </c>
      <c r="C1428" s="23" t="s">
        <v>9789</v>
      </c>
      <c r="D1428" s="23" t="s">
        <v>9790</v>
      </c>
      <c r="E1428" s="23" t="s">
        <v>1149</v>
      </c>
      <c r="F1428" s="23" t="s">
        <v>9791</v>
      </c>
      <c r="G1428" s="22">
        <v>2018</v>
      </c>
      <c r="H1428" s="24">
        <v>43172</v>
      </c>
      <c r="I1428" s="23"/>
      <c r="J1428" s="23"/>
      <c r="K1428" s="26" t="s">
        <v>1150</v>
      </c>
      <c r="L1428" s="27"/>
      <c r="M1428" s="23"/>
    </row>
    <row r="1429" spans="1:13" ht="15.75" customHeight="1">
      <c r="A1429" s="22">
        <v>28452096</v>
      </c>
      <c r="B1429" s="23" t="s">
        <v>9792</v>
      </c>
      <c r="C1429" s="23" t="s">
        <v>9793</v>
      </c>
      <c r="D1429" s="23" t="s">
        <v>9794</v>
      </c>
      <c r="E1429" s="23" t="s">
        <v>1942</v>
      </c>
      <c r="F1429" s="23" t="s">
        <v>5543</v>
      </c>
      <c r="G1429" s="22">
        <v>2017</v>
      </c>
      <c r="H1429" s="24">
        <v>42854</v>
      </c>
      <c r="I1429" s="23"/>
      <c r="J1429" s="23"/>
      <c r="K1429" s="26" t="s">
        <v>1943</v>
      </c>
      <c r="L1429" s="27"/>
      <c r="M1429" s="23"/>
    </row>
    <row r="1430" spans="1:13" ht="15.75" customHeight="1">
      <c r="A1430" s="22">
        <v>26555946</v>
      </c>
      <c r="B1430" s="23" t="s">
        <v>9795</v>
      </c>
      <c r="C1430" s="23" t="s">
        <v>9796</v>
      </c>
      <c r="D1430" s="23" t="s">
        <v>9797</v>
      </c>
      <c r="E1430" s="23" t="s">
        <v>127</v>
      </c>
      <c r="F1430" s="23" t="s">
        <v>5445</v>
      </c>
      <c r="G1430" s="22">
        <v>2016</v>
      </c>
      <c r="H1430" s="24">
        <v>42320</v>
      </c>
      <c r="I1430" s="23"/>
      <c r="J1430" s="23"/>
      <c r="K1430" s="26" t="s">
        <v>339</v>
      </c>
      <c r="L1430" s="27"/>
      <c r="M1430" s="27"/>
    </row>
    <row r="1431" spans="1:13" ht="15.75" customHeight="1">
      <c r="A1431" s="22">
        <v>32201900</v>
      </c>
      <c r="B1431" s="23" t="s">
        <v>9798</v>
      </c>
      <c r="C1431" s="23" t="s">
        <v>9799</v>
      </c>
      <c r="D1431" s="23" t="s">
        <v>9800</v>
      </c>
      <c r="E1431" s="23" t="s">
        <v>3225</v>
      </c>
      <c r="F1431" s="23" t="s">
        <v>6990</v>
      </c>
      <c r="G1431" s="22">
        <v>2020</v>
      </c>
      <c r="H1431" s="24">
        <v>43914</v>
      </c>
      <c r="I1431" s="26" t="s">
        <v>9801</v>
      </c>
      <c r="J1431" s="27"/>
      <c r="K1431" s="26" t="s">
        <v>3230</v>
      </c>
      <c r="L1431" s="27"/>
      <c r="M1431" s="23"/>
    </row>
    <row r="1432" spans="1:13" ht="15.75" customHeight="1">
      <c r="A1432" s="22">
        <v>29020348</v>
      </c>
      <c r="B1432" s="23" t="s">
        <v>9802</v>
      </c>
      <c r="C1432" s="23" t="s">
        <v>9803</v>
      </c>
      <c r="D1432" s="23" t="s">
        <v>9804</v>
      </c>
      <c r="E1432" s="23" t="s">
        <v>221</v>
      </c>
      <c r="F1432" s="23" t="s">
        <v>5080</v>
      </c>
      <c r="G1432" s="22">
        <v>2018</v>
      </c>
      <c r="H1432" s="24">
        <v>43020</v>
      </c>
      <c r="I1432" s="26" t="s">
        <v>9805</v>
      </c>
      <c r="J1432" s="27"/>
      <c r="K1432" s="26" t="s">
        <v>353</v>
      </c>
      <c r="L1432" s="27"/>
      <c r="M1432" s="23"/>
    </row>
    <row r="1433" spans="1:13" ht="15.75" customHeight="1">
      <c r="A1433" s="22">
        <v>27307972</v>
      </c>
      <c r="B1433" s="23" t="s">
        <v>9806</v>
      </c>
      <c r="C1433" s="23" t="s">
        <v>9807</v>
      </c>
      <c r="D1433" s="23" t="s">
        <v>9808</v>
      </c>
      <c r="E1433" s="23" t="s">
        <v>2688</v>
      </c>
      <c r="F1433" s="23" t="s">
        <v>9809</v>
      </c>
      <c r="G1433" s="22">
        <v>2016</v>
      </c>
      <c r="H1433" s="24">
        <v>42538</v>
      </c>
      <c r="I1433" s="26" t="s">
        <v>9810</v>
      </c>
      <c r="J1433" s="27"/>
      <c r="K1433" s="26" t="s">
        <v>2689</v>
      </c>
      <c r="L1433" s="27"/>
      <c r="M1433" s="23"/>
    </row>
    <row r="1434" spans="1:13" ht="15.75" customHeight="1">
      <c r="A1434" s="22">
        <v>33311918</v>
      </c>
      <c r="B1434" s="23" t="s">
        <v>9811</v>
      </c>
      <c r="C1434" s="23" t="s">
        <v>9812</v>
      </c>
      <c r="D1434" s="23" t="s">
        <v>9813</v>
      </c>
      <c r="E1434" s="23" t="s">
        <v>1772</v>
      </c>
      <c r="F1434" s="23" t="s">
        <v>9814</v>
      </c>
      <c r="G1434" s="22">
        <v>2020</v>
      </c>
      <c r="H1434" s="24">
        <v>44179</v>
      </c>
      <c r="I1434" s="26" t="s">
        <v>9815</v>
      </c>
      <c r="J1434" s="27"/>
      <c r="K1434" s="26" t="s">
        <v>1777</v>
      </c>
      <c r="L1434" s="27"/>
      <c r="M1434" s="23"/>
    </row>
    <row r="1435" spans="1:13" ht="15.75" customHeight="1">
      <c r="A1435" s="22">
        <v>21348077</v>
      </c>
      <c r="B1435" s="23" t="s">
        <v>9816</v>
      </c>
      <c r="C1435" s="23" t="s">
        <v>9817</v>
      </c>
      <c r="D1435" s="23" t="s">
        <v>9818</v>
      </c>
      <c r="E1435" s="23" t="s">
        <v>4096</v>
      </c>
      <c r="F1435" s="23" t="s">
        <v>9113</v>
      </c>
      <c r="G1435" s="22">
        <v>2007</v>
      </c>
      <c r="H1435" s="24">
        <v>39083</v>
      </c>
      <c r="I1435" s="23"/>
      <c r="J1435" s="23"/>
      <c r="K1435" s="23"/>
      <c r="L1435" s="23"/>
      <c r="M1435" s="23"/>
    </row>
    <row r="1436" spans="1:13" ht="15.75" customHeight="1">
      <c r="A1436" s="22">
        <v>30742492</v>
      </c>
      <c r="B1436" s="23" t="s">
        <v>9819</v>
      </c>
      <c r="C1436" s="23" t="s">
        <v>9820</v>
      </c>
      <c r="D1436" s="23" t="s">
        <v>9821</v>
      </c>
      <c r="E1436" s="23" t="s">
        <v>1023</v>
      </c>
      <c r="F1436" s="23" t="s">
        <v>9822</v>
      </c>
      <c r="G1436" s="22">
        <v>2019</v>
      </c>
      <c r="H1436" s="24">
        <v>43508</v>
      </c>
      <c r="I1436" s="26" t="s">
        <v>9823</v>
      </c>
      <c r="J1436" s="27"/>
      <c r="K1436" s="26" t="s">
        <v>1024</v>
      </c>
      <c r="L1436" s="27"/>
      <c r="M1436" s="27"/>
    </row>
    <row r="1437" spans="1:13" ht="15.75" customHeight="1">
      <c r="A1437" s="22">
        <v>11964800</v>
      </c>
      <c r="B1437" s="23" t="s">
        <v>9824</v>
      </c>
      <c r="C1437" s="23" t="s">
        <v>7130</v>
      </c>
      <c r="D1437" s="23" t="s">
        <v>9825</v>
      </c>
      <c r="E1437" s="23" t="s">
        <v>4017</v>
      </c>
      <c r="F1437" s="23" t="s">
        <v>5035</v>
      </c>
      <c r="G1437" s="22">
        <v>2000</v>
      </c>
      <c r="H1437" s="24">
        <v>37366</v>
      </c>
      <c r="I1437" s="23"/>
      <c r="J1437" s="23"/>
      <c r="K1437" s="26" t="s">
        <v>4033</v>
      </c>
      <c r="L1437" s="27"/>
      <c r="M1437" s="27"/>
    </row>
    <row r="1438" spans="1:13" ht="15.75" customHeight="1">
      <c r="A1438" s="22">
        <v>17412968</v>
      </c>
      <c r="B1438" s="23" t="s">
        <v>9826</v>
      </c>
      <c r="C1438" s="23" t="s">
        <v>9827</v>
      </c>
      <c r="D1438" s="23" t="s">
        <v>9828</v>
      </c>
      <c r="E1438" s="23" t="s">
        <v>4175</v>
      </c>
      <c r="F1438" s="23" t="s">
        <v>4966</v>
      </c>
      <c r="G1438" s="22">
        <v>2007</v>
      </c>
      <c r="H1438" s="24">
        <v>39179</v>
      </c>
      <c r="I1438" s="23"/>
      <c r="J1438" s="23"/>
      <c r="K1438" s="26" t="s">
        <v>4178</v>
      </c>
      <c r="L1438" s="27"/>
      <c r="M1438" s="23"/>
    </row>
    <row r="1439" spans="1:13" ht="15.75" customHeight="1">
      <c r="A1439" s="22">
        <v>28668490</v>
      </c>
      <c r="B1439" s="23" t="s">
        <v>9829</v>
      </c>
      <c r="C1439" s="23" t="s">
        <v>9830</v>
      </c>
      <c r="D1439" s="23" t="s">
        <v>9831</v>
      </c>
      <c r="E1439" s="23" t="s">
        <v>645</v>
      </c>
      <c r="F1439" s="23" t="s">
        <v>5076</v>
      </c>
      <c r="G1439" s="22">
        <v>2017</v>
      </c>
      <c r="H1439" s="24">
        <v>42919</v>
      </c>
      <c r="I1439" s="23" t="s">
        <v>9832</v>
      </c>
      <c r="J1439" s="23" t="s">
        <v>9833</v>
      </c>
      <c r="K1439" s="26" t="s">
        <v>646</v>
      </c>
      <c r="L1439" s="27"/>
      <c r="M1439" s="27"/>
    </row>
    <row r="1440" spans="1:13" ht="15.75" customHeight="1">
      <c r="A1440" s="22">
        <v>11342304</v>
      </c>
      <c r="B1440" s="23" t="s">
        <v>9834</v>
      </c>
      <c r="C1440" s="23" t="s">
        <v>9835</v>
      </c>
      <c r="D1440" s="23" t="s">
        <v>9836</v>
      </c>
      <c r="E1440" s="23" t="s">
        <v>254</v>
      </c>
      <c r="F1440" s="23" t="s">
        <v>5099</v>
      </c>
      <c r="G1440" s="22">
        <v>2000</v>
      </c>
      <c r="H1440" s="24">
        <v>37020</v>
      </c>
      <c r="I1440" s="23"/>
      <c r="J1440" s="23"/>
      <c r="K1440" s="26" t="s">
        <v>712</v>
      </c>
      <c r="L1440" s="27"/>
      <c r="M1440" s="27"/>
    </row>
    <row r="1441" spans="1:13" ht="15.75" customHeight="1">
      <c r="A1441" s="22">
        <v>29545911</v>
      </c>
      <c r="B1441" s="23" t="s">
        <v>9837</v>
      </c>
      <c r="C1441" s="23" t="s">
        <v>9838</v>
      </c>
      <c r="D1441" s="23" t="s">
        <v>9839</v>
      </c>
      <c r="E1441" s="23" t="s">
        <v>3741</v>
      </c>
      <c r="F1441" s="23" t="s">
        <v>5802</v>
      </c>
      <c r="G1441" s="22">
        <v>2018</v>
      </c>
      <c r="H1441" s="24">
        <v>43176</v>
      </c>
      <c r="I1441" s="26" t="s">
        <v>9840</v>
      </c>
      <c r="J1441" s="27"/>
      <c r="K1441" s="26" t="s">
        <v>3742</v>
      </c>
      <c r="L1441" s="27"/>
      <c r="M1441" s="27"/>
    </row>
    <row r="1442" spans="1:13" ht="15.75" customHeight="1">
      <c r="A1442" s="22">
        <v>23821512</v>
      </c>
      <c r="B1442" s="23" t="s">
        <v>9841</v>
      </c>
      <c r="C1442" s="23" t="s">
        <v>9842</v>
      </c>
      <c r="D1442" s="23" t="s">
        <v>9843</v>
      </c>
      <c r="E1442" s="23" t="s">
        <v>1681</v>
      </c>
      <c r="F1442" s="23" t="s">
        <v>9844</v>
      </c>
      <c r="G1442" s="22">
        <v>2013</v>
      </c>
      <c r="H1442" s="24">
        <v>41459</v>
      </c>
      <c r="I1442" s="23"/>
      <c r="J1442" s="23"/>
      <c r="K1442" s="26" t="s">
        <v>1682</v>
      </c>
      <c r="L1442" s="27"/>
      <c r="M1442" s="23"/>
    </row>
    <row r="1443" spans="1:13" ht="15.75" customHeight="1">
      <c r="A1443" s="22">
        <v>28390986</v>
      </c>
      <c r="B1443" s="23" t="s">
        <v>9845</v>
      </c>
      <c r="C1443" s="23" t="s">
        <v>9846</v>
      </c>
      <c r="D1443" s="23" t="s">
        <v>9847</v>
      </c>
      <c r="E1443" s="23" t="s">
        <v>548</v>
      </c>
      <c r="F1443" s="23" t="s">
        <v>5076</v>
      </c>
      <c r="G1443" s="22">
        <v>2017</v>
      </c>
      <c r="H1443" s="24">
        <v>42835</v>
      </c>
      <c r="I1443" s="23"/>
      <c r="J1443" s="23"/>
      <c r="K1443" s="26" t="s">
        <v>549</v>
      </c>
      <c r="L1443" s="27"/>
      <c r="M1443" s="27"/>
    </row>
    <row r="1444" spans="1:13" ht="15.75" customHeight="1">
      <c r="A1444" s="22">
        <v>1893076</v>
      </c>
      <c r="B1444" s="23" t="s">
        <v>9848</v>
      </c>
      <c r="C1444" s="23" t="s">
        <v>9849</v>
      </c>
      <c r="D1444" s="23" t="s">
        <v>9850</v>
      </c>
      <c r="E1444" s="23" t="s">
        <v>2363</v>
      </c>
      <c r="F1444" s="23" t="s">
        <v>4954</v>
      </c>
      <c r="G1444" s="22">
        <v>1991</v>
      </c>
      <c r="H1444" s="24">
        <v>33359</v>
      </c>
      <c r="I1444" s="23"/>
      <c r="J1444" s="23"/>
      <c r="K1444" s="23"/>
      <c r="L1444" s="23"/>
      <c r="M1444" s="23"/>
    </row>
    <row r="1445" spans="1:13" ht="15.75" customHeight="1">
      <c r="A1445" s="22">
        <v>37808908</v>
      </c>
      <c r="B1445" s="23" t="s">
        <v>9851</v>
      </c>
      <c r="C1445" s="23" t="s">
        <v>9852</v>
      </c>
      <c r="D1445" s="23" t="s">
        <v>9853</v>
      </c>
      <c r="E1445" s="23" t="s">
        <v>3776</v>
      </c>
      <c r="F1445" s="23" t="s">
        <v>9191</v>
      </c>
      <c r="G1445" s="22">
        <v>2023</v>
      </c>
      <c r="H1445" s="24">
        <v>45208</v>
      </c>
      <c r="I1445" s="26" t="s">
        <v>9854</v>
      </c>
      <c r="J1445" s="27"/>
      <c r="K1445" s="26" t="s">
        <v>3777</v>
      </c>
      <c r="L1445" s="27"/>
      <c r="M1445" s="27"/>
    </row>
    <row r="1446" spans="1:13" ht="15.75" customHeight="1">
      <c r="A1446" s="22">
        <v>37279857</v>
      </c>
      <c r="B1446" s="23" t="s">
        <v>9855</v>
      </c>
      <c r="C1446" s="23" t="s">
        <v>9856</v>
      </c>
      <c r="D1446" s="23" t="s">
        <v>9857</v>
      </c>
      <c r="E1446" s="23" t="s">
        <v>835</v>
      </c>
      <c r="F1446" s="23" t="s">
        <v>4876</v>
      </c>
      <c r="G1446" s="22">
        <v>2023</v>
      </c>
      <c r="H1446" s="24">
        <v>45083</v>
      </c>
      <c r="I1446" s="23"/>
      <c r="J1446" s="23"/>
      <c r="K1446" s="26" t="s">
        <v>836</v>
      </c>
      <c r="L1446" s="27"/>
      <c r="M1446" s="27"/>
    </row>
    <row r="1447" spans="1:13" ht="15.75" customHeight="1">
      <c r="A1447" s="22">
        <v>31528583</v>
      </c>
      <c r="B1447" s="23" t="s">
        <v>9858</v>
      </c>
      <c r="C1447" s="23" t="s">
        <v>9859</v>
      </c>
      <c r="D1447" s="23" t="s">
        <v>9860</v>
      </c>
      <c r="E1447" s="23" t="s">
        <v>1797</v>
      </c>
      <c r="F1447" s="23" t="s">
        <v>9861</v>
      </c>
      <c r="G1447" s="22">
        <v>2012</v>
      </c>
      <c r="H1447" s="24">
        <v>43727</v>
      </c>
      <c r="I1447" s="26" t="s">
        <v>9862</v>
      </c>
      <c r="J1447" s="27"/>
      <c r="K1447" s="26" t="s">
        <v>1798</v>
      </c>
      <c r="L1447" s="27"/>
      <c r="M1447" s="23"/>
    </row>
    <row r="1448" spans="1:13" ht="15.75" customHeight="1">
      <c r="A1448" s="22">
        <v>25918347</v>
      </c>
      <c r="B1448" s="23" t="s">
        <v>9863</v>
      </c>
      <c r="C1448" s="23" t="s">
        <v>9864</v>
      </c>
      <c r="D1448" s="23" t="s">
        <v>9865</v>
      </c>
      <c r="E1448" s="23" t="s">
        <v>881</v>
      </c>
      <c r="F1448" s="23" t="s">
        <v>5343</v>
      </c>
      <c r="G1448" s="22">
        <v>2015</v>
      </c>
      <c r="H1448" s="24">
        <v>42123</v>
      </c>
      <c r="I1448" s="26" t="s">
        <v>9866</v>
      </c>
      <c r="J1448" s="27"/>
      <c r="K1448" s="26" t="s">
        <v>882</v>
      </c>
      <c r="L1448" s="27"/>
      <c r="M1448" s="27"/>
    </row>
    <row r="1449" spans="1:13" ht="15.75" customHeight="1">
      <c r="A1449" s="22">
        <v>29297965</v>
      </c>
      <c r="B1449" s="23" t="s">
        <v>9867</v>
      </c>
      <c r="C1449" s="23" t="s">
        <v>9868</v>
      </c>
      <c r="D1449" s="23" t="s">
        <v>9869</v>
      </c>
      <c r="E1449" s="23" t="s">
        <v>468</v>
      </c>
      <c r="F1449" s="23" t="s">
        <v>5543</v>
      </c>
      <c r="G1449" s="22">
        <v>2018</v>
      </c>
      <c r="H1449" s="24">
        <v>43104</v>
      </c>
      <c r="I1449" s="26" t="s">
        <v>9870</v>
      </c>
      <c r="J1449" s="27"/>
      <c r="K1449" s="26" t="s">
        <v>469</v>
      </c>
      <c r="L1449" s="27"/>
      <c r="M1449" s="23"/>
    </row>
    <row r="1450" spans="1:13" ht="15.75" customHeight="1">
      <c r="A1450" s="22">
        <v>24923536</v>
      </c>
      <c r="B1450" s="23" t="s">
        <v>9871</v>
      </c>
      <c r="C1450" s="23" t="s">
        <v>9872</v>
      </c>
      <c r="D1450" s="23" t="s">
        <v>9873</v>
      </c>
      <c r="E1450" s="23" t="s">
        <v>717</v>
      </c>
      <c r="F1450" s="23" t="s">
        <v>5076</v>
      </c>
      <c r="G1450" s="22">
        <v>2014</v>
      </c>
      <c r="H1450" s="24">
        <v>41804</v>
      </c>
      <c r="I1450" s="23"/>
      <c r="J1450" s="23"/>
      <c r="K1450" s="26" t="s">
        <v>718</v>
      </c>
      <c r="L1450" s="27"/>
      <c r="M1450" s="27"/>
    </row>
    <row r="1451" spans="1:13" ht="15.75" customHeight="1">
      <c r="A1451" s="22">
        <v>22872823</v>
      </c>
      <c r="B1451" s="23" t="s">
        <v>9874</v>
      </c>
      <c r="C1451" s="23" t="s">
        <v>9875</v>
      </c>
      <c r="D1451" s="23" t="s">
        <v>9876</v>
      </c>
      <c r="E1451" s="23" t="s">
        <v>2322</v>
      </c>
      <c r="F1451" s="23" t="s">
        <v>9877</v>
      </c>
      <c r="G1451" s="22">
        <v>2012</v>
      </c>
      <c r="H1451" s="24">
        <v>41130</v>
      </c>
      <c r="I1451" s="26" t="s">
        <v>9878</v>
      </c>
      <c r="J1451" s="27"/>
      <c r="K1451" s="26" t="s">
        <v>2325</v>
      </c>
      <c r="L1451" s="27"/>
      <c r="M1451" s="27"/>
    </row>
    <row r="1452" spans="1:13" ht="15.75" customHeight="1">
      <c r="A1452" s="22">
        <v>8805707</v>
      </c>
      <c r="B1452" s="23" t="s">
        <v>9879</v>
      </c>
      <c r="C1452" s="23" t="s">
        <v>9880</v>
      </c>
      <c r="D1452" s="23" t="s">
        <v>9881</v>
      </c>
      <c r="E1452" s="23" t="s">
        <v>3660</v>
      </c>
      <c r="F1452" s="23" t="s">
        <v>4813</v>
      </c>
      <c r="G1452" s="22">
        <v>1996</v>
      </c>
      <c r="H1452" s="24">
        <v>35327</v>
      </c>
      <c r="I1452" s="23"/>
      <c r="J1452" s="23"/>
      <c r="K1452" s="26" t="s">
        <v>3661</v>
      </c>
      <c r="L1452" s="27"/>
      <c r="M1452" s="23"/>
    </row>
    <row r="1453" spans="1:13" ht="15.75" customHeight="1">
      <c r="A1453" s="22">
        <v>11996753</v>
      </c>
      <c r="B1453" s="23" t="s">
        <v>9882</v>
      </c>
      <c r="C1453" s="23" t="s">
        <v>7628</v>
      </c>
      <c r="D1453" s="23" t="s">
        <v>9883</v>
      </c>
      <c r="E1453" s="23" t="s">
        <v>2189</v>
      </c>
      <c r="F1453" s="23" t="s">
        <v>6913</v>
      </c>
      <c r="G1453" s="22">
        <v>2002</v>
      </c>
      <c r="H1453" s="24">
        <v>37385</v>
      </c>
      <c r="I1453" s="23"/>
      <c r="J1453" s="23"/>
      <c r="K1453" s="26" t="s">
        <v>2192</v>
      </c>
      <c r="L1453" s="27"/>
      <c r="M1453" s="27"/>
    </row>
    <row r="1454" spans="1:13" ht="15.75" customHeight="1">
      <c r="A1454" s="22">
        <v>19671120</v>
      </c>
      <c r="B1454" s="23" t="s">
        <v>9884</v>
      </c>
      <c r="C1454" s="23" t="s">
        <v>9885</v>
      </c>
      <c r="D1454" s="23" t="s">
        <v>9886</v>
      </c>
      <c r="E1454" s="23" t="s">
        <v>3543</v>
      </c>
      <c r="F1454" s="23" t="s">
        <v>4974</v>
      </c>
      <c r="G1454" s="22">
        <v>2009</v>
      </c>
      <c r="H1454" s="24">
        <v>40038</v>
      </c>
      <c r="I1454" s="23"/>
      <c r="J1454" s="23"/>
      <c r="K1454" s="26" t="s">
        <v>3544</v>
      </c>
      <c r="L1454" s="27"/>
      <c r="M1454" s="27"/>
    </row>
    <row r="1455" spans="1:13" ht="15.75" customHeight="1">
      <c r="A1455" s="22">
        <v>29326672</v>
      </c>
      <c r="B1455" s="23" t="s">
        <v>9887</v>
      </c>
      <c r="C1455" s="23" t="s">
        <v>9888</v>
      </c>
      <c r="D1455" s="23" t="s">
        <v>9889</v>
      </c>
      <c r="E1455" s="23" t="s">
        <v>1533</v>
      </c>
      <c r="F1455" s="23" t="s">
        <v>9131</v>
      </c>
      <c r="G1455" s="22">
        <v>2017</v>
      </c>
      <c r="H1455" s="24">
        <v>43113</v>
      </c>
      <c r="I1455" s="26" t="s">
        <v>9890</v>
      </c>
      <c r="J1455" s="27"/>
      <c r="K1455" s="26" t="s">
        <v>1541</v>
      </c>
      <c r="L1455" s="27"/>
      <c r="M1455" s="27"/>
    </row>
    <row r="1456" spans="1:13" ht="15.75" customHeight="1">
      <c r="A1456" s="22">
        <v>16225414</v>
      </c>
      <c r="B1456" s="23" t="s">
        <v>9891</v>
      </c>
      <c r="C1456" s="23" t="s">
        <v>9892</v>
      </c>
      <c r="D1456" s="23" t="s">
        <v>9893</v>
      </c>
      <c r="E1456" s="23" t="s">
        <v>2932</v>
      </c>
      <c r="F1456" s="23" t="s">
        <v>5433</v>
      </c>
      <c r="G1456" s="22">
        <v>2005</v>
      </c>
      <c r="H1456" s="24">
        <v>38643</v>
      </c>
      <c r="I1456" s="23"/>
      <c r="J1456" s="23"/>
      <c r="K1456" s="26" t="s">
        <v>2933</v>
      </c>
      <c r="L1456" s="27"/>
      <c r="M1456" s="23"/>
    </row>
    <row r="1457" spans="1:13" ht="15.75" customHeight="1">
      <c r="A1457" s="22">
        <v>2542794</v>
      </c>
      <c r="B1457" s="23" t="s">
        <v>9894</v>
      </c>
      <c r="C1457" s="23" t="s">
        <v>9895</v>
      </c>
      <c r="D1457" s="23" t="s">
        <v>9896</v>
      </c>
      <c r="E1457" s="23" t="s">
        <v>3293</v>
      </c>
      <c r="F1457" s="23" t="s">
        <v>5377</v>
      </c>
      <c r="G1457" s="22">
        <v>1989</v>
      </c>
      <c r="H1457" s="24">
        <v>32667</v>
      </c>
      <c r="I1457" s="23"/>
      <c r="J1457" s="23"/>
      <c r="K1457" s="23"/>
      <c r="L1457" s="23"/>
      <c r="M1457" s="23"/>
    </row>
    <row r="1458" spans="1:13" ht="15.75" customHeight="1">
      <c r="A1458" s="22">
        <v>31516647</v>
      </c>
      <c r="B1458" s="23" t="s">
        <v>9897</v>
      </c>
      <c r="C1458" s="23" t="s">
        <v>9898</v>
      </c>
      <c r="D1458" s="23" t="s">
        <v>9899</v>
      </c>
      <c r="E1458" s="23" t="s">
        <v>4511</v>
      </c>
      <c r="F1458" s="23" t="s">
        <v>9900</v>
      </c>
      <c r="G1458" s="22">
        <v>2019</v>
      </c>
      <c r="H1458" s="24">
        <v>43722</v>
      </c>
      <c r="I1458" s="26" t="s">
        <v>9901</v>
      </c>
      <c r="J1458" s="27"/>
      <c r="K1458" s="26" t="s">
        <v>4512</v>
      </c>
      <c r="L1458" s="27"/>
      <c r="M1458" s="27"/>
    </row>
    <row r="1459" spans="1:13" ht="15.75" customHeight="1">
      <c r="A1459" s="22">
        <v>38593233</v>
      </c>
      <c r="B1459" s="23" t="s">
        <v>9902</v>
      </c>
      <c r="C1459" s="23" t="s">
        <v>9903</v>
      </c>
      <c r="D1459" s="23" t="s">
        <v>9904</v>
      </c>
      <c r="E1459" s="23" t="s">
        <v>1028</v>
      </c>
      <c r="F1459" s="23" t="s">
        <v>4833</v>
      </c>
      <c r="G1459" s="22">
        <v>2024</v>
      </c>
      <c r="H1459" s="24">
        <v>45391</v>
      </c>
      <c r="I1459" s="23"/>
      <c r="J1459" s="23"/>
      <c r="K1459" s="26" t="s">
        <v>1029</v>
      </c>
      <c r="L1459" s="27"/>
      <c r="M1459" s="27"/>
    </row>
    <row r="1460" spans="1:13" ht="15.75" customHeight="1">
      <c r="A1460" s="22">
        <v>28755030</v>
      </c>
      <c r="B1460" s="23" t="s">
        <v>9905</v>
      </c>
      <c r="C1460" s="23" t="s">
        <v>9906</v>
      </c>
      <c r="D1460" s="23" t="s">
        <v>9907</v>
      </c>
      <c r="E1460" s="23" t="s">
        <v>3986</v>
      </c>
      <c r="F1460" s="23" t="s">
        <v>9908</v>
      </c>
      <c r="G1460" s="22">
        <v>2018</v>
      </c>
      <c r="H1460" s="24">
        <v>42946</v>
      </c>
      <c r="I1460" s="26" t="s">
        <v>9909</v>
      </c>
      <c r="J1460" s="27"/>
      <c r="K1460" s="26" t="s">
        <v>3987</v>
      </c>
      <c r="L1460" s="27"/>
      <c r="M1460" s="27"/>
    </row>
    <row r="1461" spans="1:13" ht="15.75" customHeight="1">
      <c r="A1461" s="22">
        <v>22018204</v>
      </c>
      <c r="B1461" s="23" t="s">
        <v>9910</v>
      </c>
      <c r="C1461" s="23" t="s">
        <v>9911</v>
      </c>
      <c r="D1461" s="23" t="s">
        <v>9912</v>
      </c>
      <c r="E1461" s="23" t="s">
        <v>720</v>
      </c>
      <c r="F1461" s="23" t="s">
        <v>9913</v>
      </c>
      <c r="G1461" s="22">
        <v>2011</v>
      </c>
      <c r="H1461" s="24">
        <v>40841</v>
      </c>
      <c r="I1461" s="26" t="s">
        <v>9914</v>
      </c>
      <c r="J1461" s="27"/>
      <c r="K1461" s="26" t="s">
        <v>721</v>
      </c>
      <c r="L1461" s="27"/>
      <c r="M1461" s="27"/>
    </row>
    <row r="1462" spans="1:13" ht="15.75" customHeight="1">
      <c r="A1462" s="22">
        <v>38243840</v>
      </c>
      <c r="B1462" s="23" t="s">
        <v>9915</v>
      </c>
      <c r="C1462" s="23" t="s">
        <v>9916</v>
      </c>
      <c r="D1462" s="23" t="s">
        <v>9917</v>
      </c>
      <c r="E1462" s="23" t="s">
        <v>2373</v>
      </c>
      <c r="F1462" s="23" t="s">
        <v>5437</v>
      </c>
      <c r="G1462" s="22">
        <v>2024</v>
      </c>
      <c r="H1462" s="24">
        <v>45311</v>
      </c>
      <c r="I1462" s="23"/>
      <c r="J1462" s="23"/>
      <c r="K1462" s="26" t="s">
        <v>2374</v>
      </c>
      <c r="L1462" s="27"/>
      <c r="M1462" s="23"/>
    </row>
    <row r="1463" spans="1:13" ht="15.75" customHeight="1">
      <c r="A1463" s="22">
        <v>7510619</v>
      </c>
      <c r="B1463" s="23" t="s">
        <v>9918</v>
      </c>
      <c r="C1463" s="23" t="s">
        <v>9919</v>
      </c>
      <c r="D1463" s="23" t="s">
        <v>9920</v>
      </c>
      <c r="E1463" s="23" t="s">
        <v>4392</v>
      </c>
      <c r="F1463" s="23" t="s">
        <v>9921</v>
      </c>
      <c r="G1463" s="22">
        <v>1994</v>
      </c>
      <c r="H1463" s="24">
        <v>34335</v>
      </c>
      <c r="I1463" s="23"/>
      <c r="J1463" s="23"/>
      <c r="K1463" s="26" t="s">
        <v>4393</v>
      </c>
      <c r="L1463" s="27"/>
      <c r="M1463" s="27"/>
    </row>
    <row r="1464" spans="1:13" ht="15.75" customHeight="1">
      <c r="A1464" s="22">
        <v>2560617</v>
      </c>
      <c r="B1464" s="23" t="s">
        <v>9922</v>
      </c>
      <c r="C1464" s="23" t="s">
        <v>9923</v>
      </c>
      <c r="D1464" s="23" t="s">
        <v>9924</v>
      </c>
      <c r="E1464" s="23" t="s">
        <v>2800</v>
      </c>
      <c r="F1464" s="23" t="s">
        <v>7639</v>
      </c>
      <c r="G1464" s="22">
        <v>1989</v>
      </c>
      <c r="H1464" s="24">
        <v>32813</v>
      </c>
      <c r="I1464" s="23"/>
      <c r="J1464" s="23"/>
      <c r="K1464" s="23"/>
      <c r="L1464" s="23"/>
      <c r="M1464" s="23"/>
    </row>
    <row r="1465" spans="1:13" ht="15.75" customHeight="1">
      <c r="A1465" s="22">
        <v>24445302</v>
      </c>
      <c r="B1465" s="23" t="s">
        <v>9925</v>
      </c>
      <c r="C1465" s="23" t="s">
        <v>9926</v>
      </c>
      <c r="D1465" s="23" t="s">
        <v>9927</v>
      </c>
      <c r="E1465" s="23" t="s">
        <v>2349</v>
      </c>
      <c r="F1465" s="23" t="s">
        <v>9928</v>
      </c>
      <c r="G1465" s="22">
        <v>2014</v>
      </c>
      <c r="H1465" s="24">
        <v>41661</v>
      </c>
      <c r="I1465" s="23"/>
      <c r="J1465" s="23"/>
      <c r="K1465" s="23"/>
      <c r="L1465" s="23"/>
      <c r="M1465" s="23"/>
    </row>
    <row r="1466" spans="1:13" ht="15.75" customHeight="1">
      <c r="A1466" s="22">
        <v>21487503</v>
      </c>
      <c r="B1466" s="23" t="s">
        <v>9929</v>
      </c>
      <c r="C1466" s="23" t="s">
        <v>9930</v>
      </c>
      <c r="D1466" s="23" t="s">
        <v>9931</v>
      </c>
      <c r="E1466" s="23" t="s">
        <v>4006</v>
      </c>
      <c r="F1466" s="23" t="s">
        <v>9932</v>
      </c>
      <c r="G1466" s="22">
        <v>2010</v>
      </c>
      <c r="H1466" s="24">
        <v>40647</v>
      </c>
      <c r="I1466" s="26" t="s">
        <v>9933</v>
      </c>
      <c r="J1466" s="27"/>
      <c r="K1466" s="26" t="s">
        <v>4007</v>
      </c>
      <c r="L1466" s="27"/>
      <c r="M1466" s="23"/>
    </row>
    <row r="1467" spans="1:13" ht="15.75" customHeight="1">
      <c r="A1467" s="22">
        <v>19892483</v>
      </c>
      <c r="B1467" s="23" t="s">
        <v>9934</v>
      </c>
      <c r="C1467" s="23" t="s">
        <v>9935</v>
      </c>
      <c r="D1467" s="23" t="s">
        <v>9936</v>
      </c>
      <c r="E1467" s="23" t="s">
        <v>501</v>
      </c>
      <c r="F1467" s="23" t="s">
        <v>8060</v>
      </c>
      <c r="G1467" s="22">
        <v>2010</v>
      </c>
      <c r="H1467" s="24">
        <v>40124</v>
      </c>
      <c r="I1467" s="23"/>
      <c r="J1467" s="23"/>
      <c r="K1467" s="26" t="s">
        <v>1403</v>
      </c>
      <c r="L1467" s="27"/>
      <c r="M1467" s="27"/>
    </row>
    <row r="1468" spans="1:13" ht="15.75" customHeight="1">
      <c r="A1468" s="22">
        <v>21858750</v>
      </c>
      <c r="B1468" s="23" t="s">
        <v>9937</v>
      </c>
      <c r="C1468" s="23" t="s">
        <v>9938</v>
      </c>
      <c r="D1468" s="23" t="s">
        <v>9939</v>
      </c>
      <c r="E1468" s="23" t="s">
        <v>4685</v>
      </c>
      <c r="F1468" s="23" t="s">
        <v>9844</v>
      </c>
      <c r="G1468" s="22">
        <v>2011</v>
      </c>
      <c r="H1468" s="24">
        <v>40778</v>
      </c>
      <c r="I1468" s="23"/>
      <c r="J1468" s="23"/>
      <c r="K1468" s="26" t="s">
        <v>4686</v>
      </c>
      <c r="L1468" s="27"/>
      <c r="M1468" s="23"/>
    </row>
    <row r="1469" spans="1:13" ht="15.75" customHeight="1">
      <c r="A1469" s="22">
        <v>15566823</v>
      </c>
      <c r="B1469" s="23" t="s">
        <v>9940</v>
      </c>
      <c r="C1469" s="23" t="s">
        <v>9941</v>
      </c>
      <c r="D1469" s="23" t="s">
        <v>9942</v>
      </c>
      <c r="E1469" s="23" t="s">
        <v>1063</v>
      </c>
      <c r="F1469" s="23" t="s">
        <v>9339</v>
      </c>
      <c r="G1469" s="22">
        <v>1995</v>
      </c>
      <c r="H1469" s="24">
        <v>34881</v>
      </c>
      <c r="I1469" s="23"/>
      <c r="J1469" s="23"/>
      <c r="K1469" s="26" t="s">
        <v>1077</v>
      </c>
      <c r="L1469" s="27"/>
      <c r="M1469" s="27"/>
    </row>
    <row r="1470" spans="1:13" ht="15.75" customHeight="1">
      <c r="A1470" s="22">
        <v>19664576</v>
      </c>
      <c r="B1470" s="23" t="s">
        <v>9943</v>
      </c>
      <c r="C1470" s="23" t="s">
        <v>9944</v>
      </c>
      <c r="D1470" s="23" t="s">
        <v>9945</v>
      </c>
      <c r="E1470" s="23" t="s">
        <v>1181</v>
      </c>
      <c r="F1470" s="23" t="s">
        <v>9946</v>
      </c>
      <c r="G1470" s="22">
        <v>2009</v>
      </c>
      <c r="H1470" s="24">
        <v>40037</v>
      </c>
      <c r="I1470" s="23"/>
      <c r="J1470" s="23"/>
      <c r="K1470" s="26" t="s">
        <v>1182</v>
      </c>
      <c r="L1470" s="27"/>
      <c r="M1470" s="27"/>
    </row>
    <row r="1471" spans="1:13" ht="15.75" customHeight="1">
      <c r="A1471" s="22">
        <v>23465006</v>
      </c>
      <c r="B1471" s="23" t="s">
        <v>9947</v>
      </c>
      <c r="C1471" s="23" t="s">
        <v>9948</v>
      </c>
      <c r="D1471" s="23" t="s">
        <v>9949</v>
      </c>
      <c r="E1471" s="23" t="s">
        <v>2894</v>
      </c>
      <c r="F1471" s="23" t="s">
        <v>5726</v>
      </c>
      <c r="G1471" s="22">
        <v>2013</v>
      </c>
      <c r="H1471" s="24">
        <v>41341</v>
      </c>
      <c r="I1471" s="23"/>
      <c r="J1471" s="23"/>
      <c r="K1471" s="26" t="s">
        <v>2895</v>
      </c>
      <c r="L1471" s="27"/>
      <c r="M1471" s="23"/>
    </row>
    <row r="1472" spans="1:13" ht="15.75" customHeight="1">
      <c r="A1472" s="22">
        <v>34788405</v>
      </c>
      <c r="B1472" s="23" t="s">
        <v>9950</v>
      </c>
      <c r="C1472" s="23" t="s">
        <v>9951</v>
      </c>
      <c r="D1472" s="23" t="s">
        <v>9952</v>
      </c>
      <c r="E1472" s="23" t="s">
        <v>4236</v>
      </c>
      <c r="F1472" s="23" t="s">
        <v>4833</v>
      </c>
      <c r="G1472" s="22">
        <v>2022</v>
      </c>
      <c r="H1472" s="24">
        <v>44517</v>
      </c>
      <c r="I1472" s="26" t="s">
        <v>9953</v>
      </c>
      <c r="J1472" s="27"/>
      <c r="K1472" s="26" t="s">
        <v>4237</v>
      </c>
      <c r="L1472" s="27"/>
      <c r="M1472" s="27"/>
    </row>
    <row r="1473" spans="1:13" ht="15.75" customHeight="1">
      <c r="A1473" s="22">
        <v>38200989</v>
      </c>
      <c r="B1473" s="23" t="s">
        <v>9954</v>
      </c>
      <c r="C1473" s="23" t="s">
        <v>9955</v>
      </c>
      <c r="D1473" s="23" t="s">
        <v>9956</v>
      </c>
      <c r="E1473" s="23" t="s">
        <v>1408</v>
      </c>
      <c r="F1473" s="23" t="s">
        <v>9957</v>
      </c>
      <c r="G1473" s="22">
        <v>2023</v>
      </c>
      <c r="H1473" s="24">
        <v>45302</v>
      </c>
      <c r="I1473" s="26" t="s">
        <v>9958</v>
      </c>
      <c r="J1473" s="27"/>
      <c r="K1473" s="26" t="s">
        <v>1409</v>
      </c>
      <c r="L1473" s="27"/>
      <c r="M1473" s="27"/>
    </row>
    <row r="1474" spans="1:13" ht="15.75" customHeight="1">
      <c r="A1474" s="22">
        <v>16250879</v>
      </c>
      <c r="B1474" s="23" t="s">
        <v>9959</v>
      </c>
      <c r="C1474" s="23" t="s">
        <v>9960</v>
      </c>
      <c r="D1474" s="23" t="s">
        <v>9961</v>
      </c>
      <c r="E1474" s="23" t="s">
        <v>4474</v>
      </c>
      <c r="F1474" s="23" t="s">
        <v>5550</v>
      </c>
      <c r="G1474" s="22">
        <v>2005</v>
      </c>
      <c r="H1474" s="24">
        <v>38653</v>
      </c>
      <c r="I1474" s="23"/>
      <c r="J1474" s="23"/>
      <c r="K1474" s="26" t="s">
        <v>4475</v>
      </c>
      <c r="L1474" s="27"/>
      <c r="M1474" s="27"/>
    </row>
    <row r="1475" spans="1:13" ht="15.75" customHeight="1">
      <c r="A1475" s="22">
        <v>29178248</v>
      </c>
      <c r="B1475" s="23" t="s">
        <v>9962</v>
      </c>
      <c r="C1475" s="23" t="s">
        <v>9963</v>
      </c>
      <c r="D1475" s="23" t="s">
        <v>9964</v>
      </c>
      <c r="E1475" s="23" t="s">
        <v>780</v>
      </c>
      <c r="F1475" s="23" t="s">
        <v>4974</v>
      </c>
      <c r="G1475" s="22">
        <v>2018</v>
      </c>
      <c r="H1475" s="24">
        <v>43067</v>
      </c>
      <c r="I1475" s="23"/>
      <c r="J1475" s="23"/>
      <c r="K1475" s="26" t="s">
        <v>781</v>
      </c>
      <c r="L1475" s="27"/>
      <c r="M1475" s="23"/>
    </row>
    <row r="1476" spans="1:13" ht="15.75" customHeight="1">
      <c r="A1476" s="22">
        <v>12868990</v>
      </c>
      <c r="B1476" s="23" t="s">
        <v>9965</v>
      </c>
      <c r="C1476" s="23" t="s">
        <v>9966</v>
      </c>
      <c r="D1476" s="23" t="s">
        <v>9967</v>
      </c>
      <c r="E1476" s="23" t="s">
        <v>4539</v>
      </c>
      <c r="F1476" s="23" t="s">
        <v>5243</v>
      </c>
      <c r="G1476" s="22">
        <v>2003</v>
      </c>
      <c r="H1476" s="24">
        <v>37821</v>
      </c>
      <c r="I1476" s="23"/>
      <c r="J1476" s="23"/>
      <c r="K1476" s="26" t="s">
        <v>4540</v>
      </c>
      <c r="L1476" s="27"/>
      <c r="M1476" s="27"/>
    </row>
    <row r="1477" spans="1:13" ht="15.75" customHeight="1">
      <c r="A1477" s="22">
        <v>38768311</v>
      </c>
      <c r="B1477" s="23" t="s">
        <v>9968</v>
      </c>
      <c r="C1477" s="23" t="s">
        <v>9969</v>
      </c>
      <c r="D1477" s="23" t="s">
        <v>9970</v>
      </c>
      <c r="E1477" s="23" t="s">
        <v>4760</v>
      </c>
      <c r="F1477" s="23" t="s">
        <v>4992</v>
      </c>
      <c r="G1477" s="22">
        <v>2024</v>
      </c>
      <c r="H1477" s="24">
        <v>45432</v>
      </c>
      <c r="I1477" s="23"/>
      <c r="J1477" s="23"/>
      <c r="K1477" s="26" t="s">
        <v>4761</v>
      </c>
      <c r="L1477" s="27"/>
      <c r="M1477" s="23"/>
    </row>
    <row r="1478" spans="1:13" ht="15.75" customHeight="1">
      <c r="A1478" s="22">
        <v>16931140</v>
      </c>
      <c r="B1478" s="23" t="s">
        <v>9971</v>
      </c>
      <c r="C1478" s="23" t="s">
        <v>9972</v>
      </c>
      <c r="D1478" s="23" t="s">
        <v>9973</v>
      </c>
      <c r="E1478" s="23" t="s">
        <v>3001</v>
      </c>
      <c r="F1478" s="23" t="s">
        <v>4896</v>
      </c>
      <c r="G1478" s="22">
        <v>2006</v>
      </c>
      <c r="H1478" s="24">
        <v>38955</v>
      </c>
      <c r="I1478" s="23"/>
      <c r="J1478" s="23"/>
      <c r="K1478" s="26" t="s">
        <v>3006</v>
      </c>
      <c r="L1478" s="27"/>
      <c r="M1478" s="27"/>
    </row>
    <row r="1479" spans="1:13" ht="15.75" customHeight="1">
      <c r="A1479" s="22">
        <v>9043936</v>
      </c>
      <c r="B1479" s="23" t="s">
        <v>9974</v>
      </c>
      <c r="C1479" s="23" t="s">
        <v>9975</v>
      </c>
      <c r="D1479" s="23" t="s">
        <v>9976</v>
      </c>
      <c r="E1479" s="23" t="s">
        <v>3951</v>
      </c>
      <c r="F1479" s="23" t="s">
        <v>9977</v>
      </c>
      <c r="G1479" s="22">
        <v>1997</v>
      </c>
      <c r="H1479" s="24">
        <v>35431</v>
      </c>
      <c r="I1479" s="23"/>
      <c r="J1479" s="23"/>
      <c r="K1479" s="26" t="s">
        <v>3952</v>
      </c>
      <c r="L1479" s="27"/>
      <c r="M1479" s="27"/>
    </row>
    <row r="1480" spans="1:13" ht="15.75" customHeight="1">
      <c r="A1480" s="22">
        <v>34587551</v>
      </c>
      <c r="B1480" s="23" t="s">
        <v>9978</v>
      </c>
      <c r="C1480" s="23" t="s">
        <v>9979</v>
      </c>
      <c r="D1480" s="23" t="s">
        <v>9980</v>
      </c>
      <c r="E1480" s="23" t="s">
        <v>896</v>
      </c>
      <c r="F1480" s="23" t="s">
        <v>4876</v>
      </c>
      <c r="G1480" s="22">
        <v>2022</v>
      </c>
      <c r="H1480" s="24">
        <v>44468</v>
      </c>
      <c r="I1480" s="23" t="s">
        <v>9981</v>
      </c>
      <c r="J1480" s="23" t="s">
        <v>9982</v>
      </c>
      <c r="K1480" s="26" t="s">
        <v>897</v>
      </c>
      <c r="L1480" s="27"/>
      <c r="M1480" s="27"/>
    </row>
    <row r="1481" spans="1:13" ht="15.75" customHeight="1">
      <c r="A1481" s="22">
        <v>28398495</v>
      </c>
      <c r="B1481" s="23" t="s">
        <v>9983</v>
      </c>
      <c r="C1481" s="23" t="s">
        <v>9984</v>
      </c>
      <c r="D1481" s="23" t="s">
        <v>9985</v>
      </c>
      <c r="E1481" s="23" t="s">
        <v>4609</v>
      </c>
      <c r="F1481" s="23" t="s">
        <v>9720</v>
      </c>
      <c r="G1481" s="22">
        <v>2017</v>
      </c>
      <c r="H1481" s="24">
        <v>42837</v>
      </c>
      <c r="I1481" s="23"/>
      <c r="J1481" s="23"/>
      <c r="K1481" s="26" t="s">
        <v>4610</v>
      </c>
      <c r="L1481" s="27"/>
      <c r="M1481" s="23"/>
    </row>
    <row r="1482" spans="1:13" ht="15.75" customHeight="1">
      <c r="A1482" s="22">
        <v>36493341</v>
      </c>
      <c r="B1482" s="23" t="s">
        <v>9986</v>
      </c>
      <c r="C1482" s="23" t="s">
        <v>9987</v>
      </c>
      <c r="D1482" s="23" t="s">
        <v>9988</v>
      </c>
      <c r="E1482" s="23" t="s">
        <v>1028</v>
      </c>
      <c r="F1482" s="23" t="s">
        <v>5343</v>
      </c>
      <c r="G1482" s="22">
        <v>2023</v>
      </c>
      <c r="H1482" s="24">
        <v>44904</v>
      </c>
      <c r="I1482" s="26" t="s">
        <v>9989</v>
      </c>
      <c r="J1482" s="27"/>
      <c r="K1482" s="26" t="s">
        <v>1754</v>
      </c>
      <c r="L1482" s="27"/>
      <c r="M1482" s="27"/>
    </row>
    <row r="1483" spans="1:13" ht="15.75" customHeight="1">
      <c r="A1483" s="22">
        <v>17033403</v>
      </c>
      <c r="B1483" s="23" t="s">
        <v>9824</v>
      </c>
      <c r="C1483" s="23" t="s">
        <v>7130</v>
      </c>
      <c r="D1483" s="23" t="s">
        <v>9990</v>
      </c>
      <c r="E1483" s="23" t="s">
        <v>4017</v>
      </c>
      <c r="F1483" s="23" t="s">
        <v>5035</v>
      </c>
      <c r="G1483" s="22">
        <v>1998</v>
      </c>
      <c r="H1483" s="24">
        <v>39003</v>
      </c>
      <c r="I1483" s="23"/>
      <c r="J1483" s="23"/>
      <c r="K1483" s="26" t="s">
        <v>4035</v>
      </c>
      <c r="L1483" s="27"/>
      <c r="M1483" s="27"/>
    </row>
    <row r="1484" spans="1:13" ht="15.75" customHeight="1">
      <c r="A1484" s="22">
        <v>23271411</v>
      </c>
      <c r="B1484" s="23" t="s">
        <v>9991</v>
      </c>
      <c r="C1484" s="23" t="s">
        <v>9992</v>
      </c>
      <c r="D1484" s="23" t="s">
        <v>9993</v>
      </c>
      <c r="E1484" s="23" t="s">
        <v>2487</v>
      </c>
      <c r="F1484" s="23" t="s">
        <v>4927</v>
      </c>
      <c r="G1484" s="22">
        <v>2013</v>
      </c>
      <c r="H1484" s="24">
        <v>41272</v>
      </c>
      <c r="I1484" s="23"/>
      <c r="J1484" s="23"/>
      <c r="K1484" s="26" t="s">
        <v>2488</v>
      </c>
      <c r="L1484" s="27"/>
      <c r="M1484" s="27"/>
    </row>
    <row r="1485" spans="1:13" ht="15.75" customHeight="1">
      <c r="A1485" s="22">
        <v>33670052</v>
      </c>
      <c r="B1485" s="23" t="s">
        <v>9994</v>
      </c>
      <c r="C1485" s="23" t="s">
        <v>9995</v>
      </c>
      <c r="D1485" s="23" t="s">
        <v>9996</v>
      </c>
      <c r="E1485" s="23" t="s">
        <v>3225</v>
      </c>
      <c r="F1485" s="23" t="s">
        <v>9997</v>
      </c>
      <c r="G1485" s="22">
        <v>2021</v>
      </c>
      <c r="H1485" s="24">
        <v>44261</v>
      </c>
      <c r="I1485" s="26" t="s">
        <v>9998</v>
      </c>
      <c r="J1485" s="27"/>
      <c r="K1485" s="26" t="s">
        <v>3232</v>
      </c>
      <c r="L1485" s="27"/>
      <c r="M1485" s="23"/>
    </row>
    <row r="1486" spans="1:13" ht="15.75" customHeight="1">
      <c r="A1486" s="22">
        <v>8085554</v>
      </c>
      <c r="B1486" s="23" t="s">
        <v>9999</v>
      </c>
      <c r="C1486" s="23" t="s">
        <v>10000</v>
      </c>
      <c r="D1486" s="23" t="s">
        <v>10001</v>
      </c>
      <c r="E1486" s="23" t="s">
        <v>3804</v>
      </c>
      <c r="F1486" s="23" t="s">
        <v>7017</v>
      </c>
      <c r="G1486" s="22">
        <v>1994</v>
      </c>
      <c r="H1486" s="24">
        <v>34578</v>
      </c>
      <c r="I1486" s="23"/>
      <c r="J1486" s="23"/>
      <c r="K1486" s="26" t="s">
        <v>3805</v>
      </c>
      <c r="L1486" s="27"/>
      <c r="M1486" s="23"/>
    </row>
    <row r="1487" spans="1:13" ht="15.75" customHeight="1">
      <c r="A1487" s="22">
        <v>31248389</v>
      </c>
      <c r="B1487" s="23" t="s">
        <v>10002</v>
      </c>
      <c r="C1487" s="23" t="s">
        <v>10003</v>
      </c>
      <c r="D1487" s="23" t="s">
        <v>10004</v>
      </c>
      <c r="E1487" s="23" t="s">
        <v>3690</v>
      </c>
      <c r="F1487" s="23" t="s">
        <v>10005</v>
      </c>
      <c r="G1487" s="22">
        <v>2019</v>
      </c>
      <c r="H1487" s="24">
        <v>43645</v>
      </c>
      <c r="I1487" s="26" t="s">
        <v>10006</v>
      </c>
      <c r="J1487" s="27"/>
      <c r="K1487" s="26" t="s">
        <v>3691</v>
      </c>
      <c r="L1487" s="27"/>
      <c r="M1487" s="27"/>
    </row>
    <row r="1488" spans="1:13" ht="15.75" customHeight="1">
      <c r="A1488" s="22">
        <v>26493843</v>
      </c>
      <c r="B1488" s="23" t="s">
        <v>10007</v>
      </c>
      <c r="C1488" s="23" t="s">
        <v>10008</v>
      </c>
      <c r="D1488" s="23" t="s">
        <v>10009</v>
      </c>
      <c r="E1488" s="23" t="s">
        <v>899</v>
      </c>
      <c r="F1488" s="23" t="s">
        <v>4851</v>
      </c>
      <c r="G1488" s="22">
        <v>2016</v>
      </c>
      <c r="H1488" s="24">
        <v>42301</v>
      </c>
      <c r="I1488" s="23"/>
      <c r="J1488" s="23"/>
      <c r="K1488" s="26" t="s">
        <v>900</v>
      </c>
      <c r="L1488" s="27"/>
      <c r="M1488" s="27"/>
    </row>
    <row r="1489" spans="1:13" ht="15.75" customHeight="1">
      <c r="A1489" s="22">
        <v>17035801</v>
      </c>
      <c r="B1489" s="23" t="s">
        <v>9824</v>
      </c>
      <c r="C1489" s="23" t="s">
        <v>7130</v>
      </c>
      <c r="D1489" s="23" t="s">
        <v>10010</v>
      </c>
      <c r="E1489" s="23" t="s">
        <v>4017</v>
      </c>
      <c r="F1489" s="23" t="s">
        <v>5035</v>
      </c>
      <c r="G1489" s="22">
        <v>1999</v>
      </c>
      <c r="H1489" s="24">
        <v>39003</v>
      </c>
      <c r="I1489" s="23"/>
      <c r="J1489" s="23"/>
      <c r="K1489" s="26" t="s">
        <v>4037</v>
      </c>
      <c r="L1489" s="27"/>
      <c r="M1489" s="27"/>
    </row>
    <row r="1490" spans="1:13" ht="15.75" customHeight="1">
      <c r="A1490" s="22">
        <v>16382451</v>
      </c>
      <c r="B1490" s="23" t="s">
        <v>10011</v>
      </c>
      <c r="C1490" s="23" t="s">
        <v>10012</v>
      </c>
      <c r="D1490" s="23" t="s">
        <v>10013</v>
      </c>
      <c r="E1490" s="23" t="s">
        <v>2844</v>
      </c>
      <c r="F1490" s="23" t="s">
        <v>5295</v>
      </c>
      <c r="G1490" s="22">
        <v>2006</v>
      </c>
      <c r="H1490" s="24">
        <v>38717</v>
      </c>
      <c r="I1490" s="23"/>
      <c r="J1490" s="23"/>
      <c r="K1490" s="26" t="s">
        <v>2845</v>
      </c>
      <c r="L1490" s="27"/>
      <c r="M1490" s="23"/>
    </row>
    <row r="1491" spans="1:13" ht="15.75" customHeight="1">
      <c r="A1491" s="22">
        <v>30663091</v>
      </c>
      <c r="B1491" s="23" t="s">
        <v>10014</v>
      </c>
      <c r="C1491" s="23" t="s">
        <v>10015</v>
      </c>
      <c r="D1491" s="23" t="s">
        <v>10016</v>
      </c>
      <c r="E1491" s="23" t="s">
        <v>4217</v>
      </c>
      <c r="F1491" s="23" t="s">
        <v>7139</v>
      </c>
      <c r="G1491" s="22">
        <v>2019</v>
      </c>
      <c r="H1491" s="24">
        <v>43487</v>
      </c>
      <c r="I1491" s="23"/>
      <c r="J1491" s="23"/>
      <c r="K1491" s="26" t="s">
        <v>4218</v>
      </c>
      <c r="L1491" s="27"/>
      <c r="M1491" s="27"/>
    </row>
    <row r="1492" spans="1:13" ht="15.75" customHeight="1">
      <c r="A1492" s="22">
        <v>22524157</v>
      </c>
      <c r="B1492" s="23" t="s">
        <v>10017</v>
      </c>
      <c r="C1492" s="23" t="s">
        <v>10018</v>
      </c>
      <c r="D1492" s="23" t="s">
        <v>10019</v>
      </c>
      <c r="E1492" s="23" t="s">
        <v>2154</v>
      </c>
      <c r="F1492" s="23" t="s">
        <v>9259</v>
      </c>
      <c r="G1492" s="22">
        <v>2012</v>
      </c>
      <c r="H1492" s="24">
        <v>41024</v>
      </c>
      <c r="I1492" s="23" t="s">
        <v>10020</v>
      </c>
      <c r="J1492" s="23" t="s">
        <v>10021</v>
      </c>
      <c r="K1492" s="26" t="s">
        <v>2155</v>
      </c>
      <c r="L1492" s="27"/>
      <c r="M1492" s="27"/>
    </row>
    <row r="1493" spans="1:13" ht="15.75" customHeight="1">
      <c r="A1493" s="22">
        <v>24881673</v>
      </c>
      <c r="B1493" s="23" t="s">
        <v>10022</v>
      </c>
      <c r="C1493" s="23" t="s">
        <v>10023</v>
      </c>
      <c r="D1493" s="23" t="s">
        <v>10024</v>
      </c>
      <c r="E1493" s="23" t="s">
        <v>212</v>
      </c>
      <c r="F1493" s="23" t="s">
        <v>9109</v>
      </c>
      <c r="G1493" s="22">
        <v>2014</v>
      </c>
      <c r="H1493" s="24">
        <v>41793</v>
      </c>
      <c r="I1493" s="23"/>
      <c r="J1493" s="23"/>
      <c r="K1493" s="26" t="s">
        <v>334</v>
      </c>
      <c r="L1493" s="27"/>
      <c r="M1493" s="23"/>
    </row>
    <row r="1494" spans="1:13" ht="15.75" customHeight="1">
      <c r="A1494" s="22">
        <v>12627369</v>
      </c>
      <c r="B1494" s="23" t="s">
        <v>10025</v>
      </c>
      <c r="C1494" s="23" t="s">
        <v>10026</v>
      </c>
      <c r="D1494" s="23" t="s">
        <v>10027</v>
      </c>
      <c r="E1494" s="23" t="s">
        <v>2789</v>
      </c>
      <c r="F1494" s="23" t="s">
        <v>5080</v>
      </c>
      <c r="G1494" s="22">
        <v>2003</v>
      </c>
      <c r="H1494" s="24">
        <v>37691</v>
      </c>
      <c r="I1494" s="23"/>
      <c r="J1494" s="23"/>
      <c r="K1494" s="26" t="s">
        <v>2790</v>
      </c>
      <c r="L1494" s="27"/>
      <c r="M1494" s="23"/>
    </row>
    <row r="1495" spans="1:13" ht="15.75" customHeight="1">
      <c r="A1495" s="22">
        <v>33359064</v>
      </c>
      <c r="B1495" s="23" t="s">
        <v>10028</v>
      </c>
      <c r="C1495" s="23" t="s">
        <v>10029</v>
      </c>
      <c r="D1495" s="23" t="s">
        <v>10030</v>
      </c>
      <c r="E1495" s="23" t="s">
        <v>3517</v>
      </c>
      <c r="F1495" s="23" t="s">
        <v>6176</v>
      </c>
      <c r="G1495" s="22">
        <v>2021</v>
      </c>
      <c r="H1495" s="24">
        <v>44193</v>
      </c>
      <c r="I1495" s="26" t="s">
        <v>10031</v>
      </c>
      <c r="J1495" s="27"/>
      <c r="K1495" s="26" t="s">
        <v>3518</v>
      </c>
      <c r="L1495" s="27"/>
      <c r="M1495" s="27"/>
    </row>
    <row r="1496" spans="1:13" ht="15.75" customHeight="1">
      <c r="A1496" s="22">
        <v>32450288</v>
      </c>
      <c r="B1496" s="23" t="s">
        <v>10032</v>
      </c>
      <c r="C1496" s="23" t="s">
        <v>10033</v>
      </c>
      <c r="D1496" s="23" t="s">
        <v>10034</v>
      </c>
      <c r="E1496" s="23" t="s">
        <v>581</v>
      </c>
      <c r="F1496" s="23" t="s">
        <v>5076</v>
      </c>
      <c r="G1496" s="22">
        <v>2020</v>
      </c>
      <c r="H1496" s="24">
        <v>43977</v>
      </c>
      <c r="I1496" s="23" t="s">
        <v>10035</v>
      </c>
      <c r="J1496" s="23" t="s">
        <v>10036</v>
      </c>
      <c r="K1496" s="26" t="s">
        <v>582</v>
      </c>
      <c r="L1496" s="27"/>
      <c r="M1496" s="27"/>
    </row>
    <row r="1497" spans="1:13" ht="15.75" customHeight="1">
      <c r="A1497" s="22">
        <v>19298239</v>
      </c>
      <c r="B1497" s="23" t="s">
        <v>10037</v>
      </c>
      <c r="C1497" s="23" t="s">
        <v>10038</v>
      </c>
      <c r="D1497" s="23" t="s">
        <v>10039</v>
      </c>
      <c r="E1497" s="23" t="s">
        <v>848</v>
      </c>
      <c r="F1497" s="23" t="s">
        <v>4974</v>
      </c>
      <c r="G1497" s="22">
        <v>2009</v>
      </c>
      <c r="H1497" s="24">
        <v>39893</v>
      </c>
      <c r="I1497" s="23"/>
      <c r="J1497" s="23"/>
      <c r="K1497" s="26" t="s">
        <v>849</v>
      </c>
      <c r="L1497" s="27"/>
      <c r="M1497" s="27"/>
    </row>
    <row r="1498" spans="1:13" ht="15.75" customHeight="1">
      <c r="A1498" s="22">
        <v>19033999</v>
      </c>
      <c r="B1498" s="23" t="s">
        <v>10040</v>
      </c>
      <c r="C1498" s="23" t="s">
        <v>10041</v>
      </c>
      <c r="D1498" s="23" t="s">
        <v>10042</v>
      </c>
      <c r="E1498" s="23" t="s">
        <v>2045</v>
      </c>
      <c r="F1498" s="23" t="s">
        <v>5445</v>
      </c>
      <c r="G1498" s="22">
        <v>2008</v>
      </c>
      <c r="H1498" s="24">
        <v>39779</v>
      </c>
      <c r="I1498" s="23"/>
      <c r="J1498" s="23"/>
      <c r="K1498" s="26" t="s">
        <v>2046</v>
      </c>
      <c r="L1498" s="27"/>
      <c r="M1498" s="27"/>
    </row>
    <row r="1499" spans="1:13" ht="15.75" customHeight="1">
      <c r="A1499" s="22">
        <v>17173218</v>
      </c>
      <c r="B1499" s="23" t="s">
        <v>10043</v>
      </c>
      <c r="C1499" s="23" t="s">
        <v>10044</v>
      </c>
      <c r="D1499" s="23" t="s">
        <v>10045</v>
      </c>
      <c r="E1499" s="23" t="s">
        <v>3549</v>
      </c>
      <c r="F1499" s="23" t="s">
        <v>5080</v>
      </c>
      <c r="G1499" s="22">
        <v>2007</v>
      </c>
      <c r="H1499" s="24">
        <v>39070</v>
      </c>
      <c r="I1499" s="23"/>
      <c r="J1499" s="23"/>
      <c r="K1499" s="26" t="s">
        <v>3550</v>
      </c>
      <c r="L1499" s="27"/>
      <c r="M1499" s="23"/>
    </row>
    <row r="1500" spans="1:13" ht="15.75" customHeight="1">
      <c r="A1500" s="22">
        <v>36189995</v>
      </c>
      <c r="B1500" s="23" t="s">
        <v>10046</v>
      </c>
      <c r="C1500" s="23" t="s">
        <v>10047</v>
      </c>
      <c r="D1500" s="23" t="s">
        <v>10048</v>
      </c>
      <c r="E1500" s="23" t="s">
        <v>960</v>
      </c>
      <c r="F1500" s="23" t="s">
        <v>10049</v>
      </c>
      <c r="G1500" s="22">
        <v>2022</v>
      </c>
      <c r="H1500" s="24">
        <v>44837</v>
      </c>
      <c r="I1500" s="23"/>
      <c r="J1500" s="23"/>
      <c r="K1500" s="26" t="s">
        <v>961</v>
      </c>
      <c r="L1500" s="27"/>
      <c r="M1500" s="23"/>
    </row>
    <row r="1501" spans="1:13" ht="15.75" customHeight="1">
      <c r="A1501" s="22">
        <v>2904225</v>
      </c>
      <c r="B1501" s="23" t="s">
        <v>10050</v>
      </c>
      <c r="C1501" s="23" t="s">
        <v>10051</v>
      </c>
      <c r="D1501" s="23" t="s">
        <v>10052</v>
      </c>
      <c r="E1501" s="23" t="s">
        <v>1287</v>
      </c>
      <c r="F1501" s="23" t="s">
        <v>10053</v>
      </c>
      <c r="G1501" s="22">
        <v>1988</v>
      </c>
      <c r="H1501" s="24">
        <v>32478</v>
      </c>
      <c r="I1501" s="23"/>
      <c r="J1501" s="23"/>
      <c r="K1501" s="26" t="s">
        <v>1288</v>
      </c>
      <c r="L1501" s="27"/>
      <c r="M1501" s="27"/>
    </row>
    <row r="1502" spans="1:13" ht="15.75" customHeight="1">
      <c r="A1502" s="22">
        <v>10846461</v>
      </c>
      <c r="B1502" s="23" t="s">
        <v>10054</v>
      </c>
      <c r="C1502" s="23" t="s">
        <v>10055</v>
      </c>
      <c r="D1502" s="23" t="s">
        <v>10056</v>
      </c>
      <c r="E1502" s="23" t="s">
        <v>2719</v>
      </c>
      <c r="F1502" s="23" t="s">
        <v>5047</v>
      </c>
      <c r="G1502" s="22">
        <v>2000</v>
      </c>
      <c r="H1502" s="24">
        <v>36687</v>
      </c>
      <c r="I1502" s="23"/>
      <c r="J1502" s="23"/>
      <c r="K1502" s="23"/>
      <c r="L1502" s="23"/>
      <c r="M1502" s="23"/>
    </row>
    <row r="1503" spans="1:13" ht="15.75" customHeight="1">
      <c r="A1503" s="22">
        <v>30696997</v>
      </c>
      <c r="B1503" s="23" t="s">
        <v>10057</v>
      </c>
      <c r="C1503" s="23" t="s">
        <v>10058</v>
      </c>
      <c r="D1503" s="23" t="s">
        <v>10059</v>
      </c>
      <c r="E1503" s="23" t="s">
        <v>440</v>
      </c>
      <c r="F1503" s="23" t="s">
        <v>4863</v>
      </c>
      <c r="G1503" s="22">
        <v>2019</v>
      </c>
      <c r="H1503" s="24">
        <v>43496</v>
      </c>
      <c r="I1503" s="23" t="s">
        <v>10060</v>
      </c>
      <c r="J1503" s="23" t="s">
        <v>10061</v>
      </c>
      <c r="K1503" s="26" t="s">
        <v>441</v>
      </c>
      <c r="L1503" s="27"/>
      <c r="M1503" s="27"/>
    </row>
    <row r="1504" spans="1:13" ht="15.75" customHeight="1">
      <c r="A1504" s="22">
        <v>22623774</v>
      </c>
      <c r="B1504" s="23" t="s">
        <v>10062</v>
      </c>
      <c r="C1504" s="23" t="s">
        <v>10063</v>
      </c>
      <c r="D1504" s="23" t="s">
        <v>10064</v>
      </c>
      <c r="E1504" s="23" t="s">
        <v>4703</v>
      </c>
      <c r="F1504" s="23" t="s">
        <v>4891</v>
      </c>
      <c r="G1504" s="22">
        <v>2012</v>
      </c>
      <c r="H1504" s="24">
        <v>41054</v>
      </c>
      <c r="I1504" s="26" t="s">
        <v>10065</v>
      </c>
      <c r="J1504" s="27"/>
      <c r="K1504" s="26" t="s">
        <v>4704</v>
      </c>
      <c r="L1504" s="27"/>
      <c r="M1504" s="23"/>
    </row>
    <row r="1505" spans="1:13" ht="15.75" customHeight="1">
      <c r="A1505" s="22">
        <v>17617406</v>
      </c>
      <c r="B1505" s="23" t="s">
        <v>10066</v>
      </c>
      <c r="C1505" s="23" t="s">
        <v>10067</v>
      </c>
      <c r="D1505" s="23" t="s">
        <v>10068</v>
      </c>
      <c r="E1505" s="23" t="s">
        <v>3122</v>
      </c>
      <c r="F1505" s="23" t="s">
        <v>10069</v>
      </c>
      <c r="G1505" s="22">
        <v>2007</v>
      </c>
      <c r="H1505" s="24">
        <v>39273</v>
      </c>
      <c r="I1505" s="23"/>
      <c r="J1505" s="23"/>
      <c r="K1505" s="26" t="s">
        <v>3123</v>
      </c>
      <c r="L1505" s="27"/>
      <c r="M1505" s="27"/>
    </row>
    <row r="1506" spans="1:13" ht="15.75" customHeight="1">
      <c r="A1506" s="22">
        <v>31704470</v>
      </c>
      <c r="B1506" s="23" t="s">
        <v>10070</v>
      </c>
      <c r="C1506" s="23" t="s">
        <v>10071</v>
      </c>
      <c r="D1506" s="23" t="s">
        <v>10072</v>
      </c>
      <c r="E1506" s="23" t="s">
        <v>288</v>
      </c>
      <c r="F1506" s="23" t="s">
        <v>5076</v>
      </c>
      <c r="G1506" s="22">
        <v>2020</v>
      </c>
      <c r="H1506" s="24">
        <v>43779</v>
      </c>
      <c r="I1506" s="23"/>
      <c r="J1506" s="23"/>
      <c r="K1506" s="26" t="s">
        <v>418</v>
      </c>
      <c r="L1506" s="27"/>
      <c r="M1506" s="27"/>
    </row>
    <row r="1507" spans="1:13" ht="15.75" customHeight="1">
      <c r="A1507" s="22">
        <v>2691680</v>
      </c>
      <c r="B1507" s="23" t="s">
        <v>10073</v>
      </c>
      <c r="C1507" s="23" t="s">
        <v>10074</v>
      </c>
      <c r="D1507" s="23" t="s">
        <v>10075</v>
      </c>
      <c r="E1507" s="23" t="s">
        <v>2755</v>
      </c>
      <c r="F1507" s="23" t="s">
        <v>10076</v>
      </c>
      <c r="G1507" s="22">
        <v>1989</v>
      </c>
      <c r="H1507" s="24">
        <v>32813</v>
      </c>
      <c r="I1507" s="23"/>
      <c r="J1507" s="23"/>
      <c r="K1507" s="23"/>
      <c r="L1507" s="23"/>
      <c r="M1507" s="23"/>
    </row>
    <row r="1508" spans="1:13" ht="15.75" customHeight="1">
      <c r="A1508" s="22">
        <v>2173884</v>
      </c>
      <c r="B1508" s="23" t="s">
        <v>10077</v>
      </c>
      <c r="C1508" s="23" t="s">
        <v>10078</v>
      </c>
      <c r="D1508" s="23" t="s">
        <v>10079</v>
      </c>
      <c r="E1508" s="23" t="s">
        <v>4722</v>
      </c>
      <c r="F1508" s="23" t="s">
        <v>7017</v>
      </c>
      <c r="G1508" s="22">
        <v>1990</v>
      </c>
      <c r="H1508" s="24">
        <v>33208</v>
      </c>
      <c r="I1508" s="23"/>
      <c r="J1508" s="23"/>
      <c r="K1508" s="26" t="s">
        <v>4723</v>
      </c>
      <c r="L1508" s="27"/>
      <c r="M1508" s="23"/>
    </row>
    <row r="1509" spans="1:13" ht="15.75" customHeight="1">
      <c r="A1509" s="22">
        <v>36895097</v>
      </c>
      <c r="B1509" s="23" t="s">
        <v>10080</v>
      </c>
      <c r="C1509" s="23" t="s">
        <v>10081</v>
      </c>
      <c r="D1509" s="23" t="s">
        <v>10082</v>
      </c>
      <c r="E1509" s="23" t="s">
        <v>2346</v>
      </c>
      <c r="F1509" s="23" t="s">
        <v>10083</v>
      </c>
      <c r="G1509" s="22">
        <v>2023</v>
      </c>
      <c r="H1509" s="24">
        <v>44995</v>
      </c>
      <c r="I1509" s="23"/>
      <c r="J1509" s="23"/>
      <c r="K1509" s="26" t="s">
        <v>2347</v>
      </c>
      <c r="L1509" s="27"/>
      <c r="M1509" s="23"/>
    </row>
    <row r="1510" spans="1:13" ht="15.75" customHeight="1">
      <c r="A1510" s="22">
        <v>12206970</v>
      </c>
      <c r="B1510" s="23" t="s">
        <v>10084</v>
      </c>
      <c r="C1510" s="23" t="s">
        <v>10085</v>
      </c>
      <c r="D1510" s="23" t="s">
        <v>10086</v>
      </c>
      <c r="E1510" s="23" t="s">
        <v>1475</v>
      </c>
      <c r="F1510" s="23" t="s">
        <v>10087</v>
      </c>
      <c r="G1510" s="22">
        <v>2002</v>
      </c>
      <c r="H1510" s="24">
        <v>37510</v>
      </c>
      <c r="I1510" s="23"/>
      <c r="J1510" s="23"/>
      <c r="K1510" s="26" t="s">
        <v>1476</v>
      </c>
      <c r="L1510" s="27"/>
      <c r="M1510" s="27"/>
    </row>
    <row r="1511" spans="1:13" ht="15.75" customHeight="1">
      <c r="A1511" s="22">
        <v>18675117</v>
      </c>
      <c r="B1511" s="23" t="s">
        <v>10088</v>
      </c>
      <c r="C1511" s="23" t="s">
        <v>10089</v>
      </c>
      <c r="D1511" s="23" t="s">
        <v>10090</v>
      </c>
      <c r="E1511" s="23" t="s">
        <v>4076</v>
      </c>
      <c r="F1511" s="23" t="s">
        <v>5696</v>
      </c>
      <c r="G1511" s="22">
        <v>2008</v>
      </c>
      <c r="H1511" s="24">
        <v>39665</v>
      </c>
      <c r="I1511" s="23"/>
      <c r="J1511" s="23"/>
      <c r="K1511" s="26" t="s">
        <v>4077</v>
      </c>
      <c r="L1511" s="27"/>
      <c r="M1511" s="27"/>
    </row>
    <row r="1512" spans="1:13" ht="15.75" customHeight="1">
      <c r="A1512" s="22">
        <v>34071792</v>
      </c>
      <c r="B1512" s="23" t="s">
        <v>10091</v>
      </c>
      <c r="C1512" s="23" t="s">
        <v>10092</v>
      </c>
      <c r="D1512" s="23" t="s">
        <v>10093</v>
      </c>
      <c r="E1512" s="23" t="s">
        <v>2327</v>
      </c>
      <c r="F1512" s="23" t="s">
        <v>10094</v>
      </c>
      <c r="G1512" s="22">
        <v>2021</v>
      </c>
      <c r="H1512" s="24">
        <v>44349</v>
      </c>
      <c r="I1512" s="26" t="s">
        <v>10095</v>
      </c>
      <c r="J1512" s="27"/>
      <c r="K1512" s="26" t="s">
        <v>2328</v>
      </c>
      <c r="L1512" s="27"/>
      <c r="M1512" s="27"/>
    </row>
    <row r="1513" spans="1:13" ht="15.75" customHeight="1">
      <c r="A1513" s="22">
        <v>33059947</v>
      </c>
      <c r="B1513" s="23" t="s">
        <v>10096</v>
      </c>
      <c r="C1513" s="23" t="s">
        <v>10097</v>
      </c>
      <c r="D1513" s="23" t="s">
        <v>10098</v>
      </c>
      <c r="E1513" s="23" t="s">
        <v>2252</v>
      </c>
      <c r="F1513" s="23" t="s">
        <v>8407</v>
      </c>
      <c r="G1513" s="22">
        <v>2021</v>
      </c>
      <c r="H1513" s="24">
        <v>44120</v>
      </c>
      <c r="I1513" s="23"/>
      <c r="J1513" s="23"/>
      <c r="K1513" s="26" t="s">
        <v>2253</v>
      </c>
      <c r="L1513" s="27"/>
      <c r="M1513" s="27"/>
    </row>
    <row r="1514" spans="1:13" ht="15.75" customHeight="1">
      <c r="A1514" s="22">
        <v>22801446</v>
      </c>
      <c r="B1514" s="23" t="s">
        <v>10099</v>
      </c>
      <c r="C1514" s="23" t="s">
        <v>10100</v>
      </c>
      <c r="D1514" s="23" t="s">
        <v>10101</v>
      </c>
      <c r="E1514" s="23" t="s">
        <v>601</v>
      </c>
      <c r="F1514" s="23" t="s">
        <v>10102</v>
      </c>
      <c r="G1514" s="22">
        <v>2012</v>
      </c>
      <c r="H1514" s="24">
        <v>41108</v>
      </c>
      <c r="I1514" s="26" t="s">
        <v>10103</v>
      </c>
      <c r="J1514" s="27"/>
      <c r="K1514" s="26" t="s">
        <v>2152</v>
      </c>
      <c r="L1514" s="27"/>
      <c r="M1514" s="23"/>
    </row>
    <row r="1515" spans="1:13" ht="15.75" customHeight="1">
      <c r="A1515" s="22">
        <v>28723708</v>
      </c>
      <c r="B1515" s="23" t="s">
        <v>10104</v>
      </c>
      <c r="C1515" s="23" t="s">
        <v>10105</v>
      </c>
      <c r="D1515" s="23" t="s">
        <v>10106</v>
      </c>
      <c r="E1515" s="23" t="s">
        <v>1112</v>
      </c>
      <c r="F1515" s="23" t="s">
        <v>10107</v>
      </c>
      <c r="G1515" s="22">
        <v>2017</v>
      </c>
      <c r="H1515" s="24">
        <v>42937</v>
      </c>
      <c r="I1515" s="23" t="s">
        <v>10108</v>
      </c>
      <c r="J1515" s="23" t="s">
        <v>10109</v>
      </c>
      <c r="K1515" s="26" t="s">
        <v>1113</v>
      </c>
      <c r="L1515" s="27"/>
      <c r="M1515" s="27"/>
    </row>
    <row r="1516" spans="1:13" ht="15.75" customHeight="1">
      <c r="A1516" s="22">
        <v>1394174</v>
      </c>
      <c r="B1516" s="23" t="s">
        <v>10110</v>
      </c>
      <c r="C1516" s="23" t="s">
        <v>10111</v>
      </c>
      <c r="D1516" s="23" t="s">
        <v>10112</v>
      </c>
      <c r="E1516" s="23" t="s">
        <v>2935</v>
      </c>
      <c r="F1516" s="23" t="s">
        <v>10113</v>
      </c>
      <c r="G1516" s="22">
        <v>1992</v>
      </c>
      <c r="H1516" s="24">
        <v>33878</v>
      </c>
      <c r="I1516" s="23"/>
      <c r="J1516" s="23"/>
      <c r="K1516" s="23"/>
      <c r="L1516" s="23"/>
      <c r="M1516" s="23"/>
    </row>
    <row r="1517" spans="1:13" ht="15.75" customHeight="1">
      <c r="A1517" s="22">
        <v>38597860</v>
      </c>
      <c r="B1517" s="23" t="s">
        <v>10114</v>
      </c>
      <c r="C1517" s="23" t="s">
        <v>10115</v>
      </c>
      <c r="D1517" s="23" t="s">
        <v>10116</v>
      </c>
      <c r="E1517" s="23" t="s">
        <v>4747</v>
      </c>
      <c r="F1517" s="23" t="s">
        <v>8416</v>
      </c>
      <c r="G1517" s="22">
        <v>2024</v>
      </c>
      <c r="H1517" s="24">
        <v>45392</v>
      </c>
      <c r="I1517" s="23"/>
      <c r="J1517" s="23"/>
      <c r="K1517" s="26" t="s">
        <v>4748</v>
      </c>
      <c r="L1517" s="27"/>
      <c r="M1517" s="27"/>
    </row>
    <row r="1518" spans="1:13" ht="15.75" customHeight="1">
      <c r="A1518" s="22">
        <v>20225269</v>
      </c>
      <c r="B1518" s="23" t="s">
        <v>10117</v>
      </c>
      <c r="C1518" s="23" t="s">
        <v>10118</v>
      </c>
      <c r="D1518" s="23" t="s">
        <v>10119</v>
      </c>
      <c r="E1518" s="23" t="s">
        <v>3028</v>
      </c>
      <c r="F1518" s="23" t="s">
        <v>7649</v>
      </c>
      <c r="G1518" s="22">
        <v>2010</v>
      </c>
      <c r="H1518" s="24">
        <v>40250</v>
      </c>
      <c r="I1518" s="23" t="s">
        <v>10120</v>
      </c>
      <c r="J1518" s="23" t="s">
        <v>10121</v>
      </c>
      <c r="K1518" s="26" t="s">
        <v>3029</v>
      </c>
      <c r="L1518" s="27"/>
      <c r="M1518" s="23"/>
    </row>
    <row r="1519" spans="1:13" ht="15.75" customHeight="1">
      <c r="A1519" s="22">
        <v>32534440</v>
      </c>
      <c r="B1519" s="23" t="s">
        <v>10122</v>
      </c>
      <c r="C1519" s="23" t="s">
        <v>10123</v>
      </c>
      <c r="D1519" s="23" t="s">
        <v>10124</v>
      </c>
      <c r="E1519" s="23" t="s">
        <v>2740</v>
      </c>
      <c r="F1519" s="23" t="s">
        <v>10125</v>
      </c>
      <c r="G1519" s="22">
        <v>2020</v>
      </c>
      <c r="H1519" s="24">
        <v>43996</v>
      </c>
      <c r="I1519" s="26" t="s">
        <v>10126</v>
      </c>
      <c r="J1519" s="27"/>
      <c r="K1519" s="26" t="s">
        <v>2741</v>
      </c>
      <c r="L1519" s="27"/>
      <c r="M1519" s="27"/>
    </row>
    <row r="1520" spans="1:13" ht="15.75" customHeight="1">
      <c r="A1520" s="22">
        <v>15936168</v>
      </c>
      <c r="B1520" s="23" t="s">
        <v>10127</v>
      </c>
      <c r="C1520" s="23" t="s">
        <v>10128</v>
      </c>
      <c r="D1520" s="23" t="s">
        <v>10129</v>
      </c>
      <c r="E1520" s="23" t="s">
        <v>1335</v>
      </c>
      <c r="F1520" s="23" t="s">
        <v>10130</v>
      </c>
      <c r="G1520" s="22">
        <v>2005</v>
      </c>
      <c r="H1520" s="24">
        <v>38510</v>
      </c>
      <c r="I1520" s="23"/>
      <c r="J1520" s="23"/>
      <c r="K1520" s="26" t="s">
        <v>1336</v>
      </c>
      <c r="L1520" s="27"/>
      <c r="M1520" s="27"/>
    </row>
    <row r="1521" spans="1:13" ht="15.75" customHeight="1">
      <c r="A1521" s="22">
        <v>26950725</v>
      </c>
      <c r="B1521" s="23" t="s">
        <v>10131</v>
      </c>
      <c r="C1521" s="23" t="s">
        <v>10132</v>
      </c>
      <c r="D1521" s="23" t="s">
        <v>10133</v>
      </c>
      <c r="E1521" s="23" t="s">
        <v>1739</v>
      </c>
      <c r="F1521" s="23" t="s">
        <v>5445</v>
      </c>
      <c r="G1521" s="22">
        <v>2016</v>
      </c>
      <c r="H1521" s="24">
        <v>42437</v>
      </c>
      <c r="I1521" s="23"/>
      <c r="J1521" s="23"/>
      <c r="K1521" s="26" t="s">
        <v>1740</v>
      </c>
      <c r="L1521" s="27"/>
      <c r="M1521" s="27"/>
    </row>
    <row r="1522" spans="1:13" ht="15.75" customHeight="1">
      <c r="A1522" s="22">
        <v>9700844</v>
      </c>
      <c r="B1522" s="23" t="s">
        <v>10134</v>
      </c>
      <c r="C1522" s="23" t="s">
        <v>7130</v>
      </c>
      <c r="D1522" s="23" t="s">
        <v>10135</v>
      </c>
      <c r="E1522" s="23" t="s">
        <v>4017</v>
      </c>
      <c r="F1522" s="23" t="s">
        <v>10136</v>
      </c>
      <c r="G1522" s="22">
        <v>1998</v>
      </c>
      <c r="H1522" s="24">
        <v>36020</v>
      </c>
      <c r="I1522" s="23"/>
      <c r="J1522" s="23"/>
      <c r="K1522" s="23"/>
      <c r="L1522" s="23"/>
      <c r="M1522" s="23"/>
    </row>
    <row r="1523" spans="1:13" ht="15.75" customHeight="1">
      <c r="A1523" s="22">
        <v>7955311</v>
      </c>
      <c r="B1523" s="23" t="s">
        <v>10137</v>
      </c>
      <c r="C1523" s="23" t="s">
        <v>10138</v>
      </c>
      <c r="D1523" s="23" t="s">
        <v>10139</v>
      </c>
      <c r="E1523" s="23" t="s">
        <v>1239</v>
      </c>
      <c r="F1523" s="23" t="s">
        <v>10140</v>
      </c>
      <c r="G1523" s="22">
        <v>1994</v>
      </c>
      <c r="H1523" s="24">
        <v>34578</v>
      </c>
      <c r="I1523" s="23"/>
      <c r="J1523" s="23"/>
      <c r="K1523" s="26" t="s">
        <v>1240</v>
      </c>
      <c r="L1523" s="27"/>
      <c r="M1523" s="23"/>
    </row>
    <row r="1524" spans="1:13" ht="15.75" customHeight="1">
      <c r="A1524" s="22">
        <v>36882347</v>
      </c>
      <c r="B1524" s="23" t="s">
        <v>10141</v>
      </c>
      <c r="C1524" s="23" t="s">
        <v>10142</v>
      </c>
      <c r="D1524" s="23" t="s">
        <v>10143</v>
      </c>
      <c r="E1524" s="23" t="s">
        <v>2963</v>
      </c>
      <c r="F1524" s="23" t="s">
        <v>8416</v>
      </c>
      <c r="G1524" s="22">
        <v>2023</v>
      </c>
      <c r="H1524" s="24">
        <v>44992</v>
      </c>
      <c r="I1524" s="23"/>
      <c r="J1524" s="23"/>
      <c r="K1524" s="26" t="s">
        <v>2964</v>
      </c>
      <c r="L1524" s="27"/>
      <c r="M1524" s="27"/>
    </row>
    <row r="1525" spans="1:13" ht="15.75" customHeight="1">
      <c r="A1525" s="22">
        <v>38937530</v>
      </c>
      <c r="B1525" s="23" t="s">
        <v>10144</v>
      </c>
      <c r="C1525" s="23" t="s">
        <v>10145</v>
      </c>
      <c r="D1525" s="23" t="s">
        <v>10146</v>
      </c>
      <c r="E1525" s="23" t="s">
        <v>4780</v>
      </c>
      <c r="F1525" s="23" t="s">
        <v>5043</v>
      </c>
      <c r="G1525" s="22">
        <v>2024</v>
      </c>
      <c r="H1525" s="24">
        <v>45470</v>
      </c>
      <c r="I1525" s="26" t="s">
        <v>10147</v>
      </c>
      <c r="J1525" s="27"/>
      <c r="K1525" s="26" t="s">
        <v>4781</v>
      </c>
      <c r="L1525" s="27"/>
      <c r="M1525" s="27"/>
    </row>
    <row r="1526" spans="1:13" ht="15.75" customHeight="1">
      <c r="A1526" s="22">
        <v>33133590</v>
      </c>
      <c r="B1526" s="23" t="s">
        <v>10148</v>
      </c>
      <c r="C1526" s="23" t="s">
        <v>10149</v>
      </c>
      <c r="D1526" s="23" t="s">
        <v>10150</v>
      </c>
      <c r="E1526" s="23" t="s">
        <v>988</v>
      </c>
      <c r="F1526" s="23" t="s">
        <v>10151</v>
      </c>
      <c r="G1526" s="22">
        <v>2020</v>
      </c>
      <c r="H1526" s="24">
        <v>44137</v>
      </c>
      <c r="I1526" s="26" t="s">
        <v>10152</v>
      </c>
      <c r="J1526" s="27"/>
      <c r="K1526" s="26" t="s">
        <v>989</v>
      </c>
      <c r="L1526" s="27"/>
      <c r="M1526" s="27"/>
    </row>
    <row r="1527" spans="1:13" ht="15.75" customHeight="1">
      <c r="A1527" s="22">
        <v>33819481</v>
      </c>
      <c r="B1527" s="23" t="s">
        <v>10153</v>
      </c>
      <c r="C1527" s="23" t="s">
        <v>10154</v>
      </c>
      <c r="D1527" s="23" t="s">
        <v>10155</v>
      </c>
      <c r="E1527" s="23" t="s">
        <v>517</v>
      </c>
      <c r="F1527" s="23" t="s">
        <v>4876</v>
      </c>
      <c r="G1527" s="22">
        <v>2021</v>
      </c>
      <c r="H1527" s="24">
        <v>44291</v>
      </c>
      <c r="I1527" s="23"/>
      <c r="J1527" s="23"/>
      <c r="K1527" s="26" t="s">
        <v>518</v>
      </c>
      <c r="L1527" s="27"/>
      <c r="M1527" s="27"/>
    </row>
    <row r="1528" spans="1:13" ht="15.75" customHeight="1">
      <c r="A1528" s="22">
        <v>21279280</v>
      </c>
      <c r="B1528" s="23" t="s">
        <v>10156</v>
      </c>
      <c r="C1528" s="23" t="s">
        <v>10157</v>
      </c>
      <c r="D1528" s="23" t="s">
        <v>10158</v>
      </c>
      <c r="E1528" s="23" t="s">
        <v>2124</v>
      </c>
      <c r="F1528" s="23" t="s">
        <v>10159</v>
      </c>
      <c r="G1528" s="22">
        <v>2010</v>
      </c>
      <c r="H1528" s="24">
        <v>40575</v>
      </c>
      <c r="I1528" s="23"/>
      <c r="J1528" s="23"/>
      <c r="K1528" s="23"/>
      <c r="L1528" s="23"/>
      <c r="M1528" s="23"/>
    </row>
    <row r="1529" spans="1:13" ht="15.75" customHeight="1">
      <c r="A1529" s="22">
        <v>38414857</v>
      </c>
      <c r="B1529" s="23" t="s">
        <v>10160</v>
      </c>
      <c r="C1529" s="23" t="s">
        <v>10161</v>
      </c>
      <c r="D1529" s="23" t="s">
        <v>10162</v>
      </c>
      <c r="E1529" s="23" t="s">
        <v>2740</v>
      </c>
      <c r="F1529" s="23" t="s">
        <v>10125</v>
      </c>
      <c r="G1529" s="22">
        <v>2024</v>
      </c>
      <c r="H1529" s="24">
        <v>45350</v>
      </c>
      <c r="I1529" s="26" t="s">
        <v>10163</v>
      </c>
      <c r="J1529" s="27"/>
      <c r="K1529" s="26" t="s">
        <v>4733</v>
      </c>
      <c r="L1529" s="27"/>
      <c r="M1529" s="27"/>
    </row>
    <row r="1530" spans="1:13" ht="15.75" customHeight="1">
      <c r="A1530" s="22">
        <v>30013962</v>
      </c>
      <c r="B1530" s="23" t="s">
        <v>10164</v>
      </c>
      <c r="C1530" s="23" t="s">
        <v>10165</v>
      </c>
      <c r="D1530" s="23" t="s">
        <v>10166</v>
      </c>
      <c r="E1530" s="23" t="s">
        <v>3938</v>
      </c>
      <c r="F1530" s="23" t="s">
        <v>9609</v>
      </c>
      <c r="G1530" s="22">
        <v>2018</v>
      </c>
      <c r="H1530" s="24">
        <v>43299</v>
      </c>
      <c r="I1530" s="26" t="s">
        <v>10167</v>
      </c>
      <c r="J1530" s="27"/>
      <c r="K1530" s="26" t="s">
        <v>3939</v>
      </c>
      <c r="L1530" s="27"/>
      <c r="M1530" s="23"/>
    </row>
    <row r="1531" spans="1:13" ht="15.75" customHeight="1">
      <c r="A1531" s="22">
        <v>2560619</v>
      </c>
      <c r="B1531" s="23" t="s">
        <v>10168</v>
      </c>
      <c r="C1531" s="23" t="s">
        <v>10169</v>
      </c>
      <c r="D1531" s="23" t="s">
        <v>10170</v>
      </c>
      <c r="E1531" s="23" t="s">
        <v>1320</v>
      </c>
      <c r="F1531" s="23" t="s">
        <v>7639</v>
      </c>
      <c r="G1531" s="22">
        <v>1989</v>
      </c>
      <c r="H1531" s="24">
        <v>32813</v>
      </c>
      <c r="I1531" s="23"/>
      <c r="J1531" s="23"/>
      <c r="K1531" s="23"/>
      <c r="L1531" s="23"/>
      <c r="M1531" s="23"/>
    </row>
    <row r="1532" spans="1:13" ht="15.75" customHeight="1">
      <c r="A1532" s="22">
        <v>30188990</v>
      </c>
      <c r="B1532" s="23" t="s">
        <v>10171</v>
      </c>
      <c r="C1532" s="23" t="s">
        <v>10172</v>
      </c>
      <c r="D1532" s="23" t="s">
        <v>10173</v>
      </c>
      <c r="E1532" s="23" t="s">
        <v>4332</v>
      </c>
      <c r="F1532" s="23" t="s">
        <v>5080</v>
      </c>
      <c r="G1532" s="22">
        <v>2019</v>
      </c>
      <c r="H1532" s="24">
        <v>43350</v>
      </c>
      <c r="I1532" s="26" t="s">
        <v>10174</v>
      </c>
      <c r="J1532" s="27"/>
      <c r="K1532" s="26" t="s">
        <v>4333</v>
      </c>
      <c r="L1532" s="27"/>
      <c r="M1532" s="23"/>
    </row>
    <row r="1533" spans="1:13" ht="15.75" customHeight="1">
      <c r="A1533" s="22">
        <v>17124085</v>
      </c>
      <c r="B1533" s="23" t="s">
        <v>10175</v>
      </c>
      <c r="C1533" s="23" t="s">
        <v>10176</v>
      </c>
      <c r="D1533" s="23" t="s">
        <v>10177</v>
      </c>
      <c r="E1533" s="23" t="s">
        <v>4386</v>
      </c>
      <c r="F1533" s="23" t="s">
        <v>10178</v>
      </c>
      <c r="G1533" s="22">
        <v>2006</v>
      </c>
      <c r="H1533" s="24">
        <v>39046</v>
      </c>
      <c r="I1533" s="23"/>
      <c r="J1533" s="23"/>
      <c r="K1533" s="26" t="s">
        <v>4387</v>
      </c>
      <c r="L1533" s="27"/>
      <c r="M1533" s="27"/>
    </row>
    <row r="1534" spans="1:13" ht="15.75" customHeight="1">
      <c r="A1534" s="22">
        <v>21748845</v>
      </c>
      <c r="B1534" s="23" t="s">
        <v>10179</v>
      </c>
      <c r="C1534" s="23" t="s">
        <v>10180</v>
      </c>
      <c r="D1534" s="23" t="s">
        <v>10181</v>
      </c>
      <c r="E1534" s="23" t="s">
        <v>2048</v>
      </c>
      <c r="F1534" s="23" t="s">
        <v>5295</v>
      </c>
      <c r="G1534" s="22">
        <v>2011</v>
      </c>
      <c r="H1534" s="24">
        <v>40737</v>
      </c>
      <c r="I1534" s="23"/>
      <c r="J1534" s="23"/>
      <c r="K1534" s="26" t="s">
        <v>2049</v>
      </c>
      <c r="L1534" s="27"/>
      <c r="M1534" s="23"/>
    </row>
    <row r="1535" spans="1:13" ht="15.75" customHeight="1">
      <c r="A1535" s="22">
        <v>32047230</v>
      </c>
      <c r="B1535" s="23" t="s">
        <v>10182</v>
      </c>
      <c r="C1535" s="23" t="s">
        <v>10183</v>
      </c>
      <c r="D1535" s="23" t="s">
        <v>10184</v>
      </c>
      <c r="E1535" s="23" t="s">
        <v>1322</v>
      </c>
      <c r="F1535" s="23" t="s">
        <v>8947</v>
      </c>
      <c r="G1535" s="22">
        <v>2020</v>
      </c>
      <c r="H1535" s="24">
        <v>43874</v>
      </c>
      <c r="I1535" s="23"/>
      <c r="J1535" s="23"/>
      <c r="K1535" s="26" t="s">
        <v>1323</v>
      </c>
      <c r="L1535" s="27"/>
      <c r="M1535" s="27"/>
    </row>
    <row r="1536" spans="1:13" ht="15.75" customHeight="1">
      <c r="A1536" s="22">
        <v>30562175</v>
      </c>
      <c r="B1536" s="23" t="s">
        <v>10185</v>
      </c>
      <c r="C1536" s="23" t="s">
        <v>10186</v>
      </c>
      <c r="D1536" s="23" t="s">
        <v>10187</v>
      </c>
      <c r="E1536" s="23" t="s">
        <v>1769</v>
      </c>
      <c r="F1536" s="23" t="s">
        <v>8940</v>
      </c>
      <c r="G1536" s="22">
        <v>2019</v>
      </c>
      <c r="H1536" s="24">
        <v>43453</v>
      </c>
      <c r="I1536" s="23"/>
      <c r="J1536" s="23"/>
      <c r="K1536" s="26" t="s">
        <v>1770</v>
      </c>
      <c r="L1536" s="27"/>
      <c r="M1536" s="27"/>
    </row>
    <row r="1537" spans="1:13" ht="15.75" customHeight="1">
      <c r="A1537" s="22">
        <v>20466274</v>
      </c>
      <c r="B1537" s="23" t="s">
        <v>10188</v>
      </c>
      <c r="C1537" s="23" t="s">
        <v>10189</v>
      </c>
      <c r="D1537" s="23" t="s">
        <v>10190</v>
      </c>
      <c r="E1537" s="23" t="s">
        <v>2339</v>
      </c>
      <c r="F1537" s="23" t="s">
        <v>8612</v>
      </c>
      <c r="G1537" s="22">
        <v>2010</v>
      </c>
      <c r="H1537" s="24">
        <v>40313</v>
      </c>
      <c r="I1537" s="23"/>
      <c r="J1537" s="23"/>
      <c r="K1537" s="26" t="s">
        <v>2342</v>
      </c>
      <c r="L1537" s="27"/>
      <c r="M1537" s="27"/>
    </row>
    <row r="1538" spans="1:13" ht="15.75" customHeight="1">
      <c r="A1538" s="22">
        <v>28096984</v>
      </c>
      <c r="B1538" s="23" t="s">
        <v>10191</v>
      </c>
      <c r="C1538" s="23" t="s">
        <v>5778</v>
      </c>
      <c r="D1538" s="23" t="s">
        <v>10192</v>
      </c>
      <c r="E1538" s="23" t="s">
        <v>2490</v>
      </c>
      <c r="F1538" s="23" t="s">
        <v>9775</v>
      </c>
      <c r="G1538" s="22">
        <v>2016</v>
      </c>
      <c r="H1538" s="24">
        <v>42754</v>
      </c>
      <c r="I1538" s="26" t="s">
        <v>10193</v>
      </c>
      <c r="J1538" s="27"/>
      <c r="K1538" s="26" t="s">
        <v>2493</v>
      </c>
      <c r="L1538" s="27"/>
      <c r="M1538" s="23"/>
    </row>
    <row r="1539" spans="1:13" ht="15.75" customHeight="1">
      <c r="A1539" s="22">
        <v>34939755</v>
      </c>
      <c r="B1539" s="23" t="s">
        <v>10194</v>
      </c>
      <c r="C1539" s="23" t="s">
        <v>10195</v>
      </c>
      <c r="D1539" s="23" t="s">
        <v>10196</v>
      </c>
      <c r="E1539" s="23" t="s">
        <v>3857</v>
      </c>
      <c r="F1539" s="23" t="s">
        <v>10197</v>
      </c>
      <c r="G1539" s="22">
        <v>2021</v>
      </c>
      <c r="H1539" s="24">
        <v>44553</v>
      </c>
      <c r="I1539" s="26" t="s">
        <v>10198</v>
      </c>
      <c r="J1539" s="27"/>
      <c r="K1539" s="26" t="s">
        <v>3858</v>
      </c>
      <c r="L1539" s="27"/>
      <c r="M1539" s="23"/>
    </row>
    <row r="1540" spans="1:13" ht="15.75" customHeight="1">
      <c r="A1540" s="22">
        <v>24315842</v>
      </c>
      <c r="B1540" s="23" t="s">
        <v>10199</v>
      </c>
      <c r="C1540" s="23" t="s">
        <v>10200</v>
      </c>
      <c r="D1540" s="23" t="s">
        <v>10201</v>
      </c>
      <c r="E1540" s="23" t="s">
        <v>475</v>
      </c>
      <c r="F1540" s="23" t="s">
        <v>5076</v>
      </c>
      <c r="G1540" s="22">
        <v>2014</v>
      </c>
      <c r="H1540" s="24">
        <v>41618</v>
      </c>
      <c r="I1540" s="23"/>
      <c r="J1540" s="23"/>
      <c r="K1540" s="26" t="s">
        <v>476</v>
      </c>
      <c r="L1540" s="27"/>
      <c r="M1540" s="27"/>
    </row>
    <row r="1541" spans="1:13" ht="15.75" customHeight="1">
      <c r="A1541" s="22">
        <v>31380705</v>
      </c>
      <c r="B1541" s="23" t="s">
        <v>10202</v>
      </c>
      <c r="C1541" s="23" t="s">
        <v>10203</v>
      </c>
      <c r="D1541" s="23" t="s">
        <v>10204</v>
      </c>
      <c r="E1541" s="23" t="s">
        <v>449</v>
      </c>
      <c r="F1541" s="23" t="s">
        <v>10205</v>
      </c>
      <c r="G1541" s="22">
        <v>2019</v>
      </c>
      <c r="H1541" s="24">
        <v>43683</v>
      </c>
      <c r="I1541" s="23"/>
      <c r="J1541" s="23"/>
      <c r="K1541" s="26" t="s">
        <v>450</v>
      </c>
      <c r="L1541" s="27"/>
      <c r="M1541" s="27"/>
    </row>
    <row r="1542" spans="1:13" ht="15.75" customHeight="1">
      <c r="A1542" s="22">
        <v>19845116</v>
      </c>
      <c r="B1542" s="23" t="s">
        <v>10206</v>
      </c>
      <c r="C1542" s="23" t="s">
        <v>10207</v>
      </c>
      <c r="D1542" s="23" t="s">
        <v>10208</v>
      </c>
      <c r="E1542" s="23" t="s">
        <v>545</v>
      </c>
      <c r="F1542" s="23" t="s">
        <v>5103</v>
      </c>
      <c r="G1542" s="22">
        <v>2009</v>
      </c>
      <c r="H1542" s="24">
        <v>40109</v>
      </c>
      <c r="I1542" s="23"/>
      <c r="J1542" s="23"/>
      <c r="K1542" s="23"/>
      <c r="L1542" s="23"/>
      <c r="M1542" s="23"/>
    </row>
    <row r="1543" spans="1:13" ht="15.75" customHeight="1">
      <c r="A1543" s="22">
        <v>27486740</v>
      </c>
      <c r="B1543" s="23" t="s">
        <v>10209</v>
      </c>
      <c r="C1543" s="23" t="s">
        <v>10210</v>
      </c>
      <c r="D1543" s="23" t="s">
        <v>10211</v>
      </c>
      <c r="E1543" s="23" t="s">
        <v>3735</v>
      </c>
      <c r="F1543" s="23" t="s">
        <v>9844</v>
      </c>
      <c r="G1543" s="22">
        <v>2016</v>
      </c>
      <c r="H1543" s="24">
        <v>42586</v>
      </c>
      <c r="I1543" s="26" t="s">
        <v>10212</v>
      </c>
      <c r="J1543" s="27"/>
      <c r="K1543" s="26" t="s">
        <v>3736</v>
      </c>
      <c r="L1543" s="27"/>
      <c r="M1543" s="23"/>
    </row>
    <row r="1544" spans="1:13" ht="15.75" customHeight="1">
      <c r="A1544" s="22">
        <v>36964509</v>
      </c>
      <c r="B1544" s="23" t="s">
        <v>10213</v>
      </c>
      <c r="C1544" s="23" t="s">
        <v>10214</v>
      </c>
      <c r="D1544" s="23" t="s">
        <v>10215</v>
      </c>
      <c r="E1544" s="23" t="s">
        <v>2899</v>
      </c>
      <c r="F1544" s="23" t="s">
        <v>10216</v>
      </c>
      <c r="G1544" s="22">
        <v>2023</v>
      </c>
      <c r="H1544" s="24">
        <v>45010</v>
      </c>
      <c r="I1544" s="26" t="s">
        <v>10217</v>
      </c>
      <c r="J1544" s="27"/>
      <c r="K1544" s="26" t="s">
        <v>2900</v>
      </c>
      <c r="L1544" s="27"/>
      <c r="M1544" s="27"/>
    </row>
    <row r="1545" spans="1:13" ht="15.75" customHeight="1">
      <c r="A1545" s="22">
        <v>31942610</v>
      </c>
      <c r="B1545" s="23" t="s">
        <v>10218</v>
      </c>
      <c r="C1545" s="23" t="s">
        <v>10219</v>
      </c>
      <c r="D1545" s="23" t="s">
        <v>10220</v>
      </c>
      <c r="E1545" s="23" t="s">
        <v>2668</v>
      </c>
      <c r="F1545" s="23" t="s">
        <v>5343</v>
      </c>
      <c r="G1545" s="22">
        <v>2020</v>
      </c>
      <c r="H1545" s="24">
        <v>43847</v>
      </c>
      <c r="I1545" s="26" t="s">
        <v>10221</v>
      </c>
      <c r="J1545" s="27"/>
      <c r="K1545" s="26" t="s">
        <v>2669</v>
      </c>
      <c r="L1545" s="27"/>
      <c r="M1545" s="27"/>
    </row>
    <row r="1546" spans="1:13" ht="15.75" customHeight="1">
      <c r="A1546" s="22">
        <v>21720806</v>
      </c>
      <c r="B1546" s="23" t="s">
        <v>10222</v>
      </c>
      <c r="C1546" s="23" t="s">
        <v>10223</v>
      </c>
      <c r="D1546" s="23" t="s">
        <v>10224</v>
      </c>
      <c r="E1546" s="23" t="s">
        <v>2746</v>
      </c>
      <c r="F1546" s="23" t="s">
        <v>10225</v>
      </c>
      <c r="G1546" s="22">
        <v>2011</v>
      </c>
      <c r="H1546" s="24">
        <v>40726</v>
      </c>
      <c r="I1546" s="23" t="s">
        <v>10226</v>
      </c>
      <c r="J1546" s="23" t="s">
        <v>10227</v>
      </c>
      <c r="K1546" s="26" t="s">
        <v>2747</v>
      </c>
      <c r="L1546" s="27"/>
      <c r="M1546" s="27"/>
    </row>
    <row r="1547" spans="1:13" ht="15.75" customHeight="1">
      <c r="A1547" s="22">
        <v>25582535</v>
      </c>
      <c r="B1547" s="23" t="s">
        <v>10228</v>
      </c>
      <c r="C1547" s="23" t="s">
        <v>10229</v>
      </c>
      <c r="D1547" s="23" t="s">
        <v>10230</v>
      </c>
      <c r="E1547" s="23" t="s">
        <v>4283</v>
      </c>
      <c r="F1547" s="23" t="s">
        <v>6395</v>
      </c>
      <c r="G1547" s="22">
        <v>2015</v>
      </c>
      <c r="H1547" s="24">
        <v>42018</v>
      </c>
      <c r="I1547" s="23"/>
      <c r="J1547" s="23"/>
      <c r="K1547" s="26" t="s">
        <v>4284</v>
      </c>
      <c r="L1547" s="27"/>
      <c r="M1547" s="27"/>
    </row>
    <row r="1548" spans="1:13" ht="15.75" customHeight="1">
      <c r="A1548" s="22">
        <v>21037551</v>
      </c>
      <c r="B1548" s="23" t="s">
        <v>10231</v>
      </c>
      <c r="C1548" s="23" t="s">
        <v>10232</v>
      </c>
      <c r="D1548" s="23" t="s">
        <v>10233</v>
      </c>
      <c r="E1548" s="23" t="s">
        <v>3871</v>
      </c>
      <c r="F1548" s="23" t="s">
        <v>10234</v>
      </c>
      <c r="G1548" s="22">
        <v>2010</v>
      </c>
      <c r="H1548" s="24">
        <v>40484</v>
      </c>
      <c r="I1548" s="23"/>
      <c r="J1548" s="23"/>
      <c r="K1548" s="23"/>
      <c r="L1548" s="23"/>
      <c r="M1548" s="23"/>
    </row>
    <row r="1549" spans="1:13" ht="15.75" customHeight="1">
      <c r="A1549" s="22">
        <v>34595132</v>
      </c>
      <c r="B1549" s="23" t="s">
        <v>10235</v>
      </c>
      <c r="C1549" s="23" t="s">
        <v>10236</v>
      </c>
      <c r="D1549" s="23" t="s">
        <v>10237</v>
      </c>
      <c r="E1549" s="23" t="s">
        <v>4697</v>
      </c>
      <c r="F1549" s="23" t="s">
        <v>9191</v>
      </c>
      <c r="G1549" s="22">
        <v>2021</v>
      </c>
      <c r="H1549" s="24">
        <v>44470</v>
      </c>
      <c r="I1549" s="26" t="s">
        <v>10238</v>
      </c>
      <c r="J1549" s="27"/>
      <c r="K1549" s="26" t="s">
        <v>4698</v>
      </c>
      <c r="L1549" s="27"/>
      <c r="M1549" s="27"/>
    </row>
    <row r="1550" spans="1:13" ht="15.75" customHeight="1">
      <c r="A1550" s="22">
        <v>9886378</v>
      </c>
      <c r="B1550" s="23" t="s">
        <v>10239</v>
      </c>
      <c r="C1550" s="23" t="s">
        <v>10240</v>
      </c>
      <c r="D1550" s="23" t="s">
        <v>10241</v>
      </c>
      <c r="E1550" s="23" t="s">
        <v>4341</v>
      </c>
      <c r="F1550" s="23" t="s">
        <v>6293</v>
      </c>
      <c r="G1550" s="22">
        <v>1999</v>
      </c>
      <c r="H1550" s="24">
        <v>36174</v>
      </c>
      <c r="I1550" s="23"/>
      <c r="J1550" s="23"/>
      <c r="K1550" s="23"/>
      <c r="L1550" s="23"/>
      <c r="M1550" s="23"/>
    </row>
    <row r="1551" spans="1:13" ht="15.75" customHeight="1">
      <c r="A1551" s="22">
        <v>11171895</v>
      </c>
      <c r="B1551" s="23" t="s">
        <v>10242</v>
      </c>
      <c r="C1551" s="23" t="s">
        <v>10243</v>
      </c>
      <c r="D1551" s="23" t="s">
        <v>10244</v>
      </c>
      <c r="E1551" s="23" t="s">
        <v>3209</v>
      </c>
      <c r="F1551" s="23" t="s">
        <v>7413</v>
      </c>
      <c r="G1551" s="22">
        <v>2001</v>
      </c>
      <c r="H1551" s="24">
        <v>36937</v>
      </c>
      <c r="I1551" s="23"/>
      <c r="J1551" s="23"/>
      <c r="K1551" s="26" t="s">
        <v>3210</v>
      </c>
      <c r="L1551" s="27"/>
      <c r="M1551" s="23"/>
    </row>
    <row r="1552" spans="1:13" ht="15.75" customHeight="1">
      <c r="A1552" s="22">
        <v>29756385</v>
      </c>
      <c r="B1552" s="23" t="s">
        <v>10245</v>
      </c>
      <c r="C1552" s="23" t="s">
        <v>10246</v>
      </c>
      <c r="D1552" s="23" t="s">
        <v>10247</v>
      </c>
      <c r="E1552" s="23" t="s">
        <v>842</v>
      </c>
      <c r="F1552" s="23" t="s">
        <v>5291</v>
      </c>
      <c r="G1552" s="22">
        <v>2018</v>
      </c>
      <c r="H1552" s="24">
        <v>43235</v>
      </c>
      <c r="I1552" s="23" t="s">
        <v>10248</v>
      </c>
      <c r="J1552" s="23" t="s">
        <v>10249</v>
      </c>
      <c r="K1552" s="26" t="s">
        <v>843</v>
      </c>
      <c r="L1552" s="27"/>
      <c r="M1552" s="23"/>
    </row>
    <row r="1553" spans="1:13" ht="15.75" customHeight="1">
      <c r="A1553" s="22">
        <v>36216522</v>
      </c>
      <c r="B1553" s="23" t="s">
        <v>10250</v>
      </c>
      <c r="C1553" s="23" t="s">
        <v>10251</v>
      </c>
      <c r="D1553" s="23" t="s">
        <v>10252</v>
      </c>
      <c r="E1553" s="23" t="s">
        <v>1451</v>
      </c>
      <c r="F1553" s="23" t="s">
        <v>7413</v>
      </c>
      <c r="G1553" s="22">
        <v>2022</v>
      </c>
      <c r="H1553" s="24">
        <v>44844</v>
      </c>
      <c r="I1553" s="23"/>
      <c r="J1553" s="23"/>
      <c r="K1553" s="26" t="s">
        <v>1452</v>
      </c>
      <c r="L1553" s="27"/>
      <c r="M1553" s="27"/>
    </row>
    <row r="1554" spans="1:13" ht="15.75" customHeight="1">
      <c r="A1554" s="22">
        <v>25946433</v>
      </c>
      <c r="B1554" s="23" t="s">
        <v>10253</v>
      </c>
      <c r="C1554" s="23" t="s">
        <v>10254</v>
      </c>
      <c r="D1554" s="23" t="s">
        <v>10255</v>
      </c>
      <c r="E1554" s="23" t="s">
        <v>184</v>
      </c>
      <c r="F1554" s="23" t="s">
        <v>4923</v>
      </c>
      <c r="G1554" s="22">
        <v>2015</v>
      </c>
      <c r="H1554" s="24">
        <v>42131</v>
      </c>
      <c r="I1554" s="23"/>
      <c r="J1554" s="23"/>
      <c r="K1554" s="26" t="s">
        <v>661</v>
      </c>
      <c r="L1554" s="27"/>
      <c r="M1554" s="23"/>
    </row>
    <row r="1555" spans="1:13" ht="15.75" customHeight="1">
      <c r="A1555" s="22">
        <v>22414904</v>
      </c>
      <c r="B1555" s="23" t="s">
        <v>10256</v>
      </c>
      <c r="C1555" s="23" t="s">
        <v>10257</v>
      </c>
      <c r="D1555" s="23" t="s">
        <v>10258</v>
      </c>
      <c r="E1555" s="23" t="s">
        <v>2462</v>
      </c>
      <c r="F1555" s="23" t="s">
        <v>5982</v>
      </c>
      <c r="G1555" s="22">
        <v>2012</v>
      </c>
      <c r="H1555" s="24">
        <v>40983</v>
      </c>
      <c r="I1555" s="23"/>
      <c r="J1555" s="23"/>
      <c r="K1555" s="26" t="s">
        <v>2463</v>
      </c>
      <c r="L1555" s="27"/>
      <c r="M1555" s="27"/>
    </row>
    <row r="1556" spans="1:13" ht="15.75" customHeight="1">
      <c r="A1556" s="22">
        <v>26046087</v>
      </c>
      <c r="B1556" s="23" t="s">
        <v>10259</v>
      </c>
      <c r="C1556" s="23" t="s">
        <v>10260</v>
      </c>
      <c r="D1556" s="23" t="s">
        <v>10261</v>
      </c>
      <c r="E1556" s="23" t="s">
        <v>709</v>
      </c>
      <c r="F1556" s="23" t="s">
        <v>10262</v>
      </c>
      <c r="G1556" s="22">
        <v>2015</v>
      </c>
      <c r="H1556" s="24">
        <v>42161</v>
      </c>
      <c r="I1556" s="26" t="s">
        <v>10263</v>
      </c>
      <c r="J1556" s="27"/>
      <c r="K1556" s="26" t="s">
        <v>710</v>
      </c>
      <c r="L1556" s="27"/>
      <c r="M1556" s="27"/>
    </row>
    <row r="1557" spans="1:13" ht="15.75" customHeight="1">
      <c r="A1557" s="22">
        <v>30168657</v>
      </c>
      <c r="B1557" s="23" t="s">
        <v>10264</v>
      </c>
      <c r="C1557" s="23" t="s">
        <v>10265</v>
      </c>
      <c r="D1557" s="23" t="s">
        <v>10266</v>
      </c>
      <c r="E1557" s="23" t="s">
        <v>3307</v>
      </c>
      <c r="F1557" s="23" t="s">
        <v>10267</v>
      </c>
      <c r="G1557" s="22">
        <v>2018</v>
      </c>
      <c r="H1557" s="24">
        <v>43344</v>
      </c>
      <c r="I1557" s="26" t="s">
        <v>10268</v>
      </c>
      <c r="J1557" s="27"/>
      <c r="K1557" s="26" t="s">
        <v>3308</v>
      </c>
      <c r="L1557" s="27"/>
      <c r="M1557" s="23"/>
    </row>
    <row r="1558" spans="1:13" ht="15.75" customHeight="1">
      <c r="A1558" s="22">
        <v>16174601</v>
      </c>
      <c r="B1558" s="23" t="s">
        <v>10269</v>
      </c>
      <c r="C1558" s="23" t="s">
        <v>10270</v>
      </c>
      <c r="D1558" s="23" t="s">
        <v>10271</v>
      </c>
      <c r="E1558" s="23" t="s">
        <v>3268</v>
      </c>
      <c r="F1558" s="23" t="s">
        <v>10272</v>
      </c>
      <c r="G1558" s="22">
        <v>2005</v>
      </c>
      <c r="H1558" s="24">
        <v>38617</v>
      </c>
      <c r="I1558" s="23"/>
      <c r="J1558" s="23"/>
      <c r="K1558" s="26" t="s">
        <v>3269</v>
      </c>
      <c r="L1558" s="27"/>
      <c r="M1558" s="23"/>
    </row>
    <row r="1559" spans="1:13" ht="15.75" customHeight="1">
      <c r="A1559" s="22">
        <v>33533068</v>
      </c>
      <c r="B1559" s="23" t="s">
        <v>10273</v>
      </c>
      <c r="C1559" s="23" t="s">
        <v>10274</v>
      </c>
      <c r="D1559" s="23" t="s">
        <v>10275</v>
      </c>
      <c r="E1559" s="23" t="s">
        <v>282</v>
      </c>
      <c r="F1559" s="23" t="s">
        <v>4974</v>
      </c>
      <c r="G1559" s="22">
        <v>2021</v>
      </c>
      <c r="H1559" s="24">
        <v>44230</v>
      </c>
      <c r="I1559" s="23"/>
      <c r="J1559" s="23"/>
      <c r="K1559" s="26" t="s">
        <v>413</v>
      </c>
      <c r="L1559" s="27"/>
      <c r="M1559" s="23"/>
    </row>
    <row r="1560" spans="1:13" ht="15.75" customHeight="1">
      <c r="A1560" s="22">
        <v>19667214</v>
      </c>
      <c r="B1560" s="23" t="s">
        <v>10276</v>
      </c>
      <c r="C1560" s="23" t="s">
        <v>10277</v>
      </c>
      <c r="D1560" s="23" t="s">
        <v>10278</v>
      </c>
      <c r="E1560" s="23" t="s">
        <v>4316</v>
      </c>
      <c r="F1560" s="23" t="s">
        <v>8689</v>
      </c>
      <c r="G1560" s="22">
        <v>2009</v>
      </c>
      <c r="H1560" s="24">
        <v>40037</v>
      </c>
      <c r="I1560" s="23" t="s">
        <v>10279</v>
      </c>
      <c r="J1560" s="23" t="s">
        <v>10280</v>
      </c>
      <c r="K1560" s="26" t="s">
        <v>4317</v>
      </c>
      <c r="L1560" s="27"/>
      <c r="M1560" s="27"/>
    </row>
    <row r="1561" spans="1:13" ht="15.75" customHeight="1">
      <c r="A1561" s="22">
        <v>1650955</v>
      </c>
      <c r="B1561" s="23" t="s">
        <v>10281</v>
      </c>
      <c r="C1561" s="23" t="s">
        <v>10282</v>
      </c>
      <c r="D1561" s="23" t="s">
        <v>10283</v>
      </c>
      <c r="E1561" s="23" t="s">
        <v>2033</v>
      </c>
      <c r="F1561" s="23" t="s">
        <v>10284</v>
      </c>
      <c r="G1561" s="22">
        <v>1991</v>
      </c>
      <c r="H1561" s="24">
        <v>33270</v>
      </c>
      <c r="I1561" s="23"/>
      <c r="J1561" s="23"/>
      <c r="K1561" s="26" t="s">
        <v>2034</v>
      </c>
      <c r="L1561" s="27"/>
      <c r="M1561" s="27"/>
    </row>
    <row r="1562" spans="1:13" ht="15.75" customHeight="1">
      <c r="A1562" s="22">
        <v>29787887</v>
      </c>
      <c r="B1562" s="23" t="s">
        <v>10285</v>
      </c>
      <c r="C1562" s="23" t="s">
        <v>10286</v>
      </c>
      <c r="D1562" s="23" t="s">
        <v>10287</v>
      </c>
      <c r="E1562" s="23" t="s">
        <v>945</v>
      </c>
      <c r="F1562" s="23" t="s">
        <v>4851</v>
      </c>
      <c r="G1562" s="22">
        <v>2019</v>
      </c>
      <c r="H1562" s="24">
        <v>43243</v>
      </c>
      <c r="I1562" s="23"/>
      <c r="J1562" s="23"/>
      <c r="K1562" s="26" t="s">
        <v>946</v>
      </c>
      <c r="L1562" s="27"/>
      <c r="M1562" s="27"/>
    </row>
    <row r="1563" spans="1:13" ht="15.75" customHeight="1">
      <c r="A1563" s="22">
        <v>32027295</v>
      </c>
      <c r="B1563" s="23" t="s">
        <v>10288</v>
      </c>
      <c r="C1563" s="23" t="s">
        <v>10289</v>
      </c>
      <c r="D1563" s="23" t="s">
        <v>10290</v>
      </c>
      <c r="E1563" s="23" t="s">
        <v>4679</v>
      </c>
      <c r="F1563" s="23" t="s">
        <v>6151</v>
      </c>
      <c r="G1563" s="22">
        <v>2020</v>
      </c>
      <c r="H1563" s="24">
        <v>43868</v>
      </c>
      <c r="I1563" s="23"/>
      <c r="J1563" s="23"/>
      <c r="K1563" s="26" t="s">
        <v>4680</v>
      </c>
      <c r="L1563" s="27"/>
      <c r="M1563" s="27"/>
    </row>
    <row r="1564" spans="1:13" ht="15.75" customHeight="1">
      <c r="A1564" s="22">
        <v>19099488</v>
      </c>
      <c r="B1564" s="23" t="s">
        <v>10291</v>
      </c>
      <c r="C1564" s="23" t="s">
        <v>10292</v>
      </c>
      <c r="D1564" s="23" t="s">
        <v>10293</v>
      </c>
      <c r="E1564" s="23" t="s">
        <v>1276</v>
      </c>
      <c r="F1564" s="23" t="s">
        <v>4992</v>
      </c>
      <c r="G1564" s="22">
        <v>2009</v>
      </c>
      <c r="H1564" s="24">
        <v>39805</v>
      </c>
      <c r="I1564" s="23"/>
      <c r="J1564" s="23"/>
      <c r="K1564" s="26" t="s">
        <v>1277</v>
      </c>
      <c r="L1564" s="27"/>
      <c r="M1564" s="23"/>
    </row>
    <row r="1565" spans="1:13" ht="15.75" customHeight="1">
      <c r="A1565" s="22">
        <v>36996872</v>
      </c>
      <c r="B1565" s="23" t="s">
        <v>10294</v>
      </c>
      <c r="C1565" s="23" t="s">
        <v>10295</v>
      </c>
      <c r="D1565" s="23" t="s">
        <v>10296</v>
      </c>
      <c r="E1565" s="23" t="s">
        <v>3262</v>
      </c>
      <c r="F1565" s="23" t="s">
        <v>4813</v>
      </c>
      <c r="G1565" s="22">
        <v>2023</v>
      </c>
      <c r="H1565" s="24">
        <v>45015</v>
      </c>
      <c r="I1565" s="26" t="s">
        <v>10297</v>
      </c>
      <c r="J1565" s="27"/>
      <c r="K1565" s="26" t="s">
        <v>3263</v>
      </c>
      <c r="L1565" s="27"/>
      <c r="M1565" s="27"/>
    </row>
    <row r="1566" spans="1:13" ht="15.75" customHeight="1">
      <c r="A1566" s="22">
        <v>25888743</v>
      </c>
      <c r="B1566" s="23" t="s">
        <v>10298</v>
      </c>
      <c r="C1566" s="23" t="s">
        <v>10299</v>
      </c>
      <c r="D1566" s="23" t="s">
        <v>10300</v>
      </c>
      <c r="E1566" s="23" t="s">
        <v>4043</v>
      </c>
      <c r="F1566" s="23" t="s">
        <v>7653</v>
      </c>
      <c r="G1566" s="22">
        <v>2015</v>
      </c>
      <c r="H1566" s="24">
        <v>42113</v>
      </c>
      <c r="I1566" s="26" t="s">
        <v>10301</v>
      </c>
      <c r="J1566" s="27"/>
      <c r="K1566" s="26" t="s">
        <v>4044</v>
      </c>
      <c r="L1566" s="27"/>
      <c r="M1566" s="27"/>
    </row>
    <row r="1567" spans="1:13" ht="15.75" customHeight="1">
      <c r="A1567" s="22">
        <v>21898692</v>
      </c>
      <c r="B1567" s="23" t="s">
        <v>10302</v>
      </c>
      <c r="C1567" s="23" t="s">
        <v>10303</v>
      </c>
      <c r="D1567" s="23" t="s">
        <v>10304</v>
      </c>
      <c r="E1567" s="23" t="s">
        <v>3282</v>
      </c>
      <c r="F1567" s="23" t="s">
        <v>10305</v>
      </c>
      <c r="G1567" s="22">
        <v>2011</v>
      </c>
      <c r="H1567" s="24">
        <v>40794</v>
      </c>
      <c r="I1567" s="23"/>
      <c r="J1567" s="23"/>
      <c r="K1567" s="26" t="s">
        <v>3283</v>
      </c>
      <c r="L1567" s="27"/>
      <c r="M1567" s="23"/>
    </row>
    <row r="1568" spans="1:13" ht="15.75" customHeight="1">
      <c r="A1568" s="22">
        <v>27402152</v>
      </c>
      <c r="B1568" s="23" t="s">
        <v>10306</v>
      </c>
      <c r="C1568" s="23" t="s">
        <v>10307</v>
      </c>
      <c r="D1568" s="23" t="s">
        <v>10308</v>
      </c>
      <c r="E1568" s="23" t="s">
        <v>4106</v>
      </c>
      <c r="F1568" s="23" t="s">
        <v>10309</v>
      </c>
      <c r="G1568" s="22">
        <v>2016</v>
      </c>
      <c r="H1568" s="24">
        <v>42564</v>
      </c>
      <c r="I1568" s="26" t="s">
        <v>10310</v>
      </c>
      <c r="J1568" s="27"/>
      <c r="K1568" s="26" t="s">
        <v>4107</v>
      </c>
      <c r="L1568" s="27"/>
      <c r="M1568" s="27"/>
    </row>
    <row r="1569" spans="1:13" ht="15.75" customHeight="1">
      <c r="A1569" s="22">
        <v>35651518</v>
      </c>
      <c r="B1569" s="23" t="s">
        <v>10311</v>
      </c>
      <c r="C1569" s="23" t="s">
        <v>10312</v>
      </c>
      <c r="D1569" s="23" t="s">
        <v>10313</v>
      </c>
      <c r="E1569" s="23" t="s">
        <v>1098</v>
      </c>
      <c r="F1569" s="23" t="s">
        <v>10314</v>
      </c>
      <c r="G1569" s="22">
        <v>2022</v>
      </c>
      <c r="H1569" s="24">
        <v>44714</v>
      </c>
      <c r="I1569" s="26" t="s">
        <v>10315</v>
      </c>
      <c r="J1569" s="27"/>
      <c r="K1569" s="26" t="s">
        <v>1099</v>
      </c>
      <c r="L1569" s="27"/>
      <c r="M1569" s="27"/>
    </row>
    <row r="1570" spans="1:13" ht="15.75" customHeight="1">
      <c r="A1570" s="22">
        <v>33823791</v>
      </c>
      <c r="B1570" s="23" t="s">
        <v>10316</v>
      </c>
      <c r="C1570" s="23" t="s">
        <v>10317</v>
      </c>
      <c r="D1570" s="23" t="s">
        <v>10318</v>
      </c>
      <c r="E1570" s="23" t="s">
        <v>3463</v>
      </c>
      <c r="F1570" s="23" t="s">
        <v>10319</v>
      </c>
      <c r="G1570" s="22">
        <v>2021</v>
      </c>
      <c r="H1570" s="24">
        <v>44293</v>
      </c>
      <c r="I1570" s="26" t="s">
        <v>10320</v>
      </c>
      <c r="J1570" s="27"/>
      <c r="K1570" s="26" t="s">
        <v>3464</v>
      </c>
      <c r="L1570" s="27"/>
      <c r="M1570" s="27"/>
    </row>
    <row r="1571" spans="1:13" ht="15.75" customHeight="1">
      <c r="A1571" s="22">
        <v>24877035</v>
      </c>
      <c r="B1571" s="23" t="s">
        <v>10321</v>
      </c>
      <c r="C1571" s="23" t="s">
        <v>10322</v>
      </c>
      <c r="D1571" s="23" t="s">
        <v>10323</v>
      </c>
      <c r="E1571" s="23" t="s">
        <v>2789</v>
      </c>
      <c r="F1571" s="23" t="s">
        <v>10324</v>
      </c>
      <c r="G1571" s="22">
        <v>2014</v>
      </c>
      <c r="H1571" s="24">
        <v>41790</v>
      </c>
      <c r="I1571" s="26" t="s">
        <v>10325</v>
      </c>
      <c r="J1571" s="27"/>
      <c r="K1571" s="26" t="s">
        <v>2792</v>
      </c>
      <c r="L1571" s="27"/>
      <c r="M1571" s="27"/>
    </row>
    <row r="1572" spans="1:13" ht="15.75" customHeight="1">
      <c r="A1572" s="22">
        <v>8830838</v>
      </c>
      <c r="B1572" s="23" t="s">
        <v>10326</v>
      </c>
      <c r="C1572" s="23" t="s">
        <v>10327</v>
      </c>
      <c r="D1572" s="23" t="s">
        <v>10328</v>
      </c>
      <c r="E1572" s="23" t="s">
        <v>1086</v>
      </c>
      <c r="F1572" s="23" t="s">
        <v>5445</v>
      </c>
      <c r="G1572" s="22">
        <v>1996</v>
      </c>
      <c r="H1572" s="24">
        <v>35323</v>
      </c>
      <c r="I1572" s="23"/>
      <c r="J1572" s="23"/>
      <c r="K1572" s="26" t="s">
        <v>1091</v>
      </c>
      <c r="L1572" s="27"/>
      <c r="M1572" s="27"/>
    </row>
    <row r="1573" spans="1:13" ht="15.75" customHeight="1">
      <c r="A1573" s="22">
        <v>19752295</v>
      </c>
      <c r="B1573" s="23" t="s">
        <v>10329</v>
      </c>
      <c r="C1573" s="23" t="s">
        <v>10277</v>
      </c>
      <c r="D1573" s="23" t="s">
        <v>10330</v>
      </c>
      <c r="E1573" s="23" t="s">
        <v>4316</v>
      </c>
      <c r="F1573" s="23" t="s">
        <v>8689</v>
      </c>
      <c r="G1573" s="22">
        <v>2009</v>
      </c>
      <c r="H1573" s="24">
        <v>40072</v>
      </c>
      <c r="I1573" s="23" t="s">
        <v>10331</v>
      </c>
      <c r="J1573" s="23" t="s">
        <v>10332</v>
      </c>
      <c r="K1573" s="26" t="s">
        <v>4319</v>
      </c>
      <c r="L1573" s="27"/>
      <c r="M1573" s="27"/>
    </row>
    <row r="1574" spans="1:13" ht="15.75" customHeight="1">
      <c r="A1574" s="22">
        <v>8016478</v>
      </c>
      <c r="B1574" s="23" t="s">
        <v>10333</v>
      </c>
      <c r="C1574" s="23" t="s">
        <v>10334</v>
      </c>
      <c r="D1574" s="23" t="s">
        <v>10335</v>
      </c>
      <c r="E1574" s="23" t="s">
        <v>1737</v>
      </c>
      <c r="F1574" s="23" t="s">
        <v>5247</v>
      </c>
      <c r="G1574" s="22">
        <v>1993</v>
      </c>
      <c r="H1574" s="24">
        <v>34213</v>
      </c>
      <c r="I1574" s="23"/>
      <c r="J1574" s="23"/>
      <c r="K1574" s="23"/>
      <c r="L1574" s="23"/>
      <c r="M1574" s="23"/>
    </row>
    <row r="1575" spans="1:13" ht="15.75" customHeight="1">
      <c r="A1575" s="22">
        <v>32004700</v>
      </c>
      <c r="B1575" s="23" t="s">
        <v>10336</v>
      </c>
      <c r="C1575" s="23" t="s">
        <v>10337</v>
      </c>
      <c r="D1575" s="23" t="s">
        <v>10338</v>
      </c>
      <c r="E1575" s="23" t="s">
        <v>265</v>
      </c>
      <c r="F1575" s="23" t="s">
        <v>5076</v>
      </c>
      <c r="G1575" s="22">
        <v>2020</v>
      </c>
      <c r="H1575" s="24">
        <v>43862</v>
      </c>
      <c r="I1575" s="23"/>
      <c r="J1575" s="23"/>
      <c r="K1575" s="26" t="s">
        <v>398</v>
      </c>
      <c r="L1575" s="27"/>
      <c r="M1575" s="27"/>
    </row>
    <row r="1576" spans="1:13" ht="15.75" customHeight="1">
      <c r="A1576" s="22">
        <v>9829439</v>
      </c>
      <c r="B1576" s="23" t="s">
        <v>10339</v>
      </c>
      <c r="C1576" s="23" t="s">
        <v>10340</v>
      </c>
      <c r="D1576" s="23" t="s">
        <v>10341</v>
      </c>
      <c r="E1576" s="23" t="s">
        <v>3951</v>
      </c>
      <c r="F1576" s="23" t="s">
        <v>10342</v>
      </c>
      <c r="G1576" s="22">
        <v>1998</v>
      </c>
      <c r="H1576" s="24">
        <v>36125</v>
      </c>
      <c r="I1576" s="23"/>
      <c r="J1576" s="23"/>
      <c r="K1576" s="26" t="s">
        <v>3954</v>
      </c>
      <c r="L1576" s="27"/>
      <c r="M1576" s="23"/>
    </row>
    <row r="1577" spans="1:13" ht="15.75" customHeight="1">
      <c r="A1577" s="22">
        <v>38041493</v>
      </c>
      <c r="B1577" s="23" t="s">
        <v>10343</v>
      </c>
      <c r="C1577" s="23" t="s">
        <v>10344</v>
      </c>
      <c r="D1577" s="23" t="s">
        <v>10345</v>
      </c>
      <c r="E1577" s="23" t="s">
        <v>4488</v>
      </c>
      <c r="F1577" s="23" t="s">
        <v>4974</v>
      </c>
      <c r="G1577" s="22">
        <v>2023</v>
      </c>
      <c r="H1577" s="24">
        <v>45262</v>
      </c>
      <c r="I1577" s="23"/>
      <c r="J1577" s="23"/>
      <c r="K1577" s="26" t="s">
        <v>4489</v>
      </c>
      <c r="L1577" s="27"/>
      <c r="M1577" s="23"/>
    </row>
    <row r="1578" spans="1:13" ht="15.75" customHeight="1">
      <c r="A1578" s="22">
        <v>9030868</v>
      </c>
      <c r="B1578" s="23" t="s">
        <v>10346</v>
      </c>
      <c r="C1578" s="23" t="s">
        <v>10347</v>
      </c>
      <c r="D1578" s="23" t="s">
        <v>10348</v>
      </c>
      <c r="E1578" s="23" t="s">
        <v>1445</v>
      </c>
      <c r="F1578" s="23" t="s">
        <v>9008</v>
      </c>
      <c r="G1578" s="22">
        <v>1997</v>
      </c>
      <c r="H1578" s="24">
        <v>35462</v>
      </c>
      <c r="I1578" s="26" t="s">
        <v>10349</v>
      </c>
      <c r="J1578" s="27"/>
      <c r="K1578" s="26" t="s">
        <v>1446</v>
      </c>
      <c r="L1578" s="27"/>
      <c r="M1578" s="27"/>
    </row>
    <row r="1579" spans="1:13" ht="15.75" customHeight="1">
      <c r="A1579" s="22">
        <v>33718897</v>
      </c>
      <c r="B1579" s="23" t="s">
        <v>10350</v>
      </c>
      <c r="C1579" s="23" t="s">
        <v>10351</v>
      </c>
      <c r="D1579" s="23" t="s">
        <v>10352</v>
      </c>
      <c r="E1579" s="23" t="s">
        <v>484</v>
      </c>
      <c r="F1579" s="23" t="s">
        <v>4876</v>
      </c>
      <c r="G1579" s="22">
        <v>2021</v>
      </c>
      <c r="H1579" s="24">
        <v>44270</v>
      </c>
      <c r="I1579" s="23" t="s">
        <v>10353</v>
      </c>
      <c r="J1579" s="23" t="s">
        <v>10354</v>
      </c>
      <c r="K1579" s="26" t="s">
        <v>485</v>
      </c>
      <c r="L1579" s="27"/>
      <c r="M1579" s="27"/>
    </row>
    <row r="1580" spans="1:13" ht="15.75" customHeight="1">
      <c r="A1580" s="22">
        <v>26383177</v>
      </c>
      <c r="B1580" s="23" t="s">
        <v>10355</v>
      </c>
      <c r="C1580" s="23" t="s">
        <v>10356</v>
      </c>
      <c r="D1580" s="23" t="s">
        <v>10357</v>
      </c>
      <c r="E1580" s="23" t="s">
        <v>4307</v>
      </c>
      <c r="F1580" s="23" t="s">
        <v>10358</v>
      </c>
      <c r="G1580" s="22">
        <v>2016</v>
      </c>
      <c r="H1580" s="24">
        <v>42266</v>
      </c>
      <c r="I1580" s="23"/>
      <c r="J1580" s="23"/>
      <c r="K1580" s="26" t="s">
        <v>4308</v>
      </c>
      <c r="L1580" s="27"/>
      <c r="M1580" s="23"/>
    </row>
    <row r="1581" spans="1:13" ht="15.75" customHeight="1">
      <c r="A1581" s="22">
        <v>31782875</v>
      </c>
      <c r="B1581" s="23" t="s">
        <v>10359</v>
      </c>
      <c r="C1581" s="23" t="s">
        <v>10360</v>
      </c>
      <c r="D1581" s="23" t="s">
        <v>10361</v>
      </c>
      <c r="E1581" s="23" t="s">
        <v>811</v>
      </c>
      <c r="F1581" s="23" t="s">
        <v>4974</v>
      </c>
      <c r="G1581" s="22">
        <v>2020</v>
      </c>
      <c r="H1581" s="24">
        <v>43799</v>
      </c>
      <c r="I1581" s="23" t="s">
        <v>10362</v>
      </c>
      <c r="J1581" s="23" t="s">
        <v>10363</v>
      </c>
      <c r="K1581" s="26" t="s">
        <v>812</v>
      </c>
      <c r="L1581" s="27"/>
      <c r="M1581" s="23"/>
    </row>
    <row r="1582" spans="1:13" ht="15.75" customHeight="1">
      <c r="A1582" s="22">
        <v>22996288</v>
      </c>
      <c r="B1582" s="23" t="s">
        <v>10364</v>
      </c>
      <c r="C1582" s="23" t="s">
        <v>10365</v>
      </c>
      <c r="D1582" s="23" t="s">
        <v>10366</v>
      </c>
      <c r="E1582" s="23" t="s">
        <v>3099</v>
      </c>
      <c r="F1582" s="23" t="s">
        <v>10367</v>
      </c>
      <c r="G1582" s="22">
        <v>2012</v>
      </c>
      <c r="H1582" s="24">
        <v>41174</v>
      </c>
      <c r="I1582" s="23"/>
      <c r="J1582" s="23"/>
      <c r="K1582" s="26" t="s">
        <v>3100</v>
      </c>
      <c r="L1582" s="27"/>
      <c r="M1582" s="27"/>
    </row>
    <row r="1583" spans="1:13" ht="15.75" customHeight="1">
      <c r="A1583" s="22">
        <v>10392432</v>
      </c>
      <c r="B1583" s="23" t="s">
        <v>10368</v>
      </c>
      <c r="C1583" s="23" t="s">
        <v>10369</v>
      </c>
      <c r="D1583" s="23" t="s">
        <v>10370</v>
      </c>
      <c r="E1583" s="23" t="s">
        <v>2853</v>
      </c>
      <c r="F1583" s="23" t="s">
        <v>7389</v>
      </c>
      <c r="G1583" s="22">
        <v>1999</v>
      </c>
      <c r="H1583" s="24">
        <v>36348</v>
      </c>
      <c r="I1583" s="23"/>
      <c r="J1583" s="23"/>
      <c r="K1583" s="23"/>
      <c r="L1583" s="23"/>
      <c r="M1583" s="23"/>
    </row>
    <row r="1584" spans="1:13" ht="15.75" customHeight="1">
      <c r="A1584" s="22">
        <v>36193010</v>
      </c>
      <c r="B1584" s="23" t="s">
        <v>10371</v>
      </c>
      <c r="C1584" s="23" t="s">
        <v>10372</v>
      </c>
      <c r="D1584" s="23" t="s">
        <v>10373</v>
      </c>
      <c r="E1584" s="23" t="s">
        <v>1785</v>
      </c>
      <c r="F1584" s="23" t="s">
        <v>10374</v>
      </c>
      <c r="G1584" s="22">
        <v>2022</v>
      </c>
      <c r="H1584" s="24">
        <v>44838</v>
      </c>
      <c r="I1584" s="23"/>
      <c r="J1584" s="23"/>
      <c r="K1584" s="26" t="s">
        <v>1786</v>
      </c>
      <c r="L1584" s="27"/>
      <c r="M1584" s="23"/>
    </row>
    <row r="1585" spans="1:13" ht="15.75" customHeight="1">
      <c r="A1585" s="22">
        <v>3627265</v>
      </c>
      <c r="B1585" s="23" t="s">
        <v>10375</v>
      </c>
      <c r="C1585" s="23" t="s">
        <v>10376</v>
      </c>
      <c r="D1585" s="23" t="s">
        <v>10377</v>
      </c>
      <c r="E1585" s="23" t="s">
        <v>1063</v>
      </c>
      <c r="F1585" s="23" t="s">
        <v>4813</v>
      </c>
      <c r="G1585" s="22">
        <v>1987</v>
      </c>
      <c r="H1585" s="24">
        <v>32037</v>
      </c>
      <c r="I1585" s="23"/>
      <c r="J1585" s="23"/>
      <c r="K1585" s="26" t="s">
        <v>1079</v>
      </c>
      <c r="L1585" s="27"/>
      <c r="M1585" s="23"/>
    </row>
    <row r="1586" spans="1:13" ht="15.75" customHeight="1">
      <c r="A1586" s="22">
        <v>27057748</v>
      </c>
      <c r="B1586" s="23" t="s">
        <v>10378</v>
      </c>
      <c r="C1586" s="23" t="s">
        <v>10379</v>
      </c>
      <c r="D1586" s="23" t="s">
        <v>10380</v>
      </c>
      <c r="E1586" s="23" t="s">
        <v>572</v>
      </c>
      <c r="F1586" s="23" t="s">
        <v>6176</v>
      </c>
      <c r="G1586" s="22">
        <v>2016</v>
      </c>
      <c r="H1586" s="24">
        <v>42469</v>
      </c>
      <c r="I1586" s="23"/>
      <c r="J1586" s="23"/>
      <c r="K1586" s="26" t="s">
        <v>573</v>
      </c>
      <c r="L1586" s="27"/>
      <c r="M1586" s="27"/>
    </row>
    <row r="1587" spans="1:13" ht="15.75" customHeight="1">
      <c r="A1587" s="22">
        <v>12765120</v>
      </c>
      <c r="B1587" s="23" t="s">
        <v>10381</v>
      </c>
      <c r="C1587" s="23" t="s">
        <v>10382</v>
      </c>
      <c r="D1587" s="23" t="s">
        <v>10383</v>
      </c>
      <c r="E1587" s="23" t="s">
        <v>3829</v>
      </c>
      <c r="F1587" s="23" t="s">
        <v>10384</v>
      </c>
      <c r="G1587" s="22">
        <v>2003</v>
      </c>
      <c r="H1587" s="24">
        <v>37768</v>
      </c>
      <c r="I1587" s="23"/>
      <c r="J1587" s="23"/>
      <c r="K1587" s="23"/>
      <c r="L1587" s="23"/>
      <c r="M1587" s="23"/>
    </row>
    <row r="1588" spans="1:13" ht="15.75" customHeight="1">
      <c r="A1588" s="22">
        <v>31324107</v>
      </c>
      <c r="B1588" s="23" t="s">
        <v>10385</v>
      </c>
      <c r="C1588" s="23" t="s">
        <v>10386</v>
      </c>
      <c r="D1588" s="23" t="s">
        <v>10387</v>
      </c>
      <c r="E1588" s="23" t="s">
        <v>4330</v>
      </c>
      <c r="F1588" s="23" t="s">
        <v>10388</v>
      </c>
      <c r="G1588" s="22">
        <v>2019</v>
      </c>
      <c r="H1588" s="24">
        <v>43667</v>
      </c>
      <c r="I1588" s="23"/>
      <c r="J1588" s="23"/>
      <c r="K1588" s="23"/>
      <c r="L1588" s="23"/>
      <c r="M1588" s="23"/>
    </row>
    <row r="1589" spans="1:13" ht="15.75" customHeight="1">
      <c r="A1589" s="22">
        <v>33158469</v>
      </c>
      <c r="B1589" s="23" t="s">
        <v>10389</v>
      </c>
      <c r="C1589" s="23" t="s">
        <v>10390</v>
      </c>
      <c r="D1589" s="23" t="s">
        <v>10391</v>
      </c>
      <c r="E1589" s="23" t="s">
        <v>2583</v>
      </c>
      <c r="F1589" s="23" t="s">
        <v>10392</v>
      </c>
      <c r="G1589" s="22">
        <v>2020</v>
      </c>
      <c r="H1589" s="24">
        <v>44142</v>
      </c>
      <c r="I1589" s="26" t="s">
        <v>10393</v>
      </c>
      <c r="J1589" s="27"/>
      <c r="K1589" s="26" t="s">
        <v>2584</v>
      </c>
      <c r="L1589" s="27"/>
      <c r="M1589" s="27"/>
    </row>
    <row r="1590" spans="1:13" ht="15.75" customHeight="1">
      <c r="A1590" s="22">
        <v>21810148</v>
      </c>
      <c r="B1590" s="23" t="s">
        <v>10394</v>
      </c>
      <c r="C1590" s="23" t="s">
        <v>10395</v>
      </c>
      <c r="D1590" s="23" t="s">
        <v>10396</v>
      </c>
      <c r="E1590" s="23" t="s">
        <v>869</v>
      </c>
      <c r="F1590" s="23" t="s">
        <v>7613</v>
      </c>
      <c r="G1590" s="22">
        <v>2011</v>
      </c>
      <c r="H1590" s="24">
        <v>40759</v>
      </c>
      <c r="I1590" s="23"/>
      <c r="J1590" s="23"/>
      <c r="K1590" s="26" t="s">
        <v>870</v>
      </c>
      <c r="L1590" s="27"/>
      <c r="M1590" s="27"/>
    </row>
    <row r="1591" spans="1:13" ht="15.75" customHeight="1">
      <c r="A1591" s="22">
        <v>36363720</v>
      </c>
      <c r="B1591" s="23" t="s">
        <v>10397</v>
      </c>
      <c r="C1591" s="23" t="s">
        <v>10398</v>
      </c>
      <c r="D1591" s="23" t="s">
        <v>10399</v>
      </c>
      <c r="E1591" s="23" t="s">
        <v>604</v>
      </c>
      <c r="F1591" s="23" t="s">
        <v>9231</v>
      </c>
      <c r="G1591" s="22">
        <v>2022</v>
      </c>
      <c r="H1591" s="24">
        <v>44876</v>
      </c>
      <c r="I1591" s="26" t="s">
        <v>10400</v>
      </c>
      <c r="J1591" s="27"/>
      <c r="K1591" s="26" t="s">
        <v>605</v>
      </c>
      <c r="L1591" s="27"/>
      <c r="M1591" s="27"/>
    </row>
    <row r="1592" spans="1:13" ht="15.75" customHeight="1">
      <c r="A1592" s="22">
        <v>32903425</v>
      </c>
      <c r="B1592" s="23" t="s">
        <v>10401</v>
      </c>
      <c r="C1592" s="23" t="s">
        <v>10402</v>
      </c>
      <c r="D1592" s="23" t="s">
        <v>10403</v>
      </c>
      <c r="E1592" s="23" t="s">
        <v>2665</v>
      </c>
      <c r="F1592" s="23" t="s">
        <v>9131</v>
      </c>
      <c r="G1592" s="22">
        <v>2020</v>
      </c>
      <c r="H1592" s="24">
        <v>44083</v>
      </c>
      <c r="I1592" s="26" t="s">
        <v>10404</v>
      </c>
      <c r="J1592" s="27"/>
      <c r="K1592" s="26" t="s">
        <v>2666</v>
      </c>
      <c r="L1592" s="27"/>
      <c r="M1592" s="27"/>
    </row>
    <row r="1593" spans="1:13" ht="15.75" customHeight="1">
      <c r="A1593" s="22">
        <v>31554310</v>
      </c>
      <c r="B1593" s="23" t="s">
        <v>10405</v>
      </c>
      <c r="C1593" s="23" t="s">
        <v>10406</v>
      </c>
      <c r="D1593" s="23" t="s">
        <v>10407</v>
      </c>
      <c r="E1593" s="23" t="s">
        <v>2691</v>
      </c>
      <c r="F1593" s="23" t="s">
        <v>7661</v>
      </c>
      <c r="G1593" s="22">
        <v>2019</v>
      </c>
      <c r="H1593" s="24">
        <v>43735</v>
      </c>
      <c r="I1593" s="26" t="s">
        <v>10408</v>
      </c>
      <c r="J1593" s="27"/>
      <c r="K1593" s="26" t="s">
        <v>2692</v>
      </c>
      <c r="L1593" s="27"/>
      <c r="M1593" s="27"/>
    </row>
    <row r="1594" spans="1:13" ht="15.75" customHeight="1">
      <c r="A1594" s="22">
        <v>32666270</v>
      </c>
      <c r="B1594" s="23" t="s">
        <v>10409</v>
      </c>
      <c r="C1594" s="23" t="s">
        <v>10410</v>
      </c>
      <c r="D1594" s="23" t="s">
        <v>10411</v>
      </c>
      <c r="E1594" s="23" t="s">
        <v>3723</v>
      </c>
      <c r="F1594" s="23" t="s">
        <v>10412</v>
      </c>
      <c r="G1594" s="22">
        <v>2020</v>
      </c>
      <c r="H1594" s="24">
        <v>44028</v>
      </c>
      <c r="I1594" s="23" t="s">
        <v>10413</v>
      </c>
      <c r="J1594" s="23" t="s">
        <v>10414</v>
      </c>
      <c r="K1594" s="26" t="s">
        <v>3724</v>
      </c>
      <c r="L1594" s="27"/>
      <c r="M1594" s="27"/>
    </row>
    <row r="1595" spans="1:13" ht="15.75" customHeight="1">
      <c r="A1595" s="22">
        <v>23665115</v>
      </c>
      <c r="B1595" s="23" t="s">
        <v>10415</v>
      </c>
      <c r="C1595" s="23" t="s">
        <v>10416</v>
      </c>
      <c r="D1595" s="23" t="s">
        <v>10417</v>
      </c>
      <c r="E1595" s="23" t="s">
        <v>241</v>
      </c>
      <c r="F1595" s="23" t="s">
        <v>5076</v>
      </c>
      <c r="G1595" s="22">
        <v>2013</v>
      </c>
      <c r="H1595" s="24">
        <v>41408</v>
      </c>
      <c r="I1595" s="23" t="s">
        <v>10418</v>
      </c>
      <c r="J1595" s="23" t="s">
        <v>10419</v>
      </c>
      <c r="K1595" s="26" t="s">
        <v>376</v>
      </c>
      <c r="L1595" s="27"/>
      <c r="M1595" s="27"/>
    </row>
    <row r="1596" spans="1:13" ht="15.75" customHeight="1">
      <c r="A1596" s="22">
        <v>17065205</v>
      </c>
      <c r="B1596" s="23" t="s">
        <v>10420</v>
      </c>
      <c r="C1596" s="23" t="s">
        <v>10421</v>
      </c>
      <c r="D1596" s="23" t="s">
        <v>10422</v>
      </c>
      <c r="E1596" s="23" t="s">
        <v>2969</v>
      </c>
      <c r="F1596" s="23" t="s">
        <v>4891</v>
      </c>
      <c r="G1596" s="22">
        <v>2007</v>
      </c>
      <c r="H1596" s="24">
        <v>39017</v>
      </c>
      <c r="I1596" s="26" t="s">
        <v>10423</v>
      </c>
      <c r="J1596" s="27"/>
      <c r="K1596" s="26" t="s">
        <v>2970</v>
      </c>
      <c r="L1596" s="27"/>
      <c r="M1596" s="23"/>
    </row>
    <row r="1597" spans="1:13" ht="15.75" customHeight="1">
      <c r="A1597" s="22">
        <v>28129450</v>
      </c>
      <c r="B1597" s="23" t="s">
        <v>10424</v>
      </c>
      <c r="C1597" s="23" t="s">
        <v>10425</v>
      </c>
      <c r="D1597" s="23" t="s">
        <v>10426</v>
      </c>
      <c r="E1597" s="23" t="s">
        <v>1020</v>
      </c>
      <c r="F1597" s="23" t="s">
        <v>5437</v>
      </c>
      <c r="G1597" s="22">
        <v>2017</v>
      </c>
      <c r="H1597" s="24">
        <v>42763</v>
      </c>
      <c r="I1597" s="23"/>
      <c r="J1597" s="23"/>
      <c r="K1597" s="26" t="s">
        <v>1021</v>
      </c>
      <c r="L1597" s="27"/>
      <c r="M1597" s="23"/>
    </row>
    <row r="1598" spans="1:13" ht="15.75" customHeight="1">
      <c r="A1598" s="22">
        <v>18829379</v>
      </c>
      <c r="B1598" s="23" t="s">
        <v>10427</v>
      </c>
      <c r="C1598" s="23" t="s">
        <v>10428</v>
      </c>
      <c r="D1598" s="23" t="s">
        <v>10429</v>
      </c>
      <c r="E1598" s="23" t="s">
        <v>554</v>
      </c>
      <c r="F1598" s="23" t="s">
        <v>4896</v>
      </c>
      <c r="G1598" s="22">
        <v>2008</v>
      </c>
      <c r="H1598" s="24">
        <v>39724</v>
      </c>
      <c r="I1598" s="23"/>
      <c r="J1598" s="23"/>
      <c r="K1598" s="26" t="s">
        <v>1814</v>
      </c>
      <c r="L1598" s="27"/>
      <c r="M1598" s="27"/>
    </row>
    <row r="1599" spans="1:13" ht="15.75" customHeight="1">
      <c r="A1599" s="22">
        <v>24455117</v>
      </c>
      <c r="B1599" s="23" t="s">
        <v>10430</v>
      </c>
      <c r="C1599" s="23" t="s">
        <v>10431</v>
      </c>
      <c r="D1599" s="23" t="s">
        <v>10432</v>
      </c>
      <c r="E1599" s="23" t="s">
        <v>1636</v>
      </c>
      <c r="F1599" s="23" t="s">
        <v>9408</v>
      </c>
      <c r="G1599" s="22">
        <v>2014</v>
      </c>
      <c r="H1599" s="24">
        <v>41663</v>
      </c>
      <c r="I1599" s="26" t="s">
        <v>10433</v>
      </c>
      <c r="J1599" s="27"/>
      <c r="K1599" s="26" t="s">
        <v>1637</v>
      </c>
      <c r="L1599" s="27"/>
      <c r="M1599" s="23"/>
    </row>
    <row r="1600" spans="1:13" ht="15.75" customHeight="1">
      <c r="A1600" s="22">
        <v>36014102</v>
      </c>
      <c r="B1600" s="23" t="s">
        <v>10434</v>
      </c>
      <c r="C1600" s="23" t="s">
        <v>10435</v>
      </c>
      <c r="D1600" s="23" t="s">
        <v>10436</v>
      </c>
      <c r="E1600" s="23" t="s">
        <v>851</v>
      </c>
      <c r="F1600" s="23" t="s">
        <v>9231</v>
      </c>
      <c r="G1600" s="22">
        <v>2022</v>
      </c>
      <c r="H1600" s="24">
        <v>44799</v>
      </c>
      <c r="I1600" s="26" t="s">
        <v>10437</v>
      </c>
      <c r="J1600" s="27"/>
      <c r="K1600" s="26" t="s">
        <v>852</v>
      </c>
      <c r="L1600" s="27"/>
      <c r="M1600" s="27"/>
    </row>
    <row r="1601" spans="1:13" ht="15.75" customHeight="1">
      <c r="A1601" s="22">
        <v>30906348</v>
      </c>
      <c r="B1601" s="23" t="s">
        <v>10438</v>
      </c>
      <c r="C1601" s="23" t="s">
        <v>10439</v>
      </c>
      <c r="D1601" s="23" t="s">
        <v>10440</v>
      </c>
      <c r="E1601" s="23" t="s">
        <v>2468</v>
      </c>
      <c r="F1601" s="23" t="s">
        <v>10441</v>
      </c>
      <c r="G1601" s="22">
        <v>2016</v>
      </c>
      <c r="H1601" s="24">
        <v>43550</v>
      </c>
      <c r="I1601" s="26" t="s">
        <v>10442</v>
      </c>
      <c r="J1601" s="27"/>
      <c r="K1601" s="26" t="s">
        <v>2469</v>
      </c>
      <c r="L1601" s="27"/>
      <c r="M1601" s="27"/>
    </row>
    <row r="1602" spans="1:13" ht="15.75" customHeight="1">
      <c r="A1602" s="22">
        <v>34070379</v>
      </c>
      <c r="B1602" s="23" t="s">
        <v>10443</v>
      </c>
      <c r="C1602" s="23" t="s">
        <v>10444</v>
      </c>
      <c r="D1602" s="23" t="s">
        <v>10445</v>
      </c>
      <c r="E1602" s="23" t="s">
        <v>839</v>
      </c>
      <c r="F1602" s="23" t="s">
        <v>10446</v>
      </c>
      <c r="G1602" s="22">
        <v>2021</v>
      </c>
      <c r="H1602" s="24">
        <v>44349</v>
      </c>
      <c r="I1602" s="26" t="s">
        <v>10447</v>
      </c>
      <c r="J1602" s="27"/>
      <c r="K1602" s="26" t="s">
        <v>840</v>
      </c>
      <c r="L1602" s="27"/>
      <c r="M1602" s="23"/>
    </row>
    <row r="1603" spans="1:13" ht="15.75" customHeight="1">
      <c r="A1603" s="22">
        <v>30831633</v>
      </c>
      <c r="B1603" s="23" t="s">
        <v>10448</v>
      </c>
      <c r="C1603" s="23" t="s">
        <v>10449</v>
      </c>
      <c r="D1603" s="23" t="s">
        <v>10450</v>
      </c>
      <c r="E1603" s="23" t="s">
        <v>3031</v>
      </c>
      <c r="F1603" s="23" t="s">
        <v>5874</v>
      </c>
      <c r="G1603" s="22">
        <v>2019</v>
      </c>
      <c r="H1603" s="24">
        <v>43529</v>
      </c>
      <c r="I1603" s="26" t="s">
        <v>10451</v>
      </c>
      <c r="J1603" s="27"/>
      <c r="K1603" s="26" t="s">
        <v>3032</v>
      </c>
      <c r="L1603" s="27"/>
      <c r="M1603" s="27"/>
    </row>
    <row r="1604" spans="1:13" ht="15.75" customHeight="1">
      <c r="A1604" s="22">
        <v>32245201</v>
      </c>
      <c r="B1604" s="23" t="s">
        <v>10452</v>
      </c>
      <c r="C1604" s="23" t="s">
        <v>10453</v>
      </c>
      <c r="D1604" s="23" t="s">
        <v>10454</v>
      </c>
      <c r="E1604" s="23" t="s">
        <v>3879</v>
      </c>
      <c r="F1604" s="23" t="s">
        <v>10455</v>
      </c>
      <c r="G1604" s="22">
        <v>2020</v>
      </c>
      <c r="H1604" s="24">
        <v>43926</v>
      </c>
      <c r="I1604" s="26" t="s">
        <v>10456</v>
      </c>
      <c r="J1604" s="27"/>
      <c r="K1604" s="26" t="s">
        <v>3880</v>
      </c>
      <c r="L1604" s="27"/>
      <c r="M1604" s="23"/>
    </row>
    <row r="1605" spans="1:13" ht="15.75" customHeight="1">
      <c r="A1605" s="22">
        <v>9766884</v>
      </c>
      <c r="B1605" s="23" t="s">
        <v>10457</v>
      </c>
      <c r="C1605" s="23" t="s">
        <v>10458</v>
      </c>
      <c r="D1605" s="23" t="s">
        <v>10459</v>
      </c>
      <c r="E1605" s="23" t="s">
        <v>1063</v>
      </c>
      <c r="F1605" s="23" t="s">
        <v>5267</v>
      </c>
      <c r="G1605" s="22">
        <v>1998</v>
      </c>
      <c r="H1605" s="24">
        <v>36078</v>
      </c>
      <c r="I1605" s="23"/>
      <c r="J1605" s="23"/>
      <c r="K1605" s="26" t="s">
        <v>1081</v>
      </c>
      <c r="L1605" s="27"/>
      <c r="M1605" s="27"/>
    </row>
    <row r="1606" spans="1:13" ht="15.75" customHeight="1">
      <c r="A1606" s="22">
        <v>33085827</v>
      </c>
      <c r="B1606" s="23" t="s">
        <v>10460</v>
      </c>
      <c r="C1606" s="23" t="s">
        <v>10461</v>
      </c>
      <c r="D1606" s="23" t="s">
        <v>10462</v>
      </c>
      <c r="E1606" s="23" t="s">
        <v>542</v>
      </c>
      <c r="F1606" s="23" t="s">
        <v>8121</v>
      </c>
      <c r="G1606" s="22">
        <v>2021</v>
      </c>
      <c r="H1606" s="24">
        <v>44125</v>
      </c>
      <c r="I1606" s="23"/>
      <c r="J1606" s="23"/>
      <c r="K1606" s="26" t="s">
        <v>543</v>
      </c>
      <c r="L1606" s="27"/>
      <c r="M1606" s="23"/>
    </row>
    <row r="1607" spans="1:13" ht="15.75" customHeight="1">
      <c r="A1607" s="22">
        <v>12070831</v>
      </c>
      <c r="B1607" s="23" t="s">
        <v>10463</v>
      </c>
      <c r="C1607" s="23" t="s">
        <v>10464</v>
      </c>
      <c r="D1607" s="23" t="s">
        <v>10465</v>
      </c>
      <c r="E1607" s="23" t="s">
        <v>4210</v>
      </c>
      <c r="F1607" s="23" t="s">
        <v>5247</v>
      </c>
      <c r="G1607" s="22">
        <v>2002</v>
      </c>
      <c r="H1607" s="24">
        <v>37426</v>
      </c>
      <c r="I1607" s="23"/>
      <c r="J1607" s="23"/>
      <c r="K1607" s="26" t="s">
        <v>4211</v>
      </c>
      <c r="L1607" s="27"/>
      <c r="M1607" s="23"/>
    </row>
    <row r="1608" spans="1:13" ht="15.75" customHeight="1">
      <c r="A1608" s="22">
        <v>24801397</v>
      </c>
      <c r="B1608" s="23" t="s">
        <v>10466</v>
      </c>
      <c r="C1608" s="23" t="s">
        <v>10467</v>
      </c>
      <c r="D1608" s="23" t="s">
        <v>10468</v>
      </c>
      <c r="E1608" s="23" t="s">
        <v>3167</v>
      </c>
      <c r="F1608" s="23" t="s">
        <v>10469</v>
      </c>
      <c r="G1608" s="22">
        <v>2014</v>
      </c>
      <c r="H1608" s="24">
        <v>41767</v>
      </c>
      <c r="I1608" s="23"/>
      <c r="J1608" s="23"/>
      <c r="K1608" s="26" t="s">
        <v>3168</v>
      </c>
      <c r="L1608" s="27"/>
      <c r="M1608" s="23"/>
    </row>
    <row r="1609" spans="1:13" ht="15.75" customHeight="1">
      <c r="A1609" s="22">
        <v>7871934</v>
      </c>
      <c r="B1609" s="23" t="s">
        <v>10470</v>
      </c>
      <c r="C1609" s="23" t="s">
        <v>10471</v>
      </c>
      <c r="D1609" s="23" t="s">
        <v>10472</v>
      </c>
      <c r="E1609" s="23" t="s">
        <v>3304</v>
      </c>
      <c r="F1609" s="23" t="s">
        <v>10473</v>
      </c>
      <c r="G1609" s="22">
        <v>1994</v>
      </c>
      <c r="H1609" s="24">
        <v>34335</v>
      </c>
      <c r="I1609" s="23"/>
      <c r="J1609" s="23"/>
      <c r="K1609" s="26" t="s">
        <v>3305</v>
      </c>
      <c r="L1609" s="27"/>
      <c r="M1609" s="27"/>
    </row>
    <row r="1610" spans="1:13" ht="15.75" customHeight="1">
      <c r="A1610" s="22">
        <v>20087928</v>
      </c>
      <c r="B1610" s="23" t="s">
        <v>10474</v>
      </c>
      <c r="C1610" s="23" t="s">
        <v>10475</v>
      </c>
      <c r="D1610" s="23" t="s">
        <v>10476</v>
      </c>
      <c r="E1610" s="23" t="s">
        <v>1603</v>
      </c>
      <c r="F1610" s="23" t="s">
        <v>4923</v>
      </c>
      <c r="G1610" s="22">
        <v>2010</v>
      </c>
      <c r="H1610" s="24">
        <v>40199</v>
      </c>
      <c r="I1610" s="26" t="s">
        <v>10477</v>
      </c>
      <c r="J1610" s="27"/>
      <c r="K1610" s="26" t="s">
        <v>1604</v>
      </c>
      <c r="L1610" s="27"/>
      <c r="M1610" s="23"/>
    </row>
    <row r="1611" spans="1:13" ht="15.75" customHeight="1">
      <c r="A1611" s="22">
        <v>17601705</v>
      </c>
      <c r="B1611" s="23" t="s">
        <v>10478</v>
      </c>
      <c r="C1611" s="23" t="s">
        <v>10479</v>
      </c>
      <c r="D1611" s="23" t="s">
        <v>10480</v>
      </c>
      <c r="E1611" s="23" t="s">
        <v>3392</v>
      </c>
      <c r="F1611" s="23" t="s">
        <v>7371</v>
      </c>
      <c r="G1611" s="22">
        <v>2007</v>
      </c>
      <c r="H1611" s="24">
        <v>39266</v>
      </c>
      <c r="I1611" s="23"/>
      <c r="J1611" s="23"/>
      <c r="K1611" s="26" t="s">
        <v>3393</v>
      </c>
      <c r="L1611" s="27"/>
      <c r="M1611" s="27"/>
    </row>
    <row r="1612" spans="1:13" ht="15.75" customHeight="1">
      <c r="A1612" s="22">
        <v>7692906</v>
      </c>
      <c r="B1612" s="23" t="s">
        <v>10481</v>
      </c>
      <c r="C1612" s="23" t="s">
        <v>10482</v>
      </c>
      <c r="D1612" s="23" t="s">
        <v>10483</v>
      </c>
      <c r="E1612" s="23" t="s">
        <v>4559</v>
      </c>
      <c r="F1612" s="23" t="s">
        <v>5433</v>
      </c>
      <c r="G1612" s="22">
        <v>1993</v>
      </c>
      <c r="H1612" s="24">
        <v>34182</v>
      </c>
      <c r="I1612" s="23"/>
      <c r="J1612" s="23"/>
      <c r="K1612" s="26" t="s">
        <v>4560</v>
      </c>
      <c r="L1612" s="27"/>
      <c r="M1612" s="23"/>
    </row>
    <row r="1613" spans="1:13" ht="15.75" customHeight="1">
      <c r="A1613" s="22">
        <v>7727764</v>
      </c>
      <c r="B1613" s="23" t="s">
        <v>10484</v>
      </c>
      <c r="C1613" s="23" t="s">
        <v>10485</v>
      </c>
      <c r="D1613" s="23" t="s">
        <v>10486</v>
      </c>
      <c r="E1613" s="23" t="s">
        <v>3956</v>
      </c>
      <c r="F1613" s="23" t="s">
        <v>5343</v>
      </c>
      <c r="G1613" s="22">
        <v>1995</v>
      </c>
      <c r="H1613" s="24">
        <v>34820</v>
      </c>
      <c r="I1613" s="23"/>
      <c r="J1613" s="23"/>
      <c r="K1613" s="23"/>
      <c r="L1613" s="23"/>
      <c r="M1613" s="23"/>
    </row>
    <row r="1614" spans="1:13" ht="15.75" customHeight="1">
      <c r="A1614" s="22">
        <v>17902128</v>
      </c>
      <c r="B1614" s="23" t="s">
        <v>10487</v>
      </c>
      <c r="C1614" s="23" t="s">
        <v>10488</v>
      </c>
      <c r="D1614" s="23" t="s">
        <v>10489</v>
      </c>
      <c r="E1614" s="23" t="s">
        <v>651</v>
      </c>
      <c r="F1614" s="23" t="s">
        <v>5295</v>
      </c>
      <c r="G1614" s="22">
        <v>2007</v>
      </c>
      <c r="H1614" s="24">
        <v>39354</v>
      </c>
      <c r="I1614" s="23"/>
      <c r="J1614" s="23"/>
      <c r="K1614" s="26" t="s">
        <v>2460</v>
      </c>
      <c r="L1614" s="27"/>
      <c r="M1614" s="23"/>
    </row>
    <row r="1615" spans="1:13" ht="15.75" customHeight="1">
      <c r="A1615" s="22">
        <v>12767008</v>
      </c>
      <c r="B1615" s="23" t="s">
        <v>10490</v>
      </c>
      <c r="C1615" s="23" t="s">
        <v>10491</v>
      </c>
      <c r="D1615" s="23" t="s">
        <v>10492</v>
      </c>
      <c r="E1615" s="23" t="s">
        <v>195</v>
      </c>
      <c r="F1615" s="23" t="s">
        <v>4923</v>
      </c>
      <c r="G1615" s="22">
        <v>2003</v>
      </c>
      <c r="H1615" s="24">
        <v>37768</v>
      </c>
      <c r="I1615" s="23"/>
      <c r="J1615" s="23"/>
      <c r="K1615" s="26" t="s">
        <v>4674</v>
      </c>
      <c r="L1615" s="27"/>
      <c r="M1615" s="23"/>
    </row>
    <row r="1616" spans="1:13" ht="15.75" customHeight="1">
      <c r="A1616" s="22">
        <v>38758242</v>
      </c>
      <c r="B1616" s="23" t="s">
        <v>10493</v>
      </c>
      <c r="C1616" s="23" t="s">
        <v>10494</v>
      </c>
      <c r="D1616" s="23" t="s">
        <v>10495</v>
      </c>
      <c r="E1616" s="23" t="s">
        <v>4757</v>
      </c>
      <c r="F1616" s="23" t="s">
        <v>10496</v>
      </c>
      <c r="G1616" s="22">
        <v>2024</v>
      </c>
      <c r="H1616" s="24">
        <v>45429</v>
      </c>
      <c r="I1616" s="23"/>
      <c r="J1616" s="23"/>
      <c r="K1616" s="26" t="s">
        <v>4758</v>
      </c>
      <c r="L1616" s="27"/>
      <c r="M1616" s="27"/>
    </row>
    <row r="1617" spans="1:13" ht="15.75" customHeight="1">
      <c r="A1617" s="22">
        <v>12476296</v>
      </c>
      <c r="B1617" s="23" t="s">
        <v>10497</v>
      </c>
      <c r="C1617" s="23" t="s">
        <v>10498</v>
      </c>
      <c r="D1617" s="23" t="s">
        <v>10499</v>
      </c>
      <c r="E1617" s="23" t="s">
        <v>4435</v>
      </c>
      <c r="F1617" s="23" t="s">
        <v>4863</v>
      </c>
      <c r="G1617" s="22">
        <v>2002</v>
      </c>
      <c r="H1617" s="24">
        <v>37602</v>
      </c>
      <c r="I1617" s="23"/>
      <c r="J1617" s="23"/>
      <c r="K1617" s="26" t="s">
        <v>4448</v>
      </c>
      <c r="L1617" s="27"/>
      <c r="M1617" s="23"/>
    </row>
    <row r="1618" spans="1:13" ht="15.75" customHeight="1">
      <c r="A1618" s="22">
        <v>38187380</v>
      </c>
      <c r="B1618" s="23" t="s">
        <v>10500</v>
      </c>
      <c r="C1618" s="23" t="s">
        <v>10501</v>
      </c>
      <c r="D1618" s="23" t="s">
        <v>10502</v>
      </c>
      <c r="E1618" s="23" t="s">
        <v>2782</v>
      </c>
      <c r="F1618" s="23" t="s">
        <v>4912</v>
      </c>
      <c r="G1618" s="22">
        <v>2023</v>
      </c>
      <c r="H1618" s="24">
        <v>45299</v>
      </c>
      <c r="I1618" s="26" t="s">
        <v>10503</v>
      </c>
      <c r="J1618" s="27"/>
      <c r="K1618" s="26" t="s">
        <v>2783</v>
      </c>
      <c r="L1618" s="27"/>
      <c r="M1618" s="27"/>
    </row>
    <row r="1619" spans="1:13" ht="15.75" customHeight="1">
      <c r="A1619" s="22">
        <v>17988530</v>
      </c>
      <c r="B1619" s="23" t="s">
        <v>10504</v>
      </c>
      <c r="C1619" s="23" t="s">
        <v>6149</v>
      </c>
      <c r="D1619" s="23" t="s">
        <v>10505</v>
      </c>
      <c r="E1619" s="23" t="s">
        <v>177</v>
      </c>
      <c r="F1619" s="23" t="s">
        <v>10506</v>
      </c>
      <c r="G1619" s="22">
        <v>2007</v>
      </c>
      <c r="H1619" s="24">
        <v>39395</v>
      </c>
      <c r="I1619" s="23"/>
      <c r="J1619" s="23"/>
      <c r="K1619" s="23"/>
      <c r="L1619" s="23"/>
      <c r="M1619" s="23"/>
    </row>
    <row r="1620" spans="1:13" ht="15.75" customHeight="1">
      <c r="A1620" s="22">
        <v>12353198</v>
      </c>
      <c r="B1620" s="23" t="s">
        <v>10507</v>
      </c>
      <c r="C1620" s="23" t="s">
        <v>10508</v>
      </c>
      <c r="D1620" s="23" t="s">
        <v>10509</v>
      </c>
      <c r="E1620" s="23" t="s">
        <v>2214</v>
      </c>
      <c r="F1620" s="23" t="s">
        <v>4992</v>
      </c>
      <c r="G1620" s="22">
        <v>2002</v>
      </c>
      <c r="H1620" s="24">
        <v>37527</v>
      </c>
      <c r="I1620" s="23"/>
      <c r="J1620" s="23"/>
      <c r="K1620" s="26" t="s">
        <v>2219</v>
      </c>
      <c r="L1620" s="27"/>
      <c r="M1620" s="23"/>
    </row>
    <row r="1621" spans="1:13" ht="15.75" customHeight="1">
      <c r="A1621" s="22">
        <v>12537769</v>
      </c>
      <c r="B1621" s="23" t="s">
        <v>10510</v>
      </c>
      <c r="C1621" s="23" t="s">
        <v>10511</v>
      </c>
      <c r="D1621" s="23" t="s">
        <v>10512</v>
      </c>
      <c r="E1621" s="23" t="s">
        <v>1469</v>
      </c>
      <c r="F1621" s="23" t="s">
        <v>10513</v>
      </c>
      <c r="G1621" s="22">
        <v>2002</v>
      </c>
      <c r="H1621" s="24">
        <v>37644</v>
      </c>
      <c r="I1621" s="23"/>
      <c r="J1621" s="23"/>
      <c r="K1621" s="26" t="s">
        <v>1470</v>
      </c>
      <c r="L1621" s="27"/>
      <c r="M1621" s="27"/>
    </row>
    <row r="1622" spans="1:13" ht="15.75" customHeight="1">
      <c r="A1622" s="22">
        <v>12910597</v>
      </c>
      <c r="B1622" s="23" t="s">
        <v>10514</v>
      </c>
      <c r="C1622" s="23" t="s">
        <v>10515</v>
      </c>
      <c r="D1622" s="23" t="s">
        <v>10516</v>
      </c>
      <c r="E1622" s="23" t="s">
        <v>4012</v>
      </c>
      <c r="F1622" s="23" t="s">
        <v>6968</v>
      </c>
      <c r="G1622" s="22">
        <v>2003</v>
      </c>
      <c r="H1622" s="24">
        <v>37846</v>
      </c>
      <c r="I1622" s="23"/>
      <c r="J1622" s="23"/>
      <c r="K1622" s="23"/>
      <c r="L1622" s="23"/>
      <c r="M1622" s="23"/>
    </row>
    <row r="1623" spans="1:13" ht="15.75" customHeight="1">
      <c r="A1623" s="22">
        <v>26029371</v>
      </c>
      <c r="B1623" s="23" t="s">
        <v>10517</v>
      </c>
      <c r="C1623" s="23" t="s">
        <v>10518</v>
      </c>
      <c r="D1623" s="23" t="s">
        <v>10519</v>
      </c>
      <c r="E1623" s="23" t="s">
        <v>2258</v>
      </c>
      <c r="F1623" s="23" t="s">
        <v>10520</v>
      </c>
      <c r="G1623" s="22">
        <v>2015</v>
      </c>
      <c r="H1623" s="24">
        <v>42157</v>
      </c>
      <c r="I1623" s="26" t="s">
        <v>10521</v>
      </c>
      <c r="J1623" s="27"/>
      <c r="K1623" s="26" t="s">
        <v>2259</v>
      </c>
      <c r="L1623" s="27"/>
      <c r="M1623" s="23"/>
    </row>
    <row r="1624" spans="1:13" ht="15.75" customHeight="1">
      <c r="A1624" s="22">
        <v>15209395</v>
      </c>
      <c r="B1624" s="23" t="s">
        <v>10522</v>
      </c>
      <c r="C1624" s="23" t="s">
        <v>10523</v>
      </c>
      <c r="D1624" s="23" t="s">
        <v>10524</v>
      </c>
      <c r="E1624" s="23" t="s">
        <v>4239</v>
      </c>
      <c r="F1624" s="23" t="s">
        <v>8641</v>
      </c>
      <c r="G1624" s="22">
        <v>2004</v>
      </c>
      <c r="H1624" s="24">
        <v>38162</v>
      </c>
      <c r="I1624" s="23"/>
      <c r="J1624" s="23"/>
      <c r="K1624" s="26" t="s">
        <v>4240</v>
      </c>
      <c r="L1624" s="27"/>
      <c r="M1624" s="27"/>
    </row>
    <row r="1625" spans="1:13" ht="15.75" customHeight="1">
      <c r="A1625" s="22">
        <v>29900673</v>
      </c>
      <c r="B1625" s="23" t="s">
        <v>10525</v>
      </c>
      <c r="C1625" s="23" t="s">
        <v>10526</v>
      </c>
      <c r="D1625" s="23" t="s">
        <v>10527</v>
      </c>
      <c r="E1625" s="23" t="s">
        <v>1193</v>
      </c>
      <c r="F1625" s="23" t="s">
        <v>5726</v>
      </c>
      <c r="G1625" s="22">
        <v>2018</v>
      </c>
      <c r="H1625" s="24">
        <v>43266</v>
      </c>
      <c r="I1625" s="23" t="s">
        <v>10528</v>
      </c>
      <c r="J1625" s="23" t="s">
        <v>10529</v>
      </c>
      <c r="K1625" s="26" t="s">
        <v>1194</v>
      </c>
      <c r="L1625" s="27"/>
      <c r="M1625" s="23"/>
    </row>
    <row r="1626" spans="1:13" ht="15.75" customHeight="1">
      <c r="A1626" s="22">
        <v>18929381</v>
      </c>
      <c r="B1626" s="23" t="s">
        <v>10530</v>
      </c>
      <c r="C1626" s="23" t="s">
        <v>10531</v>
      </c>
      <c r="D1626" s="23" t="s">
        <v>10532</v>
      </c>
      <c r="E1626" s="23" t="s">
        <v>3649</v>
      </c>
      <c r="F1626" s="23" t="s">
        <v>4950</v>
      </c>
      <c r="G1626" s="22">
        <v>2008</v>
      </c>
      <c r="H1626" s="24">
        <v>39743</v>
      </c>
      <c r="I1626" s="23"/>
      <c r="J1626" s="23"/>
      <c r="K1626" s="26" t="s">
        <v>3652</v>
      </c>
      <c r="L1626" s="27"/>
      <c r="M1626" s="27"/>
    </row>
    <row r="1627" spans="1:13" ht="15.75" customHeight="1">
      <c r="A1627" s="22">
        <v>16882166</v>
      </c>
      <c r="B1627" s="23" t="s">
        <v>10533</v>
      </c>
      <c r="C1627" s="23" t="s">
        <v>10534</v>
      </c>
      <c r="D1627" s="23" t="s">
        <v>10535</v>
      </c>
      <c r="E1627" s="23" t="s">
        <v>2606</v>
      </c>
      <c r="F1627" s="23" t="s">
        <v>7207</v>
      </c>
      <c r="G1627" s="22">
        <v>2006</v>
      </c>
      <c r="H1627" s="24">
        <v>38932</v>
      </c>
      <c r="I1627" s="23"/>
      <c r="J1627" s="23"/>
      <c r="K1627" s="26" t="s">
        <v>2607</v>
      </c>
      <c r="L1627" s="27"/>
      <c r="M1627" s="27"/>
    </row>
    <row r="1628" spans="1:13" ht="15.75" customHeight="1">
      <c r="A1628" s="22">
        <v>15782388</v>
      </c>
      <c r="B1628" s="23" t="s">
        <v>10536</v>
      </c>
      <c r="C1628" s="23" t="s">
        <v>10537</v>
      </c>
      <c r="D1628" s="23" t="s">
        <v>10538</v>
      </c>
      <c r="E1628" s="23" t="s">
        <v>1642</v>
      </c>
      <c r="F1628" s="23" t="s">
        <v>4859</v>
      </c>
      <c r="G1628" s="22">
        <v>2005</v>
      </c>
      <c r="H1628" s="24">
        <v>38434</v>
      </c>
      <c r="I1628" s="23"/>
      <c r="J1628" s="23"/>
      <c r="K1628" s="26" t="s">
        <v>1643</v>
      </c>
      <c r="L1628" s="27"/>
      <c r="M1628" s="23"/>
    </row>
    <row r="1629" spans="1:13" ht="15.75" customHeight="1">
      <c r="A1629" s="22">
        <v>37572949</v>
      </c>
      <c r="B1629" s="23" t="s">
        <v>10539</v>
      </c>
      <c r="C1629" s="23" t="s">
        <v>10540</v>
      </c>
      <c r="D1629" s="23" t="s">
        <v>10541</v>
      </c>
      <c r="E1629" s="23" t="s">
        <v>2914</v>
      </c>
      <c r="F1629" s="23" t="s">
        <v>5584</v>
      </c>
      <c r="G1629" s="22">
        <v>2023</v>
      </c>
      <c r="H1629" s="24">
        <v>45150</v>
      </c>
      <c r="I1629" s="23"/>
      <c r="J1629" s="23"/>
      <c r="K1629" s="26" t="s">
        <v>2915</v>
      </c>
      <c r="L1629" s="27"/>
      <c r="M1629" s="27"/>
    </row>
    <row r="1630" spans="1:13" ht="15.75" customHeight="1">
      <c r="A1630" s="22">
        <v>38470444</v>
      </c>
      <c r="B1630" s="23" t="s">
        <v>10542</v>
      </c>
      <c r="C1630" s="23" t="s">
        <v>10543</v>
      </c>
      <c r="D1630" s="23" t="s">
        <v>10544</v>
      </c>
      <c r="E1630" s="23" t="s">
        <v>4735</v>
      </c>
      <c r="F1630" s="23" t="s">
        <v>10545</v>
      </c>
      <c r="G1630" s="22">
        <v>2024</v>
      </c>
      <c r="H1630" s="24">
        <v>45363</v>
      </c>
      <c r="I1630" s="26" t="s">
        <v>10546</v>
      </c>
      <c r="J1630" s="27"/>
      <c r="K1630" s="26" t="s">
        <v>4736</v>
      </c>
      <c r="L1630" s="27"/>
      <c r="M1630" s="27"/>
    </row>
    <row r="1631" spans="1:13" ht="15.75" customHeight="1">
      <c r="A1631" s="22">
        <v>31824487</v>
      </c>
      <c r="B1631" s="23" t="s">
        <v>10547</v>
      </c>
      <c r="C1631" s="23" t="s">
        <v>10548</v>
      </c>
      <c r="D1631" s="23" t="s">
        <v>10549</v>
      </c>
      <c r="E1631" s="23" t="s">
        <v>3958</v>
      </c>
      <c r="F1631" s="23" t="s">
        <v>4912</v>
      </c>
      <c r="G1631" s="22">
        <v>2019</v>
      </c>
      <c r="H1631" s="24">
        <v>43811</v>
      </c>
      <c r="I1631" s="26" t="s">
        <v>10550</v>
      </c>
      <c r="J1631" s="27"/>
      <c r="K1631" s="26" t="s">
        <v>3959</v>
      </c>
      <c r="L1631" s="27"/>
      <c r="M1631" s="27"/>
    </row>
    <row r="1632" spans="1:13" ht="15.75" customHeight="1">
      <c r="A1632" s="22">
        <v>11843812</v>
      </c>
      <c r="B1632" s="23" t="s">
        <v>10551</v>
      </c>
      <c r="C1632" s="23" t="s">
        <v>10552</v>
      </c>
      <c r="D1632" s="23" t="s">
        <v>10553</v>
      </c>
      <c r="E1632" s="23" t="s">
        <v>3153</v>
      </c>
      <c r="F1632" s="23" t="s">
        <v>5211</v>
      </c>
      <c r="G1632" s="22">
        <v>2001</v>
      </c>
      <c r="H1632" s="24">
        <v>37302</v>
      </c>
      <c r="I1632" s="23"/>
      <c r="J1632" s="23"/>
      <c r="K1632" s="26" t="s">
        <v>3154</v>
      </c>
      <c r="L1632" s="27"/>
      <c r="M1632" s="27"/>
    </row>
    <row r="1633" spans="1:13" ht="15.75" customHeight="1">
      <c r="A1633" s="22">
        <v>31005137</v>
      </c>
      <c r="B1633" s="23" t="s">
        <v>10554</v>
      </c>
      <c r="C1633" s="23" t="s">
        <v>10555</v>
      </c>
      <c r="D1633" s="23" t="s">
        <v>10556</v>
      </c>
      <c r="E1633" s="23" t="s">
        <v>1028</v>
      </c>
      <c r="F1633" s="23" t="s">
        <v>8612</v>
      </c>
      <c r="G1633" s="22">
        <v>2019</v>
      </c>
      <c r="H1633" s="24">
        <v>43577</v>
      </c>
      <c r="I1633" s="23"/>
      <c r="J1633" s="23"/>
      <c r="K1633" s="26" t="s">
        <v>1756</v>
      </c>
      <c r="L1633" s="27"/>
      <c r="M1633" s="27"/>
    </row>
    <row r="1634" spans="1:13" ht="15.75" customHeight="1">
      <c r="A1634" s="22">
        <v>36300166</v>
      </c>
      <c r="B1634" s="23" t="s">
        <v>10557</v>
      </c>
      <c r="C1634" s="23" t="s">
        <v>10558</v>
      </c>
      <c r="D1634" s="23" t="s">
        <v>10559</v>
      </c>
      <c r="E1634" s="23" t="s">
        <v>960</v>
      </c>
      <c r="F1634" s="23" t="s">
        <v>9385</v>
      </c>
      <c r="G1634" s="22">
        <v>2022</v>
      </c>
      <c r="H1634" s="24">
        <v>44861</v>
      </c>
      <c r="I1634" s="26" t="s">
        <v>10560</v>
      </c>
      <c r="J1634" s="27"/>
      <c r="K1634" s="26" t="s">
        <v>964</v>
      </c>
      <c r="L1634" s="27"/>
      <c r="M1634" s="23"/>
    </row>
    <row r="1635" spans="1:13" ht="15.75" customHeight="1">
      <c r="A1635" s="22">
        <v>30831627</v>
      </c>
      <c r="B1635" s="23" t="s">
        <v>10561</v>
      </c>
      <c r="C1635" s="23" t="s">
        <v>10562</v>
      </c>
      <c r="D1635" s="23" t="s">
        <v>10563</v>
      </c>
      <c r="E1635" s="23" t="s">
        <v>2571</v>
      </c>
      <c r="F1635" s="23" t="s">
        <v>5874</v>
      </c>
      <c r="G1635" s="22">
        <v>2019</v>
      </c>
      <c r="H1635" s="24">
        <v>43529</v>
      </c>
      <c r="I1635" s="26" t="s">
        <v>10564</v>
      </c>
      <c r="J1635" s="27"/>
      <c r="K1635" s="26" t="s">
        <v>2572</v>
      </c>
      <c r="L1635" s="27"/>
      <c r="M1635" s="27"/>
    </row>
    <row r="1636" spans="1:13" ht="15.75" customHeight="1">
      <c r="A1636" s="22">
        <v>20408855</v>
      </c>
      <c r="B1636" s="23" t="s">
        <v>10565</v>
      </c>
      <c r="C1636" s="23" t="s">
        <v>10566</v>
      </c>
      <c r="D1636" s="23" t="s">
        <v>10567</v>
      </c>
      <c r="E1636" s="23" t="s">
        <v>2330</v>
      </c>
      <c r="F1636" s="23" t="s">
        <v>9008</v>
      </c>
      <c r="G1636" s="22">
        <v>2010</v>
      </c>
      <c r="H1636" s="24">
        <v>40291</v>
      </c>
      <c r="I1636" s="26" t="s">
        <v>10568</v>
      </c>
      <c r="J1636" s="27"/>
      <c r="K1636" s="26" t="s">
        <v>2331</v>
      </c>
      <c r="L1636" s="27"/>
      <c r="M1636" s="27"/>
    </row>
    <row r="1637" spans="1:13" ht="15.75" customHeight="1">
      <c r="A1637" s="22">
        <v>29358873</v>
      </c>
      <c r="B1637" s="23" t="s">
        <v>10569</v>
      </c>
      <c r="C1637" s="23" t="s">
        <v>10570</v>
      </c>
      <c r="D1637" s="23" t="s">
        <v>10571</v>
      </c>
      <c r="E1637" s="23" t="s">
        <v>1405</v>
      </c>
      <c r="F1637" s="23" t="s">
        <v>6632</v>
      </c>
      <c r="G1637" s="22">
        <v>2017</v>
      </c>
      <c r="H1637" s="24">
        <v>43124</v>
      </c>
      <c r="I1637" s="26" t="s">
        <v>10572</v>
      </c>
      <c r="J1637" s="27"/>
      <c r="K1637" s="26" t="s">
        <v>1406</v>
      </c>
      <c r="L1637" s="27"/>
      <c r="M1637" s="23"/>
    </row>
    <row r="1638" spans="1:13" ht="15.75" customHeight="1">
      <c r="A1638" s="22">
        <v>11297322</v>
      </c>
      <c r="B1638" s="23" t="s">
        <v>10573</v>
      </c>
      <c r="C1638" s="23" t="s">
        <v>10574</v>
      </c>
      <c r="D1638" s="23" t="s">
        <v>10575</v>
      </c>
      <c r="E1638" s="23" t="s">
        <v>2357</v>
      </c>
      <c r="F1638" s="23" t="s">
        <v>10576</v>
      </c>
      <c r="G1638" s="22">
        <v>2001</v>
      </c>
      <c r="H1638" s="24">
        <v>36993</v>
      </c>
      <c r="I1638" s="23"/>
      <c r="J1638" s="23"/>
      <c r="K1638" s="26" t="s">
        <v>2358</v>
      </c>
      <c r="L1638" s="27"/>
      <c r="M1638" s="27"/>
    </row>
    <row r="1639" spans="1:13" ht="15.75" customHeight="1">
      <c r="A1639" s="22">
        <v>33048220</v>
      </c>
      <c r="B1639" s="23" t="s">
        <v>10577</v>
      </c>
      <c r="C1639" s="23" t="s">
        <v>10578</v>
      </c>
      <c r="D1639" s="23" t="s">
        <v>10579</v>
      </c>
      <c r="E1639" s="23" t="s">
        <v>2680</v>
      </c>
      <c r="F1639" s="23" t="s">
        <v>7382</v>
      </c>
      <c r="G1639" s="22">
        <v>2021</v>
      </c>
      <c r="H1639" s="24">
        <v>44117</v>
      </c>
      <c r="I1639" s="26" t="s">
        <v>10580</v>
      </c>
      <c r="J1639" s="27"/>
      <c r="K1639" s="26" t="s">
        <v>2681</v>
      </c>
      <c r="L1639" s="27"/>
      <c r="M1639" s="27"/>
    </row>
    <row r="1640" spans="1:13" ht="15.75" customHeight="1">
      <c r="A1640" s="22">
        <v>11887337</v>
      </c>
      <c r="B1640" s="23" t="s">
        <v>10581</v>
      </c>
      <c r="C1640" s="23" t="s">
        <v>10582</v>
      </c>
      <c r="D1640" s="23" t="s">
        <v>10583</v>
      </c>
      <c r="E1640" s="23" t="s">
        <v>2800</v>
      </c>
      <c r="F1640" s="23" t="s">
        <v>4954</v>
      </c>
      <c r="G1640" s="22">
        <v>2001</v>
      </c>
      <c r="H1640" s="24">
        <v>37328</v>
      </c>
      <c r="I1640" s="23"/>
      <c r="J1640" s="23"/>
      <c r="K1640" s="23"/>
      <c r="L1640" s="23"/>
      <c r="M1640" s="23"/>
    </row>
    <row r="1641" spans="1:13" ht="15.75" customHeight="1">
      <c r="A1641" s="22">
        <v>10878482</v>
      </c>
      <c r="B1641" s="23" t="s">
        <v>10584</v>
      </c>
      <c r="C1641" s="23" t="s">
        <v>10585</v>
      </c>
      <c r="D1641" s="23" t="s">
        <v>10586</v>
      </c>
      <c r="E1641" s="23" t="s">
        <v>2818</v>
      </c>
      <c r="F1641" s="23" t="s">
        <v>10587</v>
      </c>
      <c r="G1641" s="22">
        <v>2000</v>
      </c>
      <c r="H1641" s="24">
        <v>36713</v>
      </c>
      <c r="I1641" s="23"/>
      <c r="J1641" s="23"/>
      <c r="K1641" s="26" t="s">
        <v>2819</v>
      </c>
      <c r="L1641" s="27"/>
      <c r="M1641" s="23"/>
    </row>
    <row r="1642" spans="1:13" ht="15.75" customHeight="1">
      <c r="A1642" s="22">
        <v>32906131</v>
      </c>
      <c r="B1642" s="23" t="s">
        <v>10588</v>
      </c>
      <c r="C1642" s="23" t="s">
        <v>10589</v>
      </c>
      <c r="D1642" s="23" t="s">
        <v>10590</v>
      </c>
      <c r="E1642" s="23" t="s">
        <v>973</v>
      </c>
      <c r="F1642" s="23" t="s">
        <v>10591</v>
      </c>
      <c r="G1642" s="22">
        <v>2021</v>
      </c>
      <c r="H1642" s="24">
        <v>44083</v>
      </c>
      <c r="I1642" s="26" t="s">
        <v>10592</v>
      </c>
      <c r="J1642" s="27"/>
      <c r="K1642" s="26" t="s">
        <v>974</v>
      </c>
      <c r="L1642" s="27"/>
      <c r="M1642" s="23"/>
    </row>
    <row r="1643" spans="1:13" ht="15.75" customHeight="1">
      <c r="A1643" s="22">
        <v>15175170</v>
      </c>
      <c r="B1643" s="23" t="s">
        <v>10593</v>
      </c>
      <c r="C1643" s="23" t="s">
        <v>10594</v>
      </c>
      <c r="D1643" s="23" t="s">
        <v>10595</v>
      </c>
      <c r="E1643" s="23" t="s">
        <v>4374</v>
      </c>
      <c r="F1643" s="23" t="s">
        <v>10596</v>
      </c>
      <c r="G1643" s="22">
        <v>2004</v>
      </c>
      <c r="H1643" s="24">
        <v>38142</v>
      </c>
      <c r="I1643" s="26" t="s">
        <v>10597</v>
      </c>
      <c r="J1643" s="27"/>
      <c r="K1643" s="26" t="s">
        <v>4375</v>
      </c>
      <c r="L1643" s="27"/>
      <c r="M1643" s="23"/>
    </row>
    <row r="1644" spans="1:13" ht="15.75" customHeight="1">
      <c r="A1644" s="22">
        <v>20548847</v>
      </c>
      <c r="B1644" s="23" t="s">
        <v>10598</v>
      </c>
      <c r="C1644" s="23" t="s">
        <v>10599</v>
      </c>
      <c r="D1644" s="23" t="s">
        <v>10600</v>
      </c>
      <c r="E1644" s="23" t="s">
        <v>4612</v>
      </c>
      <c r="F1644" s="23" t="s">
        <v>10601</v>
      </c>
      <c r="G1644" s="22">
        <v>2009</v>
      </c>
      <c r="H1644" s="24">
        <v>40345</v>
      </c>
      <c r="I1644" s="26" t="s">
        <v>10602</v>
      </c>
      <c r="J1644" s="27"/>
      <c r="K1644" s="26" t="s">
        <v>4613</v>
      </c>
      <c r="L1644" s="27"/>
      <c r="M1644" s="23"/>
    </row>
    <row r="1645" spans="1:13" ht="15.75" customHeight="1">
      <c r="A1645" s="22">
        <v>30958288</v>
      </c>
      <c r="B1645" s="23" t="s">
        <v>10603</v>
      </c>
      <c r="C1645" s="23" t="s">
        <v>10604</v>
      </c>
      <c r="D1645" s="23" t="s">
        <v>10605</v>
      </c>
      <c r="E1645" s="23" t="s">
        <v>2683</v>
      </c>
      <c r="F1645" s="23" t="s">
        <v>10606</v>
      </c>
      <c r="G1645" s="22">
        <v>2019</v>
      </c>
      <c r="H1645" s="24">
        <v>43564</v>
      </c>
      <c r="I1645" s="23"/>
      <c r="J1645" s="23"/>
      <c r="K1645" s="23"/>
      <c r="L1645" s="23"/>
      <c r="M1645" s="23"/>
    </row>
    <row r="1646" spans="1:13" ht="15.75" customHeight="1">
      <c r="A1646" s="22">
        <v>38817703</v>
      </c>
      <c r="B1646" s="23" t="s">
        <v>10607</v>
      </c>
      <c r="C1646" s="23" t="s">
        <v>10608</v>
      </c>
      <c r="D1646" s="23" t="s">
        <v>10609</v>
      </c>
      <c r="E1646" s="23" t="s">
        <v>158</v>
      </c>
      <c r="F1646" s="23" t="s">
        <v>9429</v>
      </c>
      <c r="G1646" s="22">
        <v>2024</v>
      </c>
      <c r="H1646" s="24">
        <v>45443</v>
      </c>
      <c r="I1646" s="26" t="s">
        <v>10610</v>
      </c>
      <c r="J1646" s="27"/>
      <c r="K1646" s="26" t="s">
        <v>439</v>
      </c>
      <c r="L1646" s="27"/>
      <c r="M1646" s="23"/>
    </row>
    <row r="1647" spans="1:13" ht="15.75" customHeight="1">
      <c r="A1647" s="22">
        <v>18789976</v>
      </c>
      <c r="B1647" s="23" t="s">
        <v>10611</v>
      </c>
      <c r="C1647" s="23" t="s">
        <v>10612</v>
      </c>
      <c r="D1647" s="23" t="s">
        <v>10613</v>
      </c>
      <c r="E1647" s="23" t="s">
        <v>695</v>
      </c>
      <c r="F1647" s="23" t="s">
        <v>5267</v>
      </c>
      <c r="G1647" s="22">
        <v>2008</v>
      </c>
      <c r="H1647" s="24">
        <v>39707</v>
      </c>
      <c r="I1647" s="23"/>
      <c r="J1647" s="23"/>
      <c r="K1647" s="26" t="s">
        <v>696</v>
      </c>
      <c r="L1647" s="27"/>
      <c r="M1647" s="27"/>
    </row>
    <row r="1648" spans="1:13" ht="15.75" customHeight="1">
      <c r="A1648" s="22">
        <v>8907621</v>
      </c>
      <c r="B1648" s="23" t="s">
        <v>10614</v>
      </c>
      <c r="C1648" s="23" t="s">
        <v>10615</v>
      </c>
      <c r="D1648" s="23" t="s">
        <v>10616</v>
      </c>
      <c r="E1648" s="23" t="s">
        <v>1431</v>
      </c>
      <c r="F1648" s="23" t="s">
        <v>10617</v>
      </c>
      <c r="G1648" s="22">
        <v>1995</v>
      </c>
      <c r="H1648" s="24">
        <v>34700</v>
      </c>
      <c r="I1648" s="23"/>
      <c r="J1648" s="23"/>
      <c r="K1648" s="23"/>
      <c r="L1648" s="23"/>
      <c r="M1648" s="23"/>
    </row>
    <row r="1649" spans="1:13" ht="15.75" customHeight="1">
      <c r="A1649" s="22">
        <v>34932790</v>
      </c>
      <c r="B1649" s="23" t="s">
        <v>10618</v>
      </c>
      <c r="C1649" s="23" t="s">
        <v>10619</v>
      </c>
      <c r="D1649" s="23" t="s">
        <v>10620</v>
      </c>
      <c r="E1649" s="23" t="s">
        <v>939</v>
      </c>
      <c r="F1649" s="23" t="s">
        <v>4833</v>
      </c>
      <c r="G1649" s="22">
        <v>2022</v>
      </c>
      <c r="H1649" s="24">
        <v>44551</v>
      </c>
      <c r="I1649" s="26" t="s">
        <v>10621</v>
      </c>
      <c r="J1649" s="27"/>
      <c r="K1649" s="26" t="s">
        <v>940</v>
      </c>
      <c r="L1649" s="27"/>
      <c r="M1649" s="27"/>
    </row>
    <row r="1650" spans="1:13" ht="15.75" customHeight="1">
      <c r="A1650" s="22">
        <v>25442238</v>
      </c>
      <c r="B1650" s="23" t="s">
        <v>10622</v>
      </c>
      <c r="C1650" s="23" t="s">
        <v>10623</v>
      </c>
      <c r="D1650" s="23" t="s">
        <v>10624</v>
      </c>
      <c r="E1650" s="23" t="s">
        <v>3113</v>
      </c>
      <c r="F1650" s="23" t="s">
        <v>10625</v>
      </c>
      <c r="G1650" s="22">
        <v>2015</v>
      </c>
      <c r="H1650" s="24">
        <v>41976</v>
      </c>
      <c r="I1650" s="23"/>
      <c r="J1650" s="23"/>
      <c r="K1650" s="26" t="s">
        <v>3114</v>
      </c>
      <c r="L1650" s="27"/>
      <c r="M1650" s="27"/>
    </row>
    <row r="1651" spans="1:13" ht="15.75" customHeight="1">
      <c r="A1651" s="22">
        <v>21161019</v>
      </c>
      <c r="B1651" s="23" t="s">
        <v>10626</v>
      </c>
      <c r="C1651" s="23" t="s">
        <v>10627</v>
      </c>
      <c r="D1651" s="23" t="s">
        <v>10628</v>
      </c>
      <c r="E1651" s="23" t="s">
        <v>3695</v>
      </c>
      <c r="F1651" s="23" t="s">
        <v>10629</v>
      </c>
      <c r="G1651" s="22">
        <v>2010</v>
      </c>
      <c r="H1651" s="24">
        <v>40529</v>
      </c>
      <c r="I1651" s="26" t="s">
        <v>10630</v>
      </c>
      <c r="J1651" s="27"/>
      <c r="K1651" s="26" t="s">
        <v>3714</v>
      </c>
      <c r="L1651" s="27"/>
      <c r="M1651" s="23"/>
    </row>
    <row r="1652" spans="1:13" ht="15.75" customHeight="1">
      <c r="A1652" s="22">
        <v>23544389</v>
      </c>
      <c r="B1652" s="23" t="s">
        <v>10631</v>
      </c>
      <c r="C1652" s="23" t="s">
        <v>10632</v>
      </c>
      <c r="D1652" s="23" t="s">
        <v>10633</v>
      </c>
      <c r="E1652" s="23" t="s">
        <v>4093</v>
      </c>
      <c r="F1652" s="23" t="s">
        <v>5550</v>
      </c>
      <c r="G1652" s="22">
        <v>2013</v>
      </c>
      <c r="H1652" s="24">
        <v>41367</v>
      </c>
      <c r="I1652" s="23"/>
      <c r="J1652" s="23"/>
      <c r="K1652" s="26" t="s">
        <v>4094</v>
      </c>
      <c r="L1652" s="27"/>
      <c r="M1652" s="27"/>
    </row>
    <row r="1653" spans="1:13" ht="15.75" customHeight="1">
      <c r="A1653" s="22">
        <v>18675102</v>
      </c>
      <c r="B1653" s="23" t="s">
        <v>10634</v>
      </c>
      <c r="C1653" s="23" t="s">
        <v>10635</v>
      </c>
      <c r="D1653" s="23" t="s">
        <v>10636</v>
      </c>
      <c r="E1653" s="23" t="s">
        <v>1871</v>
      </c>
      <c r="F1653" s="23" t="s">
        <v>5696</v>
      </c>
      <c r="G1653" s="22">
        <v>2008</v>
      </c>
      <c r="H1653" s="24">
        <v>39665</v>
      </c>
      <c r="I1653" s="23"/>
      <c r="J1653" s="23"/>
      <c r="K1653" s="26" t="s">
        <v>1872</v>
      </c>
      <c r="L1653" s="27"/>
      <c r="M1653" s="27"/>
    </row>
    <row r="1654" spans="1:13" ht="15.75" customHeight="1">
      <c r="A1654" s="22">
        <v>38945270</v>
      </c>
      <c r="B1654" s="23" t="s">
        <v>10637</v>
      </c>
      <c r="C1654" s="23" t="s">
        <v>10638</v>
      </c>
      <c r="D1654" s="23" t="s">
        <v>10639</v>
      </c>
      <c r="E1654" s="23" t="s">
        <v>4783</v>
      </c>
      <c r="F1654" s="23" t="s">
        <v>4851</v>
      </c>
      <c r="G1654" s="22">
        <v>2024</v>
      </c>
      <c r="H1654" s="24">
        <v>45473</v>
      </c>
      <c r="I1654" s="23"/>
      <c r="J1654" s="23"/>
      <c r="K1654" s="26" t="s">
        <v>4784</v>
      </c>
      <c r="L1654" s="27"/>
      <c r="M1654" s="27"/>
    </row>
    <row r="1655" spans="1:13" ht="15.75" customHeight="1">
      <c r="A1655" s="22">
        <v>35757074</v>
      </c>
      <c r="B1655" s="23" t="s">
        <v>10640</v>
      </c>
      <c r="C1655" s="23" t="s">
        <v>10641</v>
      </c>
      <c r="D1655" s="23" t="s">
        <v>10642</v>
      </c>
      <c r="E1655" s="23" t="s">
        <v>1146</v>
      </c>
      <c r="F1655" s="23" t="s">
        <v>10643</v>
      </c>
      <c r="G1655" s="22">
        <v>2021</v>
      </c>
      <c r="H1655" s="24">
        <v>44739</v>
      </c>
      <c r="I1655" s="26" t="s">
        <v>10644</v>
      </c>
      <c r="J1655" s="27"/>
      <c r="K1655" s="26" t="s">
        <v>1147</v>
      </c>
      <c r="L1655" s="27"/>
      <c r="M1655" s="27"/>
    </row>
    <row r="1656" spans="1:13" ht="15.75" customHeight="1">
      <c r="A1656" s="22">
        <v>35336070</v>
      </c>
      <c r="B1656" s="23" t="s">
        <v>10645</v>
      </c>
      <c r="C1656" s="23" t="s">
        <v>10646</v>
      </c>
      <c r="D1656" s="23" t="s">
        <v>10647</v>
      </c>
      <c r="E1656" s="23" t="s">
        <v>1386</v>
      </c>
      <c r="F1656" s="23" t="s">
        <v>9231</v>
      </c>
      <c r="G1656" s="22">
        <v>2022</v>
      </c>
      <c r="H1656" s="24">
        <v>44646</v>
      </c>
      <c r="I1656" s="26" t="s">
        <v>10648</v>
      </c>
      <c r="J1656" s="27"/>
      <c r="K1656" s="26" t="s">
        <v>1391</v>
      </c>
      <c r="L1656" s="27"/>
      <c r="M1656" s="27"/>
    </row>
    <row r="1657" spans="1:13" ht="15.75" customHeight="1">
      <c r="A1657" s="22">
        <v>37131308</v>
      </c>
      <c r="B1657" s="23" t="s">
        <v>10649</v>
      </c>
      <c r="C1657" s="23" t="s">
        <v>10650</v>
      </c>
      <c r="D1657" s="23" t="s">
        <v>10651</v>
      </c>
      <c r="E1657" s="23" t="s">
        <v>1567</v>
      </c>
      <c r="F1657" s="23" t="s">
        <v>10652</v>
      </c>
      <c r="G1657" s="22">
        <v>2023</v>
      </c>
      <c r="H1657" s="24">
        <v>45049</v>
      </c>
      <c r="I1657" s="26" t="s">
        <v>10653</v>
      </c>
      <c r="J1657" s="27"/>
      <c r="K1657" s="26" t="s">
        <v>1568</v>
      </c>
      <c r="L1657" s="27"/>
      <c r="M1657" s="23"/>
    </row>
    <row r="1658" spans="1:13" ht="15.75" customHeight="1">
      <c r="A1658" s="22">
        <v>2571338</v>
      </c>
      <c r="B1658" s="23" t="s">
        <v>10654</v>
      </c>
      <c r="C1658" s="23" t="s">
        <v>10655</v>
      </c>
      <c r="D1658" s="23" t="s">
        <v>10656</v>
      </c>
      <c r="E1658" s="23" t="s">
        <v>2088</v>
      </c>
      <c r="F1658" s="23" t="s">
        <v>8350</v>
      </c>
      <c r="G1658" s="22">
        <v>1989</v>
      </c>
      <c r="H1658" s="24">
        <v>32721</v>
      </c>
      <c r="I1658" s="23"/>
      <c r="J1658" s="23"/>
      <c r="K1658" s="26" t="s">
        <v>2089</v>
      </c>
      <c r="L1658" s="27"/>
      <c r="M1658" s="27"/>
    </row>
    <row r="1659" spans="1:13" ht="15.75" customHeight="1">
      <c r="A1659" s="22">
        <v>34188012</v>
      </c>
      <c r="B1659" s="23" t="s">
        <v>10657</v>
      </c>
      <c r="C1659" s="23" t="s">
        <v>10658</v>
      </c>
      <c r="D1659" s="23" t="s">
        <v>10659</v>
      </c>
      <c r="E1659" s="23" t="s">
        <v>3816</v>
      </c>
      <c r="F1659" s="23" t="s">
        <v>10660</v>
      </c>
      <c r="G1659" s="22">
        <v>2021</v>
      </c>
      <c r="H1659" s="24">
        <v>44377</v>
      </c>
      <c r="I1659" s="26" t="s">
        <v>10661</v>
      </c>
      <c r="J1659" s="27"/>
      <c r="K1659" s="26" t="s">
        <v>3817</v>
      </c>
      <c r="L1659" s="27"/>
      <c r="M1659" s="23"/>
    </row>
    <row r="1660" spans="1:13" ht="15.75" customHeight="1">
      <c r="A1660" s="22">
        <v>21457420</v>
      </c>
      <c r="B1660" s="23" t="s">
        <v>10662</v>
      </c>
      <c r="C1660" s="23" t="s">
        <v>10663</v>
      </c>
      <c r="D1660" s="23" t="s">
        <v>10664</v>
      </c>
      <c r="E1660" s="23" t="s">
        <v>698</v>
      </c>
      <c r="F1660" s="23" t="s">
        <v>4974</v>
      </c>
      <c r="G1660" s="22">
        <v>2011</v>
      </c>
      <c r="H1660" s="24">
        <v>40638</v>
      </c>
      <c r="I1660" s="23"/>
      <c r="J1660" s="23"/>
      <c r="K1660" s="26" t="s">
        <v>699</v>
      </c>
      <c r="L1660" s="27"/>
      <c r="M1660" s="27"/>
    </row>
    <row r="1661" spans="1:13" ht="15.75" customHeight="1">
      <c r="A1661" s="22">
        <v>10911374</v>
      </c>
      <c r="B1661" s="23" t="s">
        <v>10665</v>
      </c>
      <c r="C1661" s="23" t="s">
        <v>10666</v>
      </c>
      <c r="D1661" s="23" t="s">
        <v>10667</v>
      </c>
      <c r="E1661" s="23" t="s">
        <v>2566</v>
      </c>
      <c r="F1661" s="23" t="s">
        <v>5291</v>
      </c>
      <c r="G1661" s="22">
        <v>2000</v>
      </c>
      <c r="H1661" s="24">
        <v>36734</v>
      </c>
      <c r="I1661" s="23"/>
      <c r="J1661" s="23"/>
      <c r="K1661" s="26" t="s">
        <v>2567</v>
      </c>
      <c r="L1661" s="27"/>
      <c r="M1661" s="27"/>
    </row>
    <row r="1662" spans="1:13" ht="15.75" customHeight="1">
      <c r="A1662" s="22">
        <v>37602673</v>
      </c>
      <c r="B1662" s="23" t="s">
        <v>10668</v>
      </c>
      <c r="C1662" s="23" t="s">
        <v>10669</v>
      </c>
      <c r="D1662" s="23" t="s">
        <v>10670</v>
      </c>
      <c r="E1662" s="23" t="s">
        <v>1448</v>
      </c>
      <c r="F1662" s="23" t="s">
        <v>10671</v>
      </c>
      <c r="G1662" s="22">
        <v>2023</v>
      </c>
      <c r="H1662" s="24">
        <v>45159</v>
      </c>
      <c r="I1662" s="26" t="s">
        <v>10672</v>
      </c>
      <c r="J1662" s="27"/>
      <c r="K1662" s="26" t="s">
        <v>1449</v>
      </c>
      <c r="L1662" s="27"/>
      <c r="M1662" s="27"/>
    </row>
    <row r="1663" spans="1:13" ht="15.75" customHeight="1">
      <c r="A1663" s="22">
        <v>11201155</v>
      </c>
      <c r="B1663" s="23" t="s">
        <v>10673</v>
      </c>
      <c r="C1663" s="23" t="s">
        <v>10674</v>
      </c>
      <c r="D1663" s="23" t="s">
        <v>10675</v>
      </c>
      <c r="E1663" s="23" t="s">
        <v>4213</v>
      </c>
      <c r="F1663" s="23" t="s">
        <v>5047</v>
      </c>
      <c r="G1663" s="22">
        <v>2000</v>
      </c>
      <c r="H1663" s="24">
        <v>36946</v>
      </c>
      <c r="I1663" s="23"/>
      <c r="J1663" s="23"/>
      <c r="K1663" s="23"/>
      <c r="L1663" s="23"/>
      <c r="M1663" s="23"/>
    </row>
    <row r="1664" spans="1:13" ht="15.75" customHeight="1">
      <c r="A1664" s="22">
        <v>12073776</v>
      </c>
      <c r="B1664" s="23" t="s">
        <v>10676</v>
      </c>
      <c r="C1664" s="23" t="s">
        <v>8850</v>
      </c>
      <c r="D1664" s="23" t="s">
        <v>10677</v>
      </c>
      <c r="E1664" s="23" t="s">
        <v>2800</v>
      </c>
      <c r="F1664" s="23" t="s">
        <v>4954</v>
      </c>
      <c r="G1664" s="22">
        <v>2002</v>
      </c>
      <c r="H1664" s="24">
        <v>37428</v>
      </c>
      <c r="I1664" s="23"/>
      <c r="J1664" s="23"/>
      <c r="K1664" s="23"/>
      <c r="L1664" s="23"/>
      <c r="M1664" s="23"/>
    </row>
    <row r="1665" spans="1:13" ht="15.75" customHeight="1">
      <c r="A1665" s="22">
        <v>38144451</v>
      </c>
      <c r="B1665" s="23" t="s">
        <v>10678</v>
      </c>
      <c r="C1665" s="23" t="s">
        <v>10679</v>
      </c>
      <c r="D1665" s="23" t="s">
        <v>10680</v>
      </c>
      <c r="E1665" s="23" t="s">
        <v>1161</v>
      </c>
      <c r="F1665" s="23" t="s">
        <v>10125</v>
      </c>
      <c r="G1665" s="22">
        <v>2023</v>
      </c>
      <c r="H1665" s="24">
        <v>45285</v>
      </c>
      <c r="I1665" s="26" t="s">
        <v>10681</v>
      </c>
      <c r="J1665" s="27"/>
      <c r="K1665" s="26" t="s">
        <v>1162</v>
      </c>
      <c r="L1665" s="27"/>
      <c r="M1665" s="27"/>
    </row>
    <row r="1666" spans="1:13" ht="15.75" customHeight="1">
      <c r="A1666" s="22">
        <v>25074497</v>
      </c>
      <c r="B1666" s="23" t="s">
        <v>10682</v>
      </c>
      <c r="C1666" s="23" t="s">
        <v>10683</v>
      </c>
      <c r="D1666" s="23" t="s">
        <v>10684</v>
      </c>
      <c r="E1666" s="23" t="s">
        <v>4327</v>
      </c>
      <c r="F1666" s="23" t="s">
        <v>5543</v>
      </c>
      <c r="G1666" s="22">
        <v>2014</v>
      </c>
      <c r="H1666" s="24">
        <v>41851</v>
      </c>
      <c r="I1666" s="23"/>
      <c r="J1666" s="23"/>
      <c r="K1666" s="26" t="s">
        <v>4328</v>
      </c>
      <c r="L1666" s="27"/>
      <c r="M1666" s="23"/>
    </row>
    <row r="1667" spans="1:13" ht="15.75" customHeight="1">
      <c r="A1667" s="22">
        <v>36367762</v>
      </c>
      <c r="B1667" s="23" t="s">
        <v>10685</v>
      </c>
      <c r="C1667" s="23" t="s">
        <v>10686</v>
      </c>
      <c r="D1667" s="23" t="s">
        <v>10687</v>
      </c>
      <c r="E1667" s="23" t="s">
        <v>2203</v>
      </c>
      <c r="F1667" s="23" t="s">
        <v>4966</v>
      </c>
      <c r="G1667" s="22">
        <v>2022</v>
      </c>
      <c r="H1667" s="24">
        <v>44876</v>
      </c>
      <c r="I1667" s="23"/>
      <c r="J1667" s="23"/>
      <c r="K1667" s="26" t="s">
        <v>2204</v>
      </c>
      <c r="L1667" s="27"/>
      <c r="M1667" s="23"/>
    </row>
    <row r="1668" spans="1:13" ht="15.75" customHeight="1">
      <c r="A1668" s="22">
        <v>25492663</v>
      </c>
      <c r="B1668" s="23" t="s">
        <v>10688</v>
      </c>
      <c r="C1668" s="23" t="s">
        <v>10689</v>
      </c>
      <c r="D1668" s="23" t="s">
        <v>10690</v>
      </c>
      <c r="E1668" s="23" t="s">
        <v>1990</v>
      </c>
      <c r="F1668" s="23" t="s">
        <v>6282</v>
      </c>
      <c r="G1668" s="22">
        <v>2014</v>
      </c>
      <c r="H1668" s="24">
        <v>41984</v>
      </c>
      <c r="I1668" s="23"/>
      <c r="J1668" s="23"/>
      <c r="K1668" s="26" t="s">
        <v>1991</v>
      </c>
      <c r="L1668" s="27"/>
      <c r="M1668" s="23"/>
    </row>
    <row r="1669" spans="1:13" ht="15.75" customHeight="1">
      <c r="A1669" s="22">
        <v>32183884</v>
      </c>
      <c r="B1669" s="23" t="s">
        <v>10691</v>
      </c>
      <c r="C1669" s="23" t="s">
        <v>10692</v>
      </c>
      <c r="D1669" s="23" t="s">
        <v>10693</v>
      </c>
      <c r="E1669" s="23" t="s">
        <v>2284</v>
      </c>
      <c r="F1669" s="23" t="s">
        <v>4867</v>
      </c>
      <c r="G1669" s="22">
        <v>2020</v>
      </c>
      <c r="H1669" s="24">
        <v>43909</v>
      </c>
      <c r="I1669" s="26" t="s">
        <v>10694</v>
      </c>
      <c r="J1669" s="27"/>
      <c r="K1669" s="26" t="s">
        <v>2285</v>
      </c>
      <c r="L1669" s="27"/>
      <c r="M1669" s="27"/>
    </row>
    <row r="1670" spans="1:13" ht="15.75" customHeight="1">
      <c r="A1670" s="22">
        <v>16116557</v>
      </c>
      <c r="B1670" s="23" t="s">
        <v>10695</v>
      </c>
      <c r="C1670" s="23" t="s">
        <v>10696</v>
      </c>
      <c r="D1670" s="23" t="s">
        <v>10697</v>
      </c>
      <c r="E1670" s="23" t="s">
        <v>2163</v>
      </c>
      <c r="F1670" s="23" t="s">
        <v>10698</v>
      </c>
      <c r="G1670" s="22">
        <v>2005</v>
      </c>
      <c r="H1670" s="24">
        <v>38588</v>
      </c>
      <c r="I1670" s="23"/>
      <c r="J1670" s="23"/>
      <c r="K1670" s="26" t="s">
        <v>2164</v>
      </c>
      <c r="L1670" s="27"/>
      <c r="M1670" s="23"/>
    </row>
    <row r="1671" spans="1:13" ht="15.75" customHeight="1">
      <c r="A1671" s="22">
        <v>9827286</v>
      </c>
      <c r="B1671" s="23" t="s">
        <v>10699</v>
      </c>
      <c r="C1671" s="23" t="s">
        <v>10700</v>
      </c>
      <c r="D1671" s="23" t="s">
        <v>10701</v>
      </c>
      <c r="E1671" s="23" t="s">
        <v>4389</v>
      </c>
      <c r="F1671" s="23" t="s">
        <v>5080</v>
      </c>
      <c r="G1671" s="22">
        <v>1998</v>
      </c>
      <c r="H1671" s="24">
        <v>36124</v>
      </c>
      <c r="I1671" s="23"/>
      <c r="J1671" s="23"/>
      <c r="K1671" s="26" t="s">
        <v>4390</v>
      </c>
      <c r="L1671" s="27"/>
      <c r="M1671" s="23"/>
    </row>
    <row r="1672" spans="1:13" ht="15.75" customHeight="1">
      <c r="A1672" s="22">
        <v>30294260</v>
      </c>
      <c r="B1672" s="23" t="s">
        <v>10702</v>
      </c>
      <c r="C1672" s="23" t="s">
        <v>10703</v>
      </c>
      <c r="D1672" s="23" t="s">
        <v>10704</v>
      </c>
      <c r="E1672" s="23" t="s">
        <v>4136</v>
      </c>
      <c r="F1672" s="23" t="s">
        <v>10705</v>
      </c>
      <c r="G1672" s="22">
        <v>2018</v>
      </c>
      <c r="H1672" s="24">
        <v>43382</v>
      </c>
      <c r="I1672" s="26" t="s">
        <v>10706</v>
      </c>
      <c r="J1672" s="27"/>
      <c r="K1672" s="26" t="s">
        <v>4137</v>
      </c>
      <c r="L1672" s="27"/>
      <c r="M1672" s="27"/>
    </row>
    <row r="1673" spans="1:13" ht="15.75" customHeight="1">
      <c r="A1673" s="22">
        <v>28282487</v>
      </c>
      <c r="B1673" s="23" t="s">
        <v>10707</v>
      </c>
      <c r="C1673" s="23" t="s">
        <v>10708</v>
      </c>
      <c r="D1673" s="23" t="s">
        <v>10709</v>
      </c>
      <c r="E1673" s="23" t="s">
        <v>3334</v>
      </c>
      <c r="F1673" s="23" t="s">
        <v>10710</v>
      </c>
      <c r="G1673" s="22">
        <v>2017</v>
      </c>
      <c r="H1673" s="24">
        <v>42805</v>
      </c>
      <c r="I1673" s="23"/>
      <c r="J1673" s="23"/>
      <c r="K1673" s="26" t="s">
        <v>3337</v>
      </c>
      <c r="L1673" s="27"/>
      <c r="M1673" s="23"/>
    </row>
    <row r="1674" spans="1:13" ht="15.75" customHeight="1">
      <c r="A1674" s="22">
        <v>8303178</v>
      </c>
      <c r="B1674" s="23" t="s">
        <v>10711</v>
      </c>
      <c r="C1674" s="23" t="s">
        <v>10712</v>
      </c>
      <c r="D1674" s="23" t="s">
        <v>10713</v>
      </c>
      <c r="E1674" s="23" t="s">
        <v>1844</v>
      </c>
      <c r="F1674" s="23" t="s">
        <v>6575</v>
      </c>
      <c r="G1674" s="22">
        <v>1993</v>
      </c>
      <c r="H1674" s="24">
        <v>34213</v>
      </c>
      <c r="I1674" s="23"/>
      <c r="J1674" s="23"/>
      <c r="K1674" s="23"/>
      <c r="L1674" s="23"/>
      <c r="M1674" s="23"/>
    </row>
    <row r="1675" spans="1:13" ht="15.75" customHeight="1">
      <c r="A1675" s="22">
        <v>34576764</v>
      </c>
      <c r="B1675" s="23" t="s">
        <v>10714</v>
      </c>
      <c r="C1675" s="23" t="s">
        <v>10715</v>
      </c>
      <c r="D1675" s="23" t="s">
        <v>10716</v>
      </c>
      <c r="E1675" s="23" t="s">
        <v>2425</v>
      </c>
      <c r="F1675" s="23" t="s">
        <v>9231</v>
      </c>
      <c r="G1675" s="22">
        <v>2021</v>
      </c>
      <c r="H1675" s="24">
        <v>44467</v>
      </c>
      <c r="I1675" s="26" t="s">
        <v>10717</v>
      </c>
      <c r="J1675" s="27"/>
      <c r="K1675" s="26" t="s">
        <v>2426</v>
      </c>
      <c r="L1675" s="27"/>
      <c r="M1675" s="27"/>
    </row>
    <row r="1676" spans="1:13" ht="15.75" customHeight="1">
      <c r="A1676" s="22">
        <v>16456326</v>
      </c>
      <c r="B1676" s="23" t="s">
        <v>10718</v>
      </c>
      <c r="C1676" s="23" t="s">
        <v>10719</v>
      </c>
      <c r="D1676" s="23" t="s">
        <v>10720</v>
      </c>
      <c r="E1676" s="23" t="s">
        <v>1511</v>
      </c>
      <c r="F1676" s="23" t="s">
        <v>5693</v>
      </c>
      <c r="G1676" s="22">
        <v>2006</v>
      </c>
      <c r="H1676" s="24">
        <v>38752</v>
      </c>
      <c r="I1676" s="23"/>
      <c r="J1676" s="23"/>
      <c r="K1676" s="26" t="s">
        <v>1512</v>
      </c>
      <c r="L1676" s="27"/>
      <c r="M1676" s="27"/>
    </row>
    <row r="1677" spans="1:13" ht="15.75" customHeight="1">
      <c r="A1677" s="22">
        <v>33784434</v>
      </c>
      <c r="B1677" s="23" t="s">
        <v>10721</v>
      </c>
      <c r="C1677" s="23" t="s">
        <v>10722</v>
      </c>
      <c r="D1677" s="23" t="s">
        <v>10723</v>
      </c>
      <c r="E1677" s="23" t="s">
        <v>3410</v>
      </c>
      <c r="F1677" s="23" t="s">
        <v>5291</v>
      </c>
      <c r="G1677" s="22">
        <v>2021</v>
      </c>
      <c r="H1677" s="24">
        <v>44285</v>
      </c>
      <c r="I1677" s="23"/>
      <c r="J1677" s="23"/>
      <c r="K1677" s="26" t="s">
        <v>3411</v>
      </c>
      <c r="L1677" s="27"/>
      <c r="M1677" s="23"/>
    </row>
    <row r="1678" spans="1:13" ht="15.75" customHeight="1">
      <c r="A1678" s="22">
        <v>22580050</v>
      </c>
      <c r="B1678" s="23" t="s">
        <v>10724</v>
      </c>
      <c r="C1678" s="23" t="s">
        <v>10725</v>
      </c>
      <c r="D1678" s="23" t="s">
        <v>10726</v>
      </c>
      <c r="E1678" s="23" t="s">
        <v>2336</v>
      </c>
      <c r="F1678" s="23" t="s">
        <v>9691</v>
      </c>
      <c r="G1678" s="22">
        <v>2012</v>
      </c>
      <c r="H1678" s="24">
        <v>41044</v>
      </c>
      <c r="I1678" s="23"/>
      <c r="J1678" s="23"/>
      <c r="K1678" s="26" t="s">
        <v>2337</v>
      </c>
      <c r="L1678" s="27"/>
      <c r="M1678" s="27"/>
    </row>
    <row r="1679" spans="1:13" ht="15.75" customHeight="1">
      <c r="A1679" s="22">
        <v>31837130</v>
      </c>
      <c r="B1679" s="23" t="s">
        <v>10727</v>
      </c>
      <c r="C1679" s="23" t="s">
        <v>10728</v>
      </c>
      <c r="D1679" s="23" t="s">
        <v>10729</v>
      </c>
      <c r="E1679" s="23" t="s">
        <v>4719</v>
      </c>
      <c r="F1679" s="23" t="s">
        <v>10730</v>
      </c>
      <c r="G1679" s="22">
        <v>2020</v>
      </c>
      <c r="H1679" s="24">
        <v>43814</v>
      </c>
      <c r="I1679" s="26" t="s">
        <v>10731</v>
      </c>
      <c r="J1679" s="27"/>
      <c r="K1679" s="26" t="s">
        <v>4720</v>
      </c>
      <c r="L1679" s="27"/>
      <c r="M1679" s="23"/>
    </row>
    <row r="1680" spans="1:13" ht="15.75" customHeight="1">
      <c r="A1680" s="22">
        <v>35038852</v>
      </c>
      <c r="B1680" s="23" t="s">
        <v>10732</v>
      </c>
      <c r="C1680" s="23" t="s">
        <v>10733</v>
      </c>
      <c r="D1680" s="23" t="s">
        <v>10734</v>
      </c>
      <c r="E1680" s="23" t="s">
        <v>4052</v>
      </c>
      <c r="F1680" s="23" t="s">
        <v>10735</v>
      </c>
      <c r="G1680" s="22">
        <v>2021</v>
      </c>
      <c r="H1680" s="24">
        <v>44579</v>
      </c>
      <c r="I1680" s="23"/>
      <c r="J1680" s="23"/>
      <c r="K1680" s="26" t="s">
        <v>4053</v>
      </c>
      <c r="L1680" s="27"/>
      <c r="M1680" s="27"/>
    </row>
    <row r="1681" spans="1:13" ht="15.75" customHeight="1">
      <c r="A1681" s="22">
        <v>33706010</v>
      </c>
      <c r="B1681" s="23" t="s">
        <v>10736</v>
      </c>
      <c r="C1681" s="23" t="s">
        <v>10737</v>
      </c>
      <c r="D1681" s="23" t="s">
        <v>10738</v>
      </c>
      <c r="E1681" s="23" t="s">
        <v>3860</v>
      </c>
      <c r="F1681" s="23" t="s">
        <v>10739</v>
      </c>
      <c r="G1681" s="22">
        <v>2021</v>
      </c>
      <c r="H1681" s="24">
        <v>44266</v>
      </c>
      <c r="I1681" s="26" t="s">
        <v>10740</v>
      </c>
      <c r="J1681" s="27"/>
      <c r="K1681" s="26" t="s">
        <v>3861</v>
      </c>
      <c r="L1681" s="27"/>
      <c r="M1681" s="27"/>
    </row>
    <row r="1682" spans="1:13" ht="15.75" customHeight="1">
      <c r="A1682" s="22">
        <v>35863244</v>
      </c>
      <c r="B1682" s="23" t="s">
        <v>10741</v>
      </c>
      <c r="C1682" s="23" t="s">
        <v>10742</v>
      </c>
      <c r="D1682" s="23" t="s">
        <v>10743</v>
      </c>
      <c r="E1682" s="23" t="s">
        <v>2539</v>
      </c>
      <c r="F1682" s="23" t="s">
        <v>10744</v>
      </c>
      <c r="G1682" s="22">
        <v>2022</v>
      </c>
      <c r="H1682" s="24">
        <v>44763</v>
      </c>
      <c r="I1682" s="23"/>
      <c r="J1682" s="23"/>
      <c r="K1682" s="26" t="s">
        <v>2540</v>
      </c>
      <c r="L1682" s="27"/>
      <c r="M1682" s="27"/>
    </row>
    <row r="1683" spans="1:13" ht="15.75" customHeight="1">
      <c r="A1683" s="22">
        <v>17716883</v>
      </c>
      <c r="B1683" s="23" t="s">
        <v>10745</v>
      </c>
      <c r="C1683" s="23" t="s">
        <v>10746</v>
      </c>
      <c r="D1683" s="23" t="s">
        <v>10747</v>
      </c>
      <c r="E1683" s="23" t="s">
        <v>4098</v>
      </c>
      <c r="F1683" s="23" t="s">
        <v>10748</v>
      </c>
      <c r="G1683" s="22">
        <v>2007</v>
      </c>
      <c r="H1683" s="24">
        <v>39319</v>
      </c>
      <c r="I1683" s="23" t="s">
        <v>10749</v>
      </c>
      <c r="J1683" s="23" t="s">
        <v>10750</v>
      </c>
      <c r="K1683" s="26" t="s">
        <v>4099</v>
      </c>
      <c r="L1683" s="27"/>
      <c r="M1683" s="27"/>
    </row>
    <row r="1684" spans="1:13" ht="15.75" customHeight="1">
      <c r="A1684" s="22">
        <v>18778180</v>
      </c>
      <c r="B1684" s="23" t="s">
        <v>10751</v>
      </c>
      <c r="C1684" s="23" t="s">
        <v>10752</v>
      </c>
      <c r="D1684" s="23" t="s">
        <v>10753</v>
      </c>
      <c r="E1684" s="23" t="s">
        <v>902</v>
      </c>
      <c r="F1684" s="23" t="s">
        <v>5221</v>
      </c>
      <c r="G1684" s="22">
        <v>2008</v>
      </c>
      <c r="H1684" s="24">
        <v>39701</v>
      </c>
      <c r="I1684" s="23"/>
      <c r="J1684" s="23"/>
      <c r="K1684" s="26" t="s">
        <v>903</v>
      </c>
      <c r="L1684" s="27"/>
      <c r="M1684" s="27"/>
    </row>
    <row r="1685" spans="1:13" ht="15.75" customHeight="1">
      <c r="A1685" s="22">
        <v>36572350</v>
      </c>
      <c r="B1685" s="23" t="s">
        <v>10754</v>
      </c>
      <c r="C1685" s="23" t="s">
        <v>10755</v>
      </c>
      <c r="D1685" s="23" t="s">
        <v>10756</v>
      </c>
      <c r="E1685" s="23" t="s">
        <v>2920</v>
      </c>
      <c r="F1685" s="23" t="s">
        <v>7312</v>
      </c>
      <c r="G1685" s="22">
        <v>2023</v>
      </c>
      <c r="H1685" s="24">
        <v>44921</v>
      </c>
      <c r="I1685" s="23"/>
      <c r="J1685" s="23"/>
      <c r="K1685" s="26" t="s">
        <v>2921</v>
      </c>
      <c r="L1685" s="27"/>
      <c r="M1685" s="27"/>
    </row>
    <row r="1686" spans="1:13" ht="15.75" customHeight="1">
      <c r="A1686" s="22">
        <v>27222672</v>
      </c>
      <c r="B1686" s="23" t="s">
        <v>10757</v>
      </c>
      <c r="C1686" s="23" t="s">
        <v>10758</v>
      </c>
      <c r="D1686" s="23" t="s">
        <v>10759</v>
      </c>
      <c r="E1686" s="23" t="s">
        <v>3514</v>
      </c>
      <c r="F1686" s="23" t="s">
        <v>10760</v>
      </c>
      <c r="G1686" s="22">
        <v>2016</v>
      </c>
      <c r="H1686" s="24">
        <v>42516</v>
      </c>
      <c r="I1686" s="26" t="s">
        <v>10761</v>
      </c>
      <c r="J1686" s="27"/>
      <c r="K1686" s="26" t="s">
        <v>3515</v>
      </c>
      <c r="L1686" s="27"/>
      <c r="M1686" s="23"/>
    </row>
    <row r="1687" spans="1:13" ht="15.75" customHeight="1">
      <c r="A1687" s="22">
        <v>38007049</v>
      </c>
      <c r="B1687" s="23" t="s">
        <v>10762</v>
      </c>
      <c r="C1687" s="23" t="s">
        <v>10763</v>
      </c>
      <c r="D1687" s="23" t="s">
        <v>10764</v>
      </c>
      <c r="E1687" s="23" t="s">
        <v>3584</v>
      </c>
      <c r="F1687" s="23" t="s">
        <v>5051</v>
      </c>
      <c r="G1687" s="22">
        <v>2024</v>
      </c>
      <c r="H1687" s="24">
        <v>45255</v>
      </c>
      <c r="I1687" s="23"/>
      <c r="J1687" s="23"/>
      <c r="K1687" s="26" t="s">
        <v>3585</v>
      </c>
      <c r="L1687" s="27"/>
      <c r="M1687" s="27"/>
    </row>
    <row r="1688" spans="1:13" ht="15.75" customHeight="1">
      <c r="A1688" s="22">
        <v>21236397</v>
      </c>
      <c r="B1688" s="23" t="s">
        <v>8609</v>
      </c>
      <c r="C1688" s="23" t="s">
        <v>8610</v>
      </c>
      <c r="D1688" s="23" t="s">
        <v>10765</v>
      </c>
      <c r="E1688" s="23" t="s">
        <v>3973</v>
      </c>
      <c r="F1688" s="23" t="s">
        <v>10766</v>
      </c>
      <c r="G1688" s="22">
        <v>2011</v>
      </c>
      <c r="H1688" s="24">
        <v>40561</v>
      </c>
      <c r="I1688" s="23"/>
      <c r="J1688" s="23"/>
      <c r="K1688" s="26" t="s">
        <v>3976</v>
      </c>
      <c r="L1688" s="27"/>
      <c r="M1688" s="27"/>
    </row>
    <row r="1689" spans="1:13" ht="15.75" customHeight="1">
      <c r="A1689" s="22">
        <v>31463932</v>
      </c>
      <c r="B1689" s="23" t="s">
        <v>10767</v>
      </c>
      <c r="C1689" s="23" t="s">
        <v>10768</v>
      </c>
      <c r="D1689" s="23" t="s">
        <v>10769</v>
      </c>
      <c r="E1689" s="23" t="s">
        <v>3899</v>
      </c>
      <c r="F1689" s="23" t="s">
        <v>4923</v>
      </c>
      <c r="G1689" s="22">
        <v>2020</v>
      </c>
      <c r="H1689" s="24">
        <v>43707</v>
      </c>
      <c r="I1689" s="23"/>
      <c r="J1689" s="23"/>
      <c r="K1689" s="26" t="s">
        <v>3900</v>
      </c>
      <c r="L1689" s="27"/>
      <c r="M1689" s="23"/>
    </row>
    <row r="1690" spans="1:13" ht="15.75" customHeight="1">
      <c r="A1690" s="22">
        <v>15561688</v>
      </c>
      <c r="B1690" s="23" t="s">
        <v>10770</v>
      </c>
      <c r="C1690" s="23" t="s">
        <v>10771</v>
      </c>
      <c r="D1690" s="23" t="s">
        <v>10772</v>
      </c>
      <c r="E1690" s="23" t="s">
        <v>3161</v>
      </c>
      <c r="F1690" s="23" t="s">
        <v>10178</v>
      </c>
      <c r="G1690" s="22">
        <v>2004</v>
      </c>
      <c r="H1690" s="24">
        <v>38316</v>
      </c>
      <c r="I1690" s="23"/>
      <c r="J1690" s="23"/>
      <c r="K1690" s="26" t="s">
        <v>3162</v>
      </c>
      <c r="L1690" s="27"/>
      <c r="M1690" s="27"/>
    </row>
    <row r="1691" spans="1:13" ht="15.75" customHeight="1">
      <c r="A1691" s="22">
        <v>18212637</v>
      </c>
      <c r="B1691" s="23" t="s">
        <v>10773</v>
      </c>
      <c r="C1691" s="23" t="s">
        <v>10774</v>
      </c>
      <c r="D1691" s="23" t="s">
        <v>10775</v>
      </c>
      <c r="E1691" s="23" t="s">
        <v>1184</v>
      </c>
      <c r="F1691" s="23" t="s">
        <v>5445</v>
      </c>
      <c r="G1691" s="22">
        <v>2008</v>
      </c>
      <c r="H1691" s="24">
        <v>39471</v>
      </c>
      <c r="I1691" s="23"/>
      <c r="J1691" s="23"/>
      <c r="K1691" s="26" t="s">
        <v>1185</v>
      </c>
      <c r="L1691" s="27"/>
      <c r="M1691" s="27"/>
    </row>
    <row r="1692" spans="1:13" ht="15.75" customHeight="1">
      <c r="A1692" s="22">
        <v>23225133</v>
      </c>
      <c r="B1692" s="23" t="s">
        <v>10776</v>
      </c>
      <c r="C1692" s="23" t="s">
        <v>10365</v>
      </c>
      <c r="D1692" s="23" t="s">
        <v>10777</v>
      </c>
      <c r="E1692" s="23" t="s">
        <v>3099</v>
      </c>
      <c r="F1692" s="23" t="s">
        <v>10778</v>
      </c>
      <c r="G1692" s="22">
        <v>2013</v>
      </c>
      <c r="H1692" s="24">
        <v>41254</v>
      </c>
      <c r="I1692" s="23"/>
      <c r="J1692" s="23"/>
      <c r="K1692" s="26" t="s">
        <v>3102</v>
      </c>
      <c r="L1692" s="27"/>
      <c r="M1692" s="27"/>
    </row>
    <row r="1693" spans="1:13" ht="15.75" customHeight="1">
      <c r="A1693" s="22">
        <v>15621108</v>
      </c>
      <c r="B1693" s="23" t="s">
        <v>10779</v>
      </c>
      <c r="C1693" s="23" t="s">
        <v>10780</v>
      </c>
      <c r="D1693" s="23" t="s">
        <v>10781</v>
      </c>
      <c r="E1693" s="23" t="s">
        <v>1086</v>
      </c>
      <c r="F1693" s="23" t="s">
        <v>5696</v>
      </c>
      <c r="G1693" s="22">
        <v>2004</v>
      </c>
      <c r="H1693" s="24">
        <v>38350</v>
      </c>
      <c r="I1693" s="23"/>
      <c r="J1693" s="23"/>
      <c r="K1693" s="26" t="s">
        <v>1093</v>
      </c>
      <c r="L1693" s="27"/>
      <c r="M1693" s="27"/>
    </row>
    <row r="1694" spans="1:13" ht="15.75" customHeight="1">
      <c r="A1694" s="22">
        <v>8953678</v>
      </c>
      <c r="B1694" s="23" t="s">
        <v>10782</v>
      </c>
      <c r="C1694" s="23" t="s">
        <v>10783</v>
      </c>
      <c r="D1694" s="23" t="s">
        <v>10784</v>
      </c>
      <c r="E1694" s="23" t="s">
        <v>1981</v>
      </c>
      <c r="F1694" s="23" t="s">
        <v>6718</v>
      </c>
      <c r="G1694" s="22">
        <v>1996</v>
      </c>
      <c r="H1694" s="24">
        <v>35065</v>
      </c>
      <c r="I1694" s="23"/>
      <c r="J1694" s="23"/>
      <c r="K1694" s="26" t="s">
        <v>1982</v>
      </c>
      <c r="L1694" s="27"/>
      <c r="M1694" s="27"/>
    </row>
    <row r="1695" spans="1:13" ht="15.75" customHeight="1">
      <c r="A1695" s="22">
        <v>10951139</v>
      </c>
      <c r="B1695" s="23" t="s">
        <v>10785</v>
      </c>
      <c r="C1695" s="23" t="s">
        <v>10786</v>
      </c>
      <c r="D1695" s="23" t="s">
        <v>10787</v>
      </c>
      <c r="E1695" s="23" t="s">
        <v>3326</v>
      </c>
      <c r="F1695" s="23" t="s">
        <v>7207</v>
      </c>
      <c r="G1695" s="22">
        <v>2000</v>
      </c>
      <c r="H1695" s="24">
        <v>36760</v>
      </c>
      <c r="I1695" s="23"/>
      <c r="J1695" s="23"/>
      <c r="K1695" s="26" t="s">
        <v>3327</v>
      </c>
      <c r="L1695" s="27"/>
      <c r="M1695" s="27"/>
    </row>
    <row r="1696" spans="1:13" ht="15.75" customHeight="1">
      <c r="A1696" s="22">
        <v>17580183</v>
      </c>
      <c r="B1696" s="23" t="s">
        <v>10788</v>
      </c>
      <c r="C1696" s="23" t="s">
        <v>10789</v>
      </c>
      <c r="D1696" s="23" t="s">
        <v>10790</v>
      </c>
      <c r="E1696" s="23" t="s">
        <v>4242</v>
      </c>
      <c r="F1696" s="23" t="s">
        <v>5696</v>
      </c>
      <c r="G1696" s="22">
        <v>2007</v>
      </c>
      <c r="H1696" s="24">
        <v>39254</v>
      </c>
      <c r="I1696" s="23"/>
      <c r="J1696" s="23"/>
      <c r="K1696" s="26" t="s">
        <v>4245</v>
      </c>
      <c r="L1696" s="27"/>
      <c r="M1696" s="27"/>
    </row>
    <row r="1697" spans="1:13" ht="15.75" customHeight="1">
      <c r="A1697" s="22">
        <v>34205498</v>
      </c>
      <c r="B1697" s="23" t="s">
        <v>10791</v>
      </c>
      <c r="C1697" s="23" t="s">
        <v>10792</v>
      </c>
      <c r="D1697" s="23" t="s">
        <v>10793</v>
      </c>
      <c r="E1697" s="23" t="s">
        <v>2526</v>
      </c>
      <c r="F1697" s="23" t="s">
        <v>10794</v>
      </c>
      <c r="G1697" s="22">
        <v>2021</v>
      </c>
      <c r="H1697" s="24">
        <v>44379</v>
      </c>
      <c r="I1697" s="26" t="s">
        <v>10795</v>
      </c>
      <c r="J1697" s="27"/>
      <c r="K1697" s="26" t="s">
        <v>2527</v>
      </c>
      <c r="L1697" s="27"/>
      <c r="M1697" s="27"/>
    </row>
    <row r="1698" spans="1:13" ht="15.75" customHeight="1">
      <c r="A1698" s="22">
        <v>38146348</v>
      </c>
      <c r="B1698" s="23" t="s">
        <v>10796</v>
      </c>
      <c r="C1698" s="23" t="s">
        <v>10797</v>
      </c>
      <c r="D1698" s="23" t="s">
        <v>10798</v>
      </c>
      <c r="E1698" s="23" t="s">
        <v>2949</v>
      </c>
      <c r="F1698" s="23" t="s">
        <v>10799</v>
      </c>
      <c r="G1698" s="22">
        <v>2023</v>
      </c>
      <c r="H1698" s="24">
        <v>45286</v>
      </c>
      <c r="I1698" s="26" t="s">
        <v>10800</v>
      </c>
      <c r="J1698" s="27"/>
      <c r="K1698" s="26" t="s">
        <v>2950</v>
      </c>
      <c r="L1698" s="27"/>
      <c r="M1698" s="27"/>
    </row>
    <row r="1699" spans="1:13" ht="15.75" customHeight="1">
      <c r="A1699" s="22">
        <v>16386530</v>
      </c>
      <c r="B1699" s="23" t="s">
        <v>10801</v>
      </c>
      <c r="C1699" s="23" t="s">
        <v>10802</v>
      </c>
      <c r="D1699" s="23" t="s">
        <v>10803</v>
      </c>
      <c r="E1699" s="23" t="s">
        <v>2186</v>
      </c>
      <c r="F1699" s="23" t="s">
        <v>5696</v>
      </c>
      <c r="G1699" s="22">
        <v>2005</v>
      </c>
      <c r="H1699" s="24">
        <v>38720</v>
      </c>
      <c r="I1699" s="23"/>
      <c r="J1699" s="23"/>
      <c r="K1699" s="26" t="s">
        <v>2187</v>
      </c>
      <c r="L1699" s="27"/>
      <c r="M1699" s="27"/>
    </row>
    <row r="1700" spans="1:13" ht="15.75" customHeight="1">
      <c r="A1700" s="22">
        <v>9153236</v>
      </c>
      <c r="B1700" s="23" t="s">
        <v>10804</v>
      </c>
      <c r="C1700" s="23" t="s">
        <v>10805</v>
      </c>
      <c r="D1700" s="23" t="s">
        <v>10806</v>
      </c>
      <c r="E1700" s="23" t="s">
        <v>4630</v>
      </c>
      <c r="F1700" s="23" t="s">
        <v>6006</v>
      </c>
      <c r="G1700" s="22">
        <v>1997</v>
      </c>
      <c r="H1700" s="24">
        <v>35573</v>
      </c>
      <c r="I1700" s="23"/>
      <c r="J1700" s="23"/>
      <c r="K1700" s="26" t="s">
        <v>4631</v>
      </c>
      <c r="L1700" s="27"/>
      <c r="M1700" s="27"/>
    </row>
    <row r="1701" spans="1:13" ht="15.75" customHeight="1">
      <c r="A1701" s="22">
        <v>29239849</v>
      </c>
      <c r="B1701" s="23" t="s">
        <v>10807</v>
      </c>
      <c r="C1701" s="23" t="s">
        <v>10808</v>
      </c>
      <c r="D1701" s="23" t="s">
        <v>10809</v>
      </c>
      <c r="E1701" s="23" t="s">
        <v>4600</v>
      </c>
      <c r="F1701" s="23" t="s">
        <v>10810</v>
      </c>
      <c r="G1701" s="22">
        <v>2018</v>
      </c>
      <c r="H1701" s="24">
        <v>43084</v>
      </c>
      <c r="I1701" s="23"/>
      <c r="J1701" s="23"/>
      <c r="K1701" s="26" t="s">
        <v>4601</v>
      </c>
      <c r="L1701" s="27"/>
      <c r="M1701" s="27"/>
    </row>
    <row r="1702" spans="1:13" ht="15.75" customHeight="1">
      <c r="A1702" s="22">
        <v>22739739</v>
      </c>
      <c r="B1702" s="23" t="s">
        <v>10811</v>
      </c>
      <c r="C1702" s="23" t="s">
        <v>10812</v>
      </c>
      <c r="D1702" s="23" t="s">
        <v>10813</v>
      </c>
      <c r="E1702" s="23" t="s">
        <v>3247</v>
      </c>
      <c r="F1702" s="23" t="s">
        <v>7762</v>
      </c>
      <c r="G1702" s="22">
        <v>2012</v>
      </c>
      <c r="H1702" s="24">
        <v>41089</v>
      </c>
      <c r="I1702" s="26" t="s">
        <v>10814</v>
      </c>
      <c r="J1702" s="27"/>
      <c r="K1702" s="26" t="s">
        <v>3248</v>
      </c>
      <c r="L1702" s="27"/>
      <c r="M1702" s="23"/>
    </row>
    <row r="1703" spans="1:13" ht="15.75" customHeight="1">
      <c r="A1703" s="22">
        <v>17032433</v>
      </c>
      <c r="B1703" s="23" t="s">
        <v>10815</v>
      </c>
      <c r="C1703" s="23" t="s">
        <v>10816</v>
      </c>
      <c r="D1703" s="23" t="s">
        <v>10817</v>
      </c>
      <c r="E1703" s="23" t="s">
        <v>4073</v>
      </c>
      <c r="F1703" s="23" t="s">
        <v>5543</v>
      </c>
      <c r="G1703" s="22">
        <v>2006</v>
      </c>
      <c r="H1703" s="24">
        <v>39003</v>
      </c>
      <c r="I1703" s="23"/>
      <c r="J1703" s="23"/>
      <c r="K1703" s="26" t="s">
        <v>4074</v>
      </c>
      <c r="L1703" s="27"/>
      <c r="M1703" s="27"/>
    </row>
    <row r="1704" spans="1:13" ht="15.75" customHeight="1">
      <c r="A1704" s="22">
        <v>8869358</v>
      </c>
      <c r="B1704" s="23" t="s">
        <v>10818</v>
      </c>
      <c r="C1704" s="23" t="s">
        <v>10819</v>
      </c>
      <c r="D1704" s="23" t="s">
        <v>10820</v>
      </c>
      <c r="E1704" s="23" t="s">
        <v>4462</v>
      </c>
      <c r="F1704" s="23" t="s">
        <v>10821</v>
      </c>
      <c r="G1704" s="22">
        <v>1996</v>
      </c>
      <c r="H1704" s="24">
        <v>35065</v>
      </c>
      <c r="I1704" s="23"/>
      <c r="J1704" s="23"/>
      <c r="K1704" s="23"/>
      <c r="L1704" s="23"/>
      <c r="M1704" s="23"/>
    </row>
    <row r="1705" spans="1:13" ht="15.75" customHeight="1">
      <c r="A1705" s="22">
        <v>29384118</v>
      </c>
      <c r="B1705" s="23" t="s">
        <v>10822</v>
      </c>
      <c r="C1705" s="23" t="s">
        <v>10823</v>
      </c>
      <c r="D1705" s="23" t="s">
        <v>10824</v>
      </c>
      <c r="E1705" s="23" t="s">
        <v>1645</v>
      </c>
      <c r="F1705" s="23" t="s">
        <v>10825</v>
      </c>
      <c r="G1705" s="22">
        <v>2018</v>
      </c>
      <c r="H1705" s="24">
        <v>43132</v>
      </c>
      <c r="I1705" s="23"/>
      <c r="J1705" s="23"/>
      <c r="K1705" s="26" t="s">
        <v>1646</v>
      </c>
      <c r="L1705" s="27"/>
      <c r="M1705" s="27"/>
    </row>
    <row r="1706" spans="1:13" ht="15.75" customHeight="1">
      <c r="A1706" s="22">
        <v>19656540</v>
      </c>
      <c r="B1706" s="23" t="s">
        <v>10826</v>
      </c>
      <c r="C1706" s="23" t="s">
        <v>10827</v>
      </c>
      <c r="D1706" s="23" t="s">
        <v>10828</v>
      </c>
      <c r="E1706" s="23" t="s">
        <v>2166</v>
      </c>
      <c r="F1706" s="23" t="s">
        <v>10829</v>
      </c>
      <c r="G1706" s="22">
        <v>2009</v>
      </c>
      <c r="H1706" s="24">
        <v>40032</v>
      </c>
      <c r="I1706" s="26" t="s">
        <v>10830</v>
      </c>
      <c r="J1706" s="27"/>
      <c r="K1706" s="26" t="s">
        <v>2167</v>
      </c>
      <c r="L1706" s="27"/>
      <c r="M1706" s="27"/>
    </row>
    <row r="1707" spans="1:13" ht="15.75" customHeight="1">
      <c r="A1707" s="22">
        <v>12195400</v>
      </c>
      <c r="B1707" s="23" t="s">
        <v>10831</v>
      </c>
      <c r="C1707" s="23" t="s">
        <v>10832</v>
      </c>
      <c r="D1707" s="23" t="s">
        <v>10833</v>
      </c>
      <c r="E1707" s="23" t="s">
        <v>3295</v>
      </c>
      <c r="F1707" s="23" t="s">
        <v>10834</v>
      </c>
      <c r="G1707" s="22">
        <v>2002</v>
      </c>
      <c r="H1707" s="24">
        <v>37495</v>
      </c>
      <c r="I1707" s="23"/>
      <c r="J1707" s="23"/>
      <c r="K1707" s="23"/>
      <c r="L1707" s="23"/>
      <c r="M1707" s="23"/>
    </row>
    <row r="1708" spans="1:13" ht="15.75" customHeight="1">
      <c r="A1708" s="22">
        <v>21757415</v>
      </c>
      <c r="B1708" s="23" t="s">
        <v>10835</v>
      </c>
      <c r="C1708" s="23" t="s">
        <v>10836</v>
      </c>
      <c r="D1708" s="23" t="s">
        <v>10837</v>
      </c>
      <c r="E1708" s="23" t="s">
        <v>1436</v>
      </c>
      <c r="F1708" s="23" t="s">
        <v>10838</v>
      </c>
      <c r="G1708" s="22">
        <v>2012</v>
      </c>
      <c r="H1708" s="24">
        <v>40740</v>
      </c>
      <c r="I1708" s="23"/>
      <c r="J1708" s="23"/>
      <c r="K1708" s="26" t="s">
        <v>1437</v>
      </c>
      <c r="L1708" s="27"/>
      <c r="M1708" s="27"/>
    </row>
    <row r="1709" spans="1:13" ht="15.75" customHeight="1">
      <c r="A1709" s="22">
        <v>16489840</v>
      </c>
      <c r="B1709" s="23" t="s">
        <v>10839</v>
      </c>
      <c r="C1709" s="23" t="s">
        <v>10840</v>
      </c>
      <c r="D1709" s="23" t="s">
        <v>10841</v>
      </c>
      <c r="E1709" s="23" t="s">
        <v>4180</v>
      </c>
      <c r="F1709" s="23" t="s">
        <v>10842</v>
      </c>
      <c r="G1709" s="22">
        <v>2006</v>
      </c>
      <c r="H1709" s="24">
        <v>38772</v>
      </c>
      <c r="I1709" s="23"/>
      <c r="J1709" s="23"/>
      <c r="K1709" s="26" t="s">
        <v>4181</v>
      </c>
      <c r="L1709" s="27"/>
      <c r="M1709" s="27"/>
    </row>
    <row r="1710" spans="1:13" ht="15.75" customHeight="1">
      <c r="A1710" s="22">
        <v>8125426</v>
      </c>
      <c r="B1710" s="23" t="s">
        <v>10843</v>
      </c>
      <c r="C1710" s="23" t="s">
        <v>10844</v>
      </c>
      <c r="D1710" s="23" t="s">
        <v>10845</v>
      </c>
      <c r="E1710" s="23" t="s">
        <v>3237</v>
      </c>
      <c r="F1710" s="23" t="s">
        <v>10846</v>
      </c>
      <c r="G1710" s="22">
        <v>1993</v>
      </c>
      <c r="H1710" s="24">
        <v>34121</v>
      </c>
      <c r="I1710" s="23"/>
      <c r="J1710" s="23"/>
      <c r="K1710" s="23"/>
      <c r="L1710" s="23"/>
      <c r="M1710" s="23"/>
    </row>
    <row r="1711" spans="1:13" ht="15.75" customHeight="1">
      <c r="A1711" s="22">
        <v>33194546</v>
      </c>
      <c r="B1711" s="23" t="s">
        <v>10847</v>
      </c>
      <c r="C1711" s="23" t="s">
        <v>10848</v>
      </c>
      <c r="D1711" s="23" t="s">
        <v>10849</v>
      </c>
      <c r="E1711" s="23" t="s">
        <v>4009</v>
      </c>
      <c r="F1711" s="23" t="s">
        <v>9439</v>
      </c>
      <c r="G1711" s="22">
        <v>2020</v>
      </c>
      <c r="H1711" s="24">
        <v>44151</v>
      </c>
      <c r="I1711" s="26" t="s">
        <v>10850</v>
      </c>
      <c r="J1711" s="27"/>
      <c r="K1711" s="26" t="s">
        <v>4010</v>
      </c>
      <c r="L1711" s="27"/>
      <c r="M1711" s="27"/>
    </row>
    <row r="1712" spans="1:13" ht="15.75" customHeight="1">
      <c r="A1712" s="22">
        <v>37063394</v>
      </c>
      <c r="B1712" s="23" t="s">
        <v>10851</v>
      </c>
      <c r="C1712" s="23" t="s">
        <v>10852</v>
      </c>
      <c r="D1712" s="23" t="s">
        <v>10853</v>
      </c>
      <c r="E1712" s="23" t="s">
        <v>4343</v>
      </c>
      <c r="F1712" s="23" t="s">
        <v>10854</v>
      </c>
      <c r="G1712" s="22">
        <v>2022</v>
      </c>
      <c r="H1712" s="24">
        <v>45033</v>
      </c>
      <c r="I1712" s="26" t="s">
        <v>10855</v>
      </c>
      <c r="J1712" s="27"/>
      <c r="K1712" s="26" t="s">
        <v>4344</v>
      </c>
      <c r="L1712" s="27"/>
      <c r="M1712" s="23"/>
    </row>
    <row r="1713" spans="1:13" ht="15.75" customHeight="1">
      <c r="A1713" s="22">
        <v>33363781</v>
      </c>
      <c r="B1713" s="23" t="s">
        <v>10856</v>
      </c>
      <c r="C1713" s="23" t="s">
        <v>10857</v>
      </c>
      <c r="D1713" s="23" t="s">
        <v>10858</v>
      </c>
      <c r="E1713" s="23" t="s">
        <v>4109</v>
      </c>
      <c r="F1713" s="23" t="s">
        <v>9775</v>
      </c>
      <c r="G1713" s="22">
        <v>2020</v>
      </c>
      <c r="H1713" s="24">
        <v>44193</v>
      </c>
      <c r="I1713" s="26" t="s">
        <v>10859</v>
      </c>
      <c r="J1713" s="27"/>
      <c r="K1713" s="26" t="s">
        <v>4110</v>
      </c>
      <c r="L1713" s="27"/>
      <c r="M1713" s="23"/>
    </row>
    <row r="1714" spans="1:13" ht="15.75" customHeight="1">
      <c r="A1714" s="22">
        <v>10738138</v>
      </c>
      <c r="B1714" s="23" t="s">
        <v>10860</v>
      </c>
      <c r="C1714" s="23" t="s">
        <v>10861</v>
      </c>
      <c r="D1714" s="23" t="s">
        <v>10862</v>
      </c>
      <c r="E1714" s="23" t="s">
        <v>2671</v>
      </c>
      <c r="F1714" s="23" t="s">
        <v>4896</v>
      </c>
      <c r="G1714" s="22">
        <v>2000</v>
      </c>
      <c r="H1714" s="24">
        <v>36615</v>
      </c>
      <c r="I1714" s="23"/>
      <c r="J1714" s="23"/>
      <c r="K1714" s="26" t="s">
        <v>2676</v>
      </c>
      <c r="L1714" s="27"/>
      <c r="M1714" s="27"/>
    </row>
    <row r="1715" spans="1:13" ht="15.75" customHeight="1">
      <c r="A1715" s="22">
        <v>22542037</v>
      </c>
      <c r="B1715" s="23" t="s">
        <v>10863</v>
      </c>
      <c r="C1715" s="23" t="s">
        <v>10864</v>
      </c>
      <c r="D1715" s="23" t="s">
        <v>10865</v>
      </c>
      <c r="E1715" s="23" t="s">
        <v>1517</v>
      </c>
      <c r="F1715" s="23" t="s">
        <v>5143</v>
      </c>
      <c r="G1715" s="22">
        <v>2012</v>
      </c>
      <c r="H1715" s="24">
        <v>41030</v>
      </c>
      <c r="I1715" s="23"/>
      <c r="J1715" s="23"/>
      <c r="K1715" s="26" t="s">
        <v>1518</v>
      </c>
      <c r="L1715" s="27"/>
      <c r="M1715" s="27"/>
    </row>
    <row r="1716" spans="1:13" ht="15.75" customHeight="1">
      <c r="A1716" s="22">
        <v>29642192</v>
      </c>
      <c r="B1716" s="23" t="s">
        <v>10866</v>
      </c>
      <c r="C1716" s="23" t="s">
        <v>10867</v>
      </c>
      <c r="D1716" s="23" t="s">
        <v>10868</v>
      </c>
      <c r="E1716" s="23" t="s">
        <v>2550</v>
      </c>
      <c r="F1716" s="23" t="s">
        <v>10869</v>
      </c>
      <c r="G1716" s="22">
        <v>2018</v>
      </c>
      <c r="H1716" s="24">
        <v>43202</v>
      </c>
      <c r="I1716" s="26" t="s">
        <v>10870</v>
      </c>
      <c r="J1716" s="27"/>
      <c r="K1716" s="26" t="s">
        <v>2551</v>
      </c>
      <c r="L1716" s="27"/>
      <c r="M1716" s="27"/>
    </row>
    <row r="1717" spans="1:13" ht="15.75" customHeight="1">
      <c r="A1717" s="22">
        <v>21300108</v>
      </c>
      <c r="B1717" s="23" t="s">
        <v>10871</v>
      </c>
      <c r="C1717" s="23" t="s">
        <v>10872</v>
      </c>
      <c r="D1717" s="23" t="s">
        <v>10873</v>
      </c>
      <c r="E1717" s="23" t="s">
        <v>545</v>
      </c>
      <c r="F1717" s="23" t="s">
        <v>5267</v>
      </c>
      <c r="G1717" s="22">
        <v>2011</v>
      </c>
      <c r="H1717" s="24">
        <v>40583</v>
      </c>
      <c r="I1717" s="23"/>
      <c r="J1717" s="23"/>
      <c r="K1717" s="26" t="s">
        <v>1720</v>
      </c>
      <c r="L1717" s="27"/>
      <c r="M1717" s="27"/>
    </row>
    <row r="1718" spans="1:13" ht="15.75" customHeight="1">
      <c r="A1718" s="22">
        <v>34206597</v>
      </c>
      <c r="B1718" s="23" t="s">
        <v>10874</v>
      </c>
      <c r="C1718" s="23" t="s">
        <v>10875</v>
      </c>
      <c r="D1718" s="23" t="s">
        <v>10876</v>
      </c>
      <c r="E1718" s="23" t="s">
        <v>1104</v>
      </c>
      <c r="F1718" s="23" t="s">
        <v>10794</v>
      </c>
      <c r="G1718" s="22">
        <v>2021</v>
      </c>
      <c r="H1718" s="24">
        <v>44379</v>
      </c>
      <c r="I1718" s="26" t="s">
        <v>10877</v>
      </c>
      <c r="J1718" s="27"/>
      <c r="K1718" s="26" t="s">
        <v>1107</v>
      </c>
      <c r="L1718" s="27"/>
      <c r="M1718" s="27"/>
    </row>
    <row r="1719" spans="1:13" ht="15.75" customHeight="1">
      <c r="A1719" s="22">
        <v>12182687</v>
      </c>
      <c r="B1719" s="23" t="s">
        <v>10878</v>
      </c>
      <c r="C1719" s="23" t="s">
        <v>10879</v>
      </c>
      <c r="D1719" s="23" t="s">
        <v>10880</v>
      </c>
      <c r="E1719" s="23" t="s">
        <v>1270</v>
      </c>
      <c r="F1719" s="23" t="s">
        <v>10881</v>
      </c>
      <c r="G1719" s="22">
        <v>2002</v>
      </c>
      <c r="H1719" s="24">
        <v>37485</v>
      </c>
      <c r="I1719" s="23"/>
      <c r="J1719" s="23"/>
      <c r="K1719" s="26" t="s">
        <v>1271</v>
      </c>
      <c r="L1719" s="27"/>
      <c r="M1719" s="27"/>
    </row>
    <row r="1720" spans="1:13" ht="15.75" customHeight="1">
      <c r="A1720" s="22">
        <v>9155970</v>
      </c>
      <c r="B1720" s="23" t="s">
        <v>10882</v>
      </c>
      <c r="C1720" s="23" t="s">
        <v>10883</v>
      </c>
      <c r="D1720" s="23" t="s">
        <v>10884</v>
      </c>
      <c r="E1720" s="23" t="s">
        <v>1279</v>
      </c>
      <c r="F1720" s="23" t="s">
        <v>7207</v>
      </c>
      <c r="G1720" s="22">
        <v>1997</v>
      </c>
      <c r="H1720" s="24">
        <v>35521</v>
      </c>
      <c r="I1720" s="23"/>
      <c r="J1720" s="23"/>
      <c r="K1720" s="23"/>
      <c r="L1720" s="23"/>
      <c r="M1720" s="23"/>
    </row>
    <row r="1721" spans="1:13" ht="15.75" customHeight="1">
      <c r="A1721" s="22">
        <v>32944150</v>
      </c>
      <c r="B1721" s="23" t="s">
        <v>10885</v>
      </c>
      <c r="C1721" s="23" t="s">
        <v>10886</v>
      </c>
      <c r="D1721" s="23" t="s">
        <v>10887</v>
      </c>
      <c r="E1721" s="23" t="s">
        <v>3674</v>
      </c>
      <c r="F1721" s="23" t="s">
        <v>10888</v>
      </c>
      <c r="G1721" s="22">
        <v>2020</v>
      </c>
      <c r="H1721" s="24">
        <v>44092</v>
      </c>
      <c r="I1721" s="26" t="s">
        <v>10889</v>
      </c>
      <c r="J1721" s="27"/>
      <c r="K1721" s="26" t="s">
        <v>3675</v>
      </c>
      <c r="L1721" s="27"/>
      <c r="M1721" s="27"/>
    </row>
    <row r="1722" spans="1:13" ht="15.75" customHeight="1">
      <c r="A1722" s="22">
        <v>23588740</v>
      </c>
      <c r="B1722" s="23" t="s">
        <v>10890</v>
      </c>
      <c r="C1722" s="23" t="s">
        <v>10891</v>
      </c>
      <c r="D1722" s="23" t="s">
        <v>10892</v>
      </c>
      <c r="E1722" s="23" t="s">
        <v>3633</v>
      </c>
      <c r="F1722" s="23" t="s">
        <v>4923</v>
      </c>
      <c r="G1722" s="22">
        <v>2013</v>
      </c>
      <c r="H1722" s="24">
        <v>41381</v>
      </c>
      <c r="I1722" s="23"/>
      <c r="J1722" s="23"/>
      <c r="K1722" s="26" t="s">
        <v>3634</v>
      </c>
      <c r="L1722" s="27"/>
      <c r="M1722" s="23"/>
    </row>
    <row r="1723" spans="1:13" ht="15.75" customHeight="1">
      <c r="A1723" s="22">
        <v>19910888</v>
      </c>
      <c r="B1723" s="23" t="s">
        <v>10893</v>
      </c>
      <c r="C1723" s="23" t="s">
        <v>10894</v>
      </c>
      <c r="D1723" s="23" t="s">
        <v>10895</v>
      </c>
      <c r="E1723" s="23" t="s">
        <v>2128</v>
      </c>
      <c r="F1723" s="23" t="s">
        <v>10896</v>
      </c>
      <c r="G1723" s="22">
        <v>2009</v>
      </c>
      <c r="H1723" s="24">
        <v>40131</v>
      </c>
      <c r="I1723" s="23"/>
      <c r="J1723" s="23"/>
      <c r="K1723" s="23"/>
      <c r="L1723" s="23"/>
      <c r="M1723" s="23"/>
    </row>
    <row r="1724" spans="1:13" ht="15.75" customHeight="1">
      <c r="A1724" s="22">
        <v>36806616</v>
      </c>
      <c r="B1724" s="23" t="s">
        <v>10897</v>
      </c>
      <c r="C1724" s="23" t="s">
        <v>10898</v>
      </c>
      <c r="D1724" s="23" t="s">
        <v>10899</v>
      </c>
      <c r="E1724" s="23" t="s">
        <v>2082</v>
      </c>
      <c r="F1724" s="23" t="s">
        <v>10900</v>
      </c>
      <c r="G1724" s="22">
        <v>2023</v>
      </c>
      <c r="H1724" s="24">
        <v>44979</v>
      </c>
      <c r="I1724" s="26" t="s">
        <v>10901</v>
      </c>
      <c r="J1724" s="27"/>
      <c r="K1724" s="26" t="s">
        <v>2083</v>
      </c>
      <c r="L1724" s="27"/>
      <c r="M1724" s="27"/>
    </row>
    <row r="1725" spans="1:13" ht="15.75" customHeight="1">
      <c r="A1725" s="22">
        <v>29535361</v>
      </c>
      <c r="B1725" s="23" t="s">
        <v>10902</v>
      </c>
      <c r="C1725" s="23" t="s">
        <v>10903</v>
      </c>
      <c r="D1725" s="23" t="s">
        <v>10904</v>
      </c>
      <c r="E1725" s="23" t="s">
        <v>2774</v>
      </c>
      <c r="F1725" s="23" t="s">
        <v>5043</v>
      </c>
      <c r="G1725" s="22">
        <v>2018</v>
      </c>
      <c r="H1725" s="24">
        <v>43174</v>
      </c>
      <c r="I1725" s="26" t="s">
        <v>10905</v>
      </c>
      <c r="J1725" s="27"/>
      <c r="K1725" s="26" t="s">
        <v>2775</v>
      </c>
      <c r="L1725" s="27"/>
      <c r="M1725" s="27"/>
    </row>
    <row r="1726" spans="1:13" ht="15.75" customHeight="1">
      <c r="A1726" s="22">
        <v>36284352</v>
      </c>
      <c r="B1726" s="23" t="s">
        <v>10906</v>
      </c>
      <c r="C1726" s="23" t="s">
        <v>10907</v>
      </c>
      <c r="D1726" s="23" t="s">
        <v>10908</v>
      </c>
      <c r="E1726" s="23" t="s">
        <v>4432</v>
      </c>
      <c r="F1726" s="23" t="s">
        <v>7653</v>
      </c>
      <c r="G1726" s="22">
        <v>2022</v>
      </c>
      <c r="H1726" s="24">
        <v>44860</v>
      </c>
      <c r="I1726" s="26" t="s">
        <v>10909</v>
      </c>
      <c r="J1726" s="27"/>
      <c r="K1726" s="26" t="s">
        <v>4433</v>
      </c>
      <c r="L1726" s="27"/>
      <c r="M1726" s="27"/>
    </row>
    <row r="1727" spans="1:13" ht="15.75" customHeight="1">
      <c r="A1727" s="22">
        <v>22372783</v>
      </c>
      <c r="B1727" s="23" t="s">
        <v>10910</v>
      </c>
      <c r="C1727" s="23" t="s">
        <v>10911</v>
      </c>
      <c r="D1727" s="23" t="s">
        <v>10912</v>
      </c>
      <c r="E1727" s="23" t="s">
        <v>3164</v>
      </c>
      <c r="F1727" s="23" t="s">
        <v>9259</v>
      </c>
      <c r="G1727" s="22">
        <v>2012</v>
      </c>
      <c r="H1727" s="24">
        <v>40969</v>
      </c>
      <c r="I1727" s="23"/>
      <c r="J1727" s="23"/>
      <c r="K1727" s="26" t="s">
        <v>3165</v>
      </c>
      <c r="L1727" s="27"/>
      <c r="M1727" s="27"/>
    </row>
    <row r="1728" spans="1:13" ht="15.75" customHeight="1">
      <c r="A1728" s="22">
        <v>24337150</v>
      </c>
      <c r="B1728" s="23" t="s">
        <v>10913</v>
      </c>
      <c r="C1728" s="23" t="s">
        <v>10914</v>
      </c>
      <c r="D1728" s="23" t="s">
        <v>10915</v>
      </c>
      <c r="E1728" s="23" t="s">
        <v>3612</v>
      </c>
      <c r="F1728" s="23" t="s">
        <v>10916</v>
      </c>
      <c r="G1728" s="22">
        <v>2014</v>
      </c>
      <c r="H1728" s="24">
        <v>41625</v>
      </c>
      <c r="I1728" s="23"/>
      <c r="J1728" s="23"/>
      <c r="K1728" s="26" t="s">
        <v>3613</v>
      </c>
      <c r="L1728" s="27"/>
      <c r="M1728" s="27"/>
    </row>
    <row r="1729" spans="1:13" ht="15.75" customHeight="1">
      <c r="A1729" s="22">
        <v>35242131</v>
      </c>
      <c r="B1729" s="23" t="s">
        <v>10917</v>
      </c>
      <c r="C1729" s="23" t="s">
        <v>10918</v>
      </c>
      <c r="D1729" s="23" t="s">
        <v>10919</v>
      </c>
      <c r="E1729" s="23" t="s">
        <v>1584</v>
      </c>
      <c r="F1729" s="23" t="s">
        <v>4912</v>
      </c>
      <c r="G1729" s="22">
        <v>2022</v>
      </c>
      <c r="H1729" s="24">
        <v>44624</v>
      </c>
      <c r="I1729" s="26" t="s">
        <v>10920</v>
      </c>
      <c r="J1729" s="27"/>
      <c r="K1729" s="26" t="s">
        <v>1585</v>
      </c>
      <c r="L1729" s="27"/>
      <c r="M1729" s="27"/>
    </row>
    <row r="1730" spans="1:13" ht="15.75" customHeight="1">
      <c r="A1730" s="22">
        <v>21121877</v>
      </c>
      <c r="B1730" s="23" t="s">
        <v>10921</v>
      </c>
      <c r="C1730" s="23" t="s">
        <v>10922</v>
      </c>
      <c r="D1730" s="23" t="s">
        <v>10923</v>
      </c>
      <c r="E1730" s="23" t="s">
        <v>2030</v>
      </c>
      <c r="F1730" s="23" t="s">
        <v>10924</v>
      </c>
      <c r="G1730" s="22">
        <v>2011</v>
      </c>
      <c r="H1730" s="24">
        <v>40515</v>
      </c>
      <c r="I1730" s="23"/>
      <c r="J1730" s="23"/>
      <c r="K1730" s="26" t="s">
        <v>2031</v>
      </c>
      <c r="L1730" s="27"/>
      <c r="M1730" s="27"/>
    </row>
    <row r="1731" spans="1:13" ht="15.75" customHeight="1">
      <c r="A1731" s="22">
        <v>9577878</v>
      </c>
      <c r="B1731" s="23" t="s">
        <v>10925</v>
      </c>
      <c r="C1731" s="23" t="s">
        <v>4956</v>
      </c>
      <c r="D1731" s="23" t="s">
        <v>10926</v>
      </c>
      <c r="E1731" s="23" t="s">
        <v>1118</v>
      </c>
      <c r="F1731" s="23" t="s">
        <v>10927</v>
      </c>
      <c r="G1731" s="22">
        <v>1998</v>
      </c>
      <c r="H1731" s="24">
        <v>35928</v>
      </c>
      <c r="I1731" s="23"/>
      <c r="J1731" s="23"/>
      <c r="K1731" s="26" t="s">
        <v>1130</v>
      </c>
      <c r="L1731" s="27"/>
      <c r="M1731" s="27"/>
    </row>
    <row r="1732" spans="1:13" ht="15.75" customHeight="1">
      <c r="A1732" s="22">
        <v>15169557</v>
      </c>
      <c r="B1732" s="23" t="s">
        <v>10928</v>
      </c>
      <c r="C1732" s="23" t="s">
        <v>10929</v>
      </c>
      <c r="D1732" s="23" t="s">
        <v>10930</v>
      </c>
      <c r="E1732" s="23" t="s">
        <v>2160</v>
      </c>
      <c r="F1732" s="23" t="s">
        <v>10931</v>
      </c>
      <c r="G1732" s="22">
        <v>2004</v>
      </c>
      <c r="H1732" s="24">
        <v>38139</v>
      </c>
      <c r="I1732" s="23" t="s">
        <v>10932</v>
      </c>
      <c r="J1732" s="23"/>
      <c r="K1732" s="26" t="s">
        <v>2161</v>
      </c>
      <c r="L1732" s="27"/>
      <c r="M1732" s="23"/>
    </row>
    <row r="1733" spans="1:13" ht="15.75" customHeight="1">
      <c r="A1733" s="22">
        <v>34912727</v>
      </c>
      <c r="B1733" s="23" t="s">
        <v>10933</v>
      </c>
      <c r="C1733" s="23" t="s">
        <v>10934</v>
      </c>
      <c r="D1733" s="23" t="s">
        <v>10935</v>
      </c>
      <c r="E1733" s="23" t="s">
        <v>3563</v>
      </c>
      <c r="F1733" s="23" t="s">
        <v>9191</v>
      </c>
      <c r="G1733" s="22">
        <v>2021</v>
      </c>
      <c r="H1733" s="24">
        <v>44546</v>
      </c>
      <c r="I1733" s="26" t="s">
        <v>10936</v>
      </c>
      <c r="J1733" s="27"/>
      <c r="K1733" s="26" t="s">
        <v>3564</v>
      </c>
      <c r="L1733" s="27"/>
      <c r="M1733" s="27"/>
    </row>
    <row r="1734" spans="1:13" ht="15.75" customHeight="1">
      <c r="A1734" s="22">
        <v>26451078</v>
      </c>
      <c r="B1734" s="23" t="s">
        <v>10937</v>
      </c>
      <c r="C1734" s="23" t="s">
        <v>10938</v>
      </c>
      <c r="D1734" s="23" t="s">
        <v>10939</v>
      </c>
      <c r="E1734" s="23" t="s">
        <v>1905</v>
      </c>
      <c r="F1734" s="23" t="s">
        <v>10940</v>
      </c>
      <c r="G1734" s="22">
        <v>2015</v>
      </c>
      <c r="H1734" s="24">
        <v>42287</v>
      </c>
      <c r="I1734" s="26" t="s">
        <v>10941</v>
      </c>
      <c r="J1734" s="27"/>
      <c r="K1734" s="26" t="s">
        <v>1920</v>
      </c>
      <c r="L1734" s="27"/>
      <c r="M1734" s="23"/>
    </row>
    <row r="1735" spans="1:13" ht="15.75" customHeight="1">
      <c r="A1735" s="22">
        <v>28834054</v>
      </c>
      <c r="B1735" s="23" t="s">
        <v>10942</v>
      </c>
      <c r="C1735" s="23" t="s">
        <v>10943</v>
      </c>
      <c r="D1735" s="23" t="s">
        <v>10944</v>
      </c>
      <c r="E1735" s="23" t="s">
        <v>1710</v>
      </c>
      <c r="F1735" s="23" t="s">
        <v>4974</v>
      </c>
      <c r="G1735" s="22">
        <v>2017</v>
      </c>
      <c r="H1735" s="24">
        <v>42971</v>
      </c>
      <c r="I1735" s="23"/>
      <c r="J1735" s="23"/>
      <c r="K1735" s="26" t="s">
        <v>1711</v>
      </c>
      <c r="L1735" s="27"/>
      <c r="M1735" s="23"/>
    </row>
    <row r="1736" spans="1:13" ht="15.75" customHeight="1">
      <c r="A1736" s="22">
        <v>34874835</v>
      </c>
      <c r="B1736" s="23" t="s">
        <v>10945</v>
      </c>
      <c r="C1736" s="23" t="s">
        <v>10946</v>
      </c>
      <c r="D1736" s="23" t="s">
        <v>10947</v>
      </c>
      <c r="E1736" s="23" t="s">
        <v>3681</v>
      </c>
      <c r="F1736" s="23" t="s">
        <v>8125</v>
      </c>
      <c r="G1736" s="22">
        <v>2022</v>
      </c>
      <c r="H1736" s="24">
        <v>44537</v>
      </c>
      <c r="I1736" s="23"/>
      <c r="J1736" s="23"/>
      <c r="K1736" s="26" t="s">
        <v>3682</v>
      </c>
      <c r="L1736" s="27"/>
      <c r="M1736" s="27"/>
    </row>
    <row r="1737" spans="1:13" ht="15.75" customHeight="1">
      <c r="A1737" s="22">
        <v>35215180</v>
      </c>
      <c r="B1737" s="23" t="s">
        <v>10948</v>
      </c>
      <c r="C1737" s="23" t="s">
        <v>10949</v>
      </c>
      <c r="D1737" s="23" t="s">
        <v>10950</v>
      </c>
      <c r="E1737" s="23" t="s">
        <v>1505</v>
      </c>
      <c r="F1737" s="23" t="s">
        <v>10951</v>
      </c>
      <c r="G1737" s="22">
        <v>2022</v>
      </c>
      <c r="H1737" s="24">
        <v>44618</v>
      </c>
      <c r="I1737" s="26" t="s">
        <v>10952</v>
      </c>
      <c r="J1737" s="27"/>
      <c r="K1737" s="26" t="s">
        <v>1506</v>
      </c>
      <c r="L1737" s="27"/>
      <c r="M1737" s="27"/>
    </row>
    <row r="1738" spans="1:13" ht="15.75" customHeight="1">
      <c r="A1738" s="22">
        <v>34022099</v>
      </c>
      <c r="B1738" s="23" t="s">
        <v>10953</v>
      </c>
      <c r="C1738" s="23" t="s">
        <v>10954</v>
      </c>
      <c r="D1738" s="23" t="s">
        <v>10955</v>
      </c>
      <c r="E1738" s="23" t="s">
        <v>2771</v>
      </c>
      <c r="F1738" s="23" t="s">
        <v>4974</v>
      </c>
      <c r="G1738" s="22">
        <v>2021</v>
      </c>
      <c r="H1738" s="24">
        <v>44338</v>
      </c>
      <c r="I1738" s="23"/>
      <c r="J1738" s="23"/>
      <c r="K1738" s="26" t="s">
        <v>2772</v>
      </c>
      <c r="L1738" s="27"/>
      <c r="M1738" s="23"/>
    </row>
    <row r="1739" spans="1:13" ht="15.75" customHeight="1">
      <c r="A1739" s="22">
        <v>28864597</v>
      </c>
      <c r="B1739" s="23" t="s">
        <v>10956</v>
      </c>
      <c r="C1739" s="23" t="s">
        <v>10957</v>
      </c>
      <c r="D1739" s="23" t="s">
        <v>10958</v>
      </c>
      <c r="E1739" s="23" t="s">
        <v>2112</v>
      </c>
      <c r="F1739" s="23" t="s">
        <v>10959</v>
      </c>
      <c r="G1739" s="22">
        <v>2017</v>
      </c>
      <c r="H1739" s="24">
        <v>42981</v>
      </c>
      <c r="I1739" s="23" t="s">
        <v>10960</v>
      </c>
      <c r="J1739" s="23" t="s">
        <v>10961</v>
      </c>
      <c r="K1739" s="26" t="s">
        <v>2113</v>
      </c>
      <c r="L1739" s="27"/>
      <c r="M1739" s="27"/>
    </row>
    <row r="1740" spans="1:13" ht="15.75" customHeight="1">
      <c r="A1740" s="22">
        <v>23165654</v>
      </c>
      <c r="B1740" s="23" t="s">
        <v>10962</v>
      </c>
      <c r="C1740" s="23" t="s">
        <v>10963</v>
      </c>
      <c r="D1740" s="23" t="s">
        <v>10964</v>
      </c>
      <c r="E1740" s="23" t="s">
        <v>1416</v>
      </c>
      <c r="F1740" s="23" t="s">
        <v>4859</v>
      </c>
      <c r="G1740" s="22">
        <v>2013</v>
      </c>
      <c r="H1740" s="24">
        <v>41234</v>
      </c>
      <c r="I1740" s="23"/>
      <c r="J1740" s="23"/>
      <c r="K1740" s="26" t="s">
        <v>1417</v>
      </c>
      <c r="L1740" s="27"/>
      <c r="M1740" s="23"/>
    </row>
    <row r="1741" spans="1:13" ht="15.75" customHeight="1">
      <c r="A1741" s="22">
        <v>9342002</v>
      </c>
      <c r="B1741" s="23" t="s">
        <v>10965</v>
      </c>
      <c r="C1741" s="23" t="s">
        <v>10966</v>
      </c>
      <c r="D1741" s="23" t="s">
        <v>10967</v>
      </c>
      <c r="E1741" s="23" t="s">
        <v>1251</v>
      </c>
      <c r="F1741" s="23" t="s">
        <v>5677</v>
      </c>
      <c r="G1741" s="22">
        <v>1997</v>
      </c>
      <c r="H1741" s="24">
        <v>35731</v>
      </c>
      <c r="I1741" s="23"/>
      <c r="J1741" s="23"/>
      <c r="K1741" s="23"/>
      <c r="L1741" s="23"/>
      <c r="M1741" s="23"/>
    </row>
    <row r="1742" spans="1:13" ht="15.75" customHeight="1">
      <c r="A1742" s="22">
        <v>38596415</v>
      </c>
      <c r="B1742" s="23" t="s">
        <v>10968</v>
      </c>
      <c r="C1742" s="23" t="s">
        <v>10969</v>
      </c>
      <c r="D1742" s="23" t="s">
        <v>10970</v>
      </c>
      <c r="E1742" s="23" t="s">
        <v>4744</v>
      </c>
      <c r="F1742" s="23" t="s">
        <v>10971</v>
      </c>
      <c r="G1742" s="22">
        <v>2024</v>
      </c>
      <c r="H1742" s="24">
        <v>45392</v>
      </c>
      <c r="I1742" s="26" t="s">
        <v>10972</v>
      </c>
      <c r="J1742" s="27"/>
      <c r="K1742" s="26" t="s">
        <v>4745</v>
      </c>
      <c r="L1742" s="27"/>
      <c r="M1742" s="27"/>
    </row>
    <row r="1743" spans="1:13" ht="15.75" customHeight="1">
      <c r="A1743" s="22">
        <v>26460048</v>
      </c>
      <c r="B1743" s="23" t="s">
        <v>10973</v>
      </c>
      <c r="C1743" s="23" t="s">
        <v>10974</v>
      </c>
      <c r="D1743" s="23" t="s">
        <v>10975</v>
      </c>
      <c r="E1743" s="23" t="s">
        <v>1819</v>
      </c>
      <c r="F1743" s="23" t="s">
        <v>5783</v>
      </c>
      <c r="G1743" s="22">
        <v>2015</v>
      </c>
      <c r="H1743" s="24">
        <v>42291</v>
      </c>
      <c r="I1743" s="26" t="s">
        <v>10976</v>
      </c>
      <c r="J1743" s="27"/>
      <c r="K1743" s="26" t="s">
        <v>1820</v>
      </c>
      <c r="L1743" s="27"/>
      <c r="M1743" s="27"/>
    </row>
  </sheetData>
  <mergeCells count="1860">
    <mergeCell ref="K284:M284"/>
    <mergeCell ref="K286:L286"/>
    <mergeCell ref="K287:L287"/>
    <mergeCell ref="K228:M228"/>
    <mergeCell ref="K229:M229"/>
    <mergeCell ref="K230:M230"/>
    <mergeCell ref="K231:M231"/>
    <mergeCell ref="K232:L232"/>
    <mergeCell ref="K233:M233"/>
    <mergeCell ref="K234:M234"/>
    <mergeCell ref="K235:M235"/>
    <mergeCell ref="K236:M236"/>
    <mergeCell ref="K237:L237"/>
    <mergeCell ref="K238:L238"/>
    <mergeCell ref="K239:M239"/>
    <mergeCell ref="K240:L240"/>
    <mergeCell ref="K241:M241"/>
    <mergeCell ref="K242:L242"/>
    <mergeCell ref="K244:L244"/>
    <mergeCell ref="K245:L245"/>
    <mergeCell ref="K246:L246"/>
    <mergeCell ref="K247:M247"/>
    <mergeCell ref="K248:L248"/>
    <mergeCell ref="K249:L249"/>
    <mergeCell ref="K250:L250"/>
    <mergeCell ref="K251:L251"/>
    <mergeCell ref="K252:L252"/>
    <mergeCell ref="K253:M253"/>
    <mergeCell ref="K255:M255"/>
    <mergeCell ref="K256:L256"/>
    <mergeCell ref="K257:L257"/>
    <mergeCell ref="K258:L258"/>
    <mergeCell ref="K259:M259"/>
    <mergeCell ref="K260:M260"/>
    <mergeCell ref="K261:M261"/>
    <mergeCell ref="K262:M262"/>
    <mergeCell ref="K263:M263"/>
    <mergeCell ref="K264:M264"/>
    <mergeCell ref="K265:M265"/>
    <mergeCell ref="K266:L266"/>
    <mergeCell ref="K267:L267"/>
    <mergeCell ref="K268:M268"/>
    <mergeCell ref="K269:M269"/>
    <mergeCell ref="K45:L45"/>
    <mergeCell ref="K46:M46"/>
    <mergeCell ref="K47:L47"/>
    <mergeCell ref="K48:L48"/>
    <mergeCell ref="K38:M38"/>
    <mergeCell ref="K39:L39"/>
    <mergeCell ref="K40:L40"/>
    <mergeCell ref="K41:L41"/>
    <mergeCell ref="K42:M42"/>
    <mergeCell ref="K43:M43"/>
    <mergeCell ref="K44:M44"/>
    <mergeCell ref="K105:M105"/>
    <mergeCell ref="K106:M106"/>
    <mergeCell ref="K108:L108"/>
    <mergeCell ref="K109:M109"/>
    <mergeCell ref="K110:L110"/>
    <mergeCell ref="K112:M112"/>
    <mergeCell ref="K66:L66"/>
    <mergeCell ref="K67:L67"/>
    <mergeCell ref="K69:L69"/>
    <mergeCell ref="K70:M70"/>
    <mergeCell ref="K71:M71"/>
    <mergeCell ref="K73:L73"/>
    <mergeCell ref="I4:J4"/>
    <mergeCell ref="K4:L4"/>
    <mergeCell ref="I5:J5"/>
    <mergeCell ref="K5:M5"/>
    <mergeCell ref="K6:M6"/>
    <mergeCell ref="K7:M7"/>
    <mergeCell ref="K8:L8"/>
    <mergeCell ref="K9:L9"/>
    <mergeCell ref="K10:L10"/>
    <mergeCell ref="K11:M11"/>
    <mergeCell ref="K12:M12"/>
    <mergeCell ref="K13:M13"/>
    <mergeCell ref="K14:M14"/>
    <mergeCell ref="K15:M15"/>
    <mergeCell ref="K16:M16"/>
    <mergeCell ref="K17:M17"/>
    <mergeCell ref="K18:M18"/>
    <mergeCell ref="K19:L19"/>
    <mergeCell ref="K20:M20"/>
    <mergeCell ref="K21:L21"/>
    <mergeCell ref="K22:M22"/>
    <mergeCell ref="K23:M23"/>
    <mergeCell ref="K24:L24"/>
    <mergeCell ref="K25:L25"/>
    <mergeCell ref="K26:M26"/>
    <mergeCell ref="K27:M27"/>
    <mergeCell ref="K28:M28"/>
    <mergeCell ref="K29:L29"/>
    <mergeCell ref="I7:J7"/>
    <mergeCell ref="I9:J9"/>
    <mergeCell ref="I15:J15"/>
    <mergeCell ref="I16:J16"/>
    <mergeCell ref="I21:J21"/>
    <mergeCell ref="I24:J24"/>
    <mergeCell ref="I26:J26"/>
    <mergeCell ref="K30:L30"/>
    <mergeCell ref="K31:M31"/>
    <mergeCell ref="K32:L32"/>
    <mergeCell ref="K33:M33"/>
    <mergeCell ref="K34:M34"/>
    <mergeCell ref="K35:M35"/>
    <mergeCell ref="K37:M37"/>
    <mergeCell ref="I56:J56"/>
    <mergeCell ref="I57:J57"/>
    <mergeCell ref="K97:M97"/>
    <mergeCell ref="K98:M98"/>
    <mergeCell ref="K99:M99"/>
    <mergeCell ref="K100:M100"/>
    <mergeCell ref="K101:M101"/>
    <mergeCell ref="K102:M102"/>
    <mergeCell ref="K103:M103"/>
    <mergeCell ref="K104:M104"/>
    <mergeCell ref="K49:L49"/>
    <mergeCell ref="K50:M50"/>
    <mergeCell ref="K51:L51"/>
    <mergeCell ref="K52:L52"/>
    <mergeCell ref="K53:M53"/>
    <mergeCell ref="K55:M55"/>
    <mergeCell ref="K56:L56"/>
    <mergeCell ref="K57:M57"/>
    <mergeCell ref="K58:L58"/>
    <mergeCell ref="K59:M59"/>
    <mergeCell ref="K61:M61"/>
    <mergeCell ref="K62:L62"/>
    <mergeCell ref="K63:M63"/>
    <mergeCell ref="K64:L64"/>
    <mergeCell ref="K65:M65"/>
    <mergeCell ref="K74:L74"/>
    <mergeCell ref="K75:M75"/>
    <mergeCell ref="K76:L76"/>
    <mergeCell ref="K77:M77"/>
    <mergeCell ref="K78:L78"/>
    <mergeCell ref="K79:M79"/>
    <mergeCell ref="K80:M80"/>
    <mergeCell ref="K81:M81"/>
    <mergeCell ref="K82:L82"/>
    <mergeCell ref="K83:M83"/>
    <mergeCell ref="K84:M84"/>
    <mergeCell ref="K86:M86"/>
    <mergeCell ref="K87:M87"/>
    <mergeCell ref="K88:M88"/>
    <mergeCell ref="K89:M89"/>
    <mergeCell ref="K90:L90"/>
    <mergeCell ref="K91:L91"/>
    <mergeCell ref="K92:M92"/>
    <mergeCell ref="K94:M94"/>
    <mergeCell ref="K95:M95"/>
    <mergeCell ref="K96:M96"/>
    <mergeCell ref="K113:L113"/>
    <mergeCell ref="K114:L114"/>
    <mergeCell ref="K115:L115"/>
    <mergeCell ref="K116:M116"/>
    <mergeCell ref="K117:M117"/>
    <mergeCell ref="K118:L118"/>
    <mergeCell ref="K119:M119"/>
    <mergeCell ref="K120:M120"/>
    <mergeCell ref="K121:L121"/>
    <mergeCell ref="K122:L122"/>
    <mergeCell ref="K123:L123"/>
    <mergeCell ref="K124:L124"/>
    <mergeCell ref="K125:L125"/>
    <mergeCell ref="K126:M126"/>
    <mergeCell ref="K127:M127"/>
    <mergeCell ref="K128:M128"/>
    <mergeCell ref="K129:M129"/>
    <mergeCell ref="K130:L130"/>
    <mergeCell ref="K131:L131"/>
    <mergeCell ref="K132:M132"/>
    <mergeCell ref="K133:L133"/>
    <mergeCell ref="K134:L134"/>
    <mergeCell ref="K135:M135"/>
    <mergeCell ref="K136:L136"/>
    <mergeCell ref="K137:L137"/>
    <mergeCell ref="K138:M138"/>
    <mergeCell ref="K139:L139"/>
    <mergeCell ref="K140:L140"/>
    <mergeCell ref="K141:L141"/>
    <mergeCell ref="K142:M142"/>
    <mergeCell ref="K143:M143"/>
    <mergeCell ref="K144:M144"/>
    <mergeCell ref="K145:L145"/>
    <mergeCell ref="K146:M146"/>
    <mergeCell ref="K148:M148"/>
    <mergeCell ref="K149:L149"/>
    <mergeCell ref="K150:M150"/>
    <mergeCell ref="K151:L151"/>
    <mergeCell ref="K152:M152"/>
    <mergeCell ref="K153:L153"/>
    <mergeCell ref="K155:M155"/>
    <mergeCell ref="K156:L156"/>
    <mergeCell ref="K157:L157"/>
    <mergeCell ref="K158:L158"/>
    <mergeCell ref="K159:L159"/>
    <mergeCell ref="K160:L160"/>
    <mergeCell ref="K161:M161"/>
    <mergeCell ref="K162:M162"/>
    <mergeCell ref="K164:M164"/>
    <mergeCell ref="K165:M165"/>
    <mergeCell ref="K166:M166"/>
    <mergeCell ref="K167:M167"/>
    <mergeCell ref="K168:M168"/>
    <mergeCell ref="K169:M169"/>
    <mergeCell ref="K170:M170"/>
    <mergeCell ref="K172:L172"/>
    <mergeCell ref="K173:L173"/>
    <mergeCell ref="K174:L174"/>
    <mergeCell ref="K175:L175"/>
    <mergeCell ref="K176:M176"/>
    <mergeCell ref="K177:L177"/>
    <mergeCell ref="K178:M178"/>
    <mergeCell ref="K179:M179"/>
    <mergeCell ref="K180:L180"/>
    <mergeCell ref="K181:M181"/>
    <mergeCell ref="K182:M182"/>
    <mergeCell ref="K184:M184"/>
    <mergeCell ref="K185:M185"/>
    <mergeCell ref="K186:L186"/>
    <mergeCell ref="K187:M187"/>
    <mergeCell ref="K188:M188"/>
    <mergeCell ref="K190:M190"/>
    <mergeCell ref="K191:M191"/>
    <mergeCell ref="K192:L192"/>
    <mergeCell ref="K193:M193"/>
    <mergeCell ref="K194:M194"/>
    <mergeCell ref="K195:M195"/>
    <mergeCell ref="K197:L197"/>
    <mergeCell ref="K198:M198"/>
    <mergeCell ref="K199:L199"/>
    <mergeCell ref="K200:L200"/>
    <mergeCell ref="K201:L201"/>
    <mergeCell ref="K202:L202"/>
    <mergeCell ref="K203:L203"/>
    <mergeCell ref="K204:M204"/>
    <mergeCell ref="K205:L205"/>
    <mergeCell ref="K206:M206"/>
    <mergeCell ref="K207:M207"/>
    <mergeCell ref="K208:M208"/>
    <mergeCell ref="K209:M209"/>
    <mergeCell ref="K210:L210"/>
    <mergeCell ref="K211:M211"/>
    <mergeCell ref="K212:M212"/>
    <mergeCell ref="K213:L213"/>
    <mergeCell ref="K214:M214"/>
    <mergeCell ref="K216:L216"/>
    <mergeCell ref="K217:M217"/>
    <mergeCell ref="K219:L219"/>
    <mergeCell ref="K220:L220"/>
    <mergeCell ref="K221:M221"/>
    <mergeCell ref="K223:L223"/>
    <mergeCell ref="K224:M224"/>
    <mergeCell ref="K225:L225"/>
    <mergeCell ref="K226:L226"/>
    <mergeCell ref="K227:L227"/>
    <mergeCell ref="I29:J29"/>
    <mergeCell ref="I32:J32"/>
    <mergeCell ref="I38:J38"/>
    <mergeCell ref="I42:J42"/>
    <mergeCell ref="I43:J43"/>
    <mergeCell ref="I45:J45"/>
    <mergeCell ref="I49:J49"/>
    <mergeCell ref="I51:J51"/>
    <mergeCell ref="I52:J52"/>
    <mergeCell ref="I61:J61"/>
    <mergeCell ref="I62:J62"/>
    <mergeCell ref="I63:J63"/>
    <mergeCell ref="I67:J67"/>
    <mergeCell ref="I69:J69"/>
    <mergeCell ref="I74:J74"/>
    <mergeCell ref="I76:J76"/>
    <mergeCell ref="I79:J79"/>
    <mergeCell ref="I82:J82"/>
    <mergeCell ref="I86:J86"/>
    <mergeCell ref="I91:J91"/>
    <mergeCell ref="I92:J92"/>
    <mergeCell ref="I94:J94"/>
    <mergeCell ref="I95:J95"/>
    <mergeCell ref="I113:J113"/>
    <mergeCell ref="I115:J115"/>
    <mergeCell ref="I118:J118"/>
    <mergeCell ref="I121:J121"/>
    <mergeCell ref="I128:J128"/>
    <mergeCell ref="I135:J135"/>
    <mergeCell ref="I136:J136"/>
    <mergeCell ref="I141:J141"/>
    <mergeCell ref="I148:J148"/>
    <mergeCell ref="I149:J149"/>
    <mergeCell ref="I152:J152"/>
    <mergeCell ref="I157:J157"/>
    <mergeCell ref="I173:J173"/>
    <mergeCell ref="I203:J203"/>
    <mergeCell ref="I205:J205"/>
    <mergeCell ref="I206:J206"/>
    <mergeCell ref="I219:J219"/>
    <mergeCell ref="I220:J220"/>
    <mergeCell ref="I221:J221"/>
    <mergeCell ref="I225:J225"/>
    <mergeCell ref="I227:J227"/>
    <mergeCell ref="I232:J232"/>
    <mergeCell ref="I241:J241"/>
    <mergeCell ref="I248:J248"/>
    <mergeCell ref="I252:J252"/>
    <mergeCell ref="I255:J255"/>
    <mergeCell ref="K520:M520"/>
    <mergeCell ref="K521:M521"/>
    <mergeCell ref="K522:L522"/>
    <mergeCell ref="K523:L523"/>
    <mergeCell ref="K524:M524"/>
    <mergeCell ref="K525:M525"/>
    <mergeCell ref="I526:J526"/>
    <mergeCell ref="K526:L526"/>
    <mergeCell ref="K527:L527"/>
    <mergeCell ref="I528:J528"/>
    <mergeCell ref="K528:L528"/>
    <mergeCell ref="K487:M487"/>
    <mergeCell ref="K489:L489"/>
    <mergeCell ref="K490:M490"/>
    <mergeCell ref="K491:L491"/>
    <mergeCell ref="K492:M492"/>
    <mergeCell ref="K496:M496"/>
    <mergeCell ref="K497:M497"/>
    <mergeCell ref="K498:M498"/>
    <mergeCell ref="K499:L499"/>
    <mergeCell ref="K502:L502"/>
    <mergeCell ref="K503:M503"/>
    <mergeCell ref="K504:L504"/>
    <mergeCell ref="K505:M505"/>
    <mergeCell ref="I260:J260"/>
    <mergeCell ref="I533:J533"/>
    <mergeCell ref="K533:L533"/>
    <mergeCell ref="K534:M534"/>
    <mergeCell ref="K455:M455"/>
    <mergeCell ref="K456:M456"/>
    <mergeCell ref="K457:M457"/>
    <mergeCell ref="K458:M458"/>
    <mergeCell ref="K459:M459"/>
    <mergeCell ref="K460:M460"/>
    <mergeCell ref="K461:M461"/>
    <mergeCell ref="K462:L462"/>
    <mergeCell ref="K463:M463"/>
    <mergeCell ref="K464:M464"/>
    <mergeCell ref="K465:M465"/>
    <mergeCell ref="K466:L466"/>
    <mergeCell ref="K467:M467"/>
    <mergeCell ref="K468:M468"/>
    <mergeCell ref="K469:L469"/>
    <mergeCell ref="K470:M470"/>
    <mergeCell ref="K473:M473"/>
    <mergeCell ref="K475:M475"/>
    <mergeCell ref="K476:M476"/>
    <mergeCell ref="K477:L477"/>
    <mergeCell ref="K478:L478"/>
    <mergeCell ref="K479:M479"/>
    <mergeCell ref="I480:J480"/>
    <mergeCell ref="K480:M480"/>
    <mergeCell ref="K481:L481"/>
    <mergeCell ref="K482:M482"/>
    <mergeCell ref="K483:M483"/>
    <mergeCell ref="K484:M484"/>
    <mergeCell ref="K485:M485"/>
    <mergeCell ref="K535:L535"/>
    <mergeCell ref="K536:L536"/>
    <mergeCell ref="K537:M537"/>
    <mergeCell ref="K538:M538"/>
    <mergeCell ref="I539:J539"/>
    <mergeCell ref="K539:M539"/>
    <mergeCell ref="I540:J540"/>
    <mergeCell ref="I586:J586"/>
    <mergeCell ref="K586:M586"/>
    <mergeCell ref="K587:L587"/>
    <mergeCell ref="K588:L588"/>
    <mergeCell ref="K590:M590"/>
    <mergeCell ref="K591:M591"/>
    <mergeCell ref="I592:J592"/>
    <mergeCell ref="K592:M592"/>
    <mergeCell ref="K594:M594"/>
    <mergeCell ref="I595:J595"/>
    <mergeCell ref="K595:L595"/>
    <mergeCell ref="I563:J563"/>
    <mergeCell ref="I574:J574"/>
    <mergeCell ref="K574:L574"/>
    <mergeCell ref="K575:M575"/>
    <mergeCell ref="K576:L576"/>
    <mergeCell ref="K577:M577"/>
    <mergeCell ref="K578:L578"/>
    <mergeCell ref="I579:J579"/>
    <mergeCell ref="K579:L579"/>
    <mergeCell ref="K581:L581"/>
    <mergeCell ref="K582:M582"/>
    <mergeCell ref="K584:M584"/>
    <mergeCell ref="K585:M585"/>
    <mergeCell ref="K596:L596"/>
    <mergeCell ref="K597:M597"/>
    <mergeCell ref="K598:L598"/>
    <mergeCell ref="K540:L540"/>
    <mergeCell ref="K541:M541"/>
    <mergeCell ref="K542:M542"/>
    <mergeCell ref="K543:M543"/>
    <mergeCell ref="K544:M544"/>
    <mergeCell ref="K545:M545"/>
    <mergeCell ref="K546:L546"/>
    <mergeCell ref="K548:L548"/>
    <mergeCell ref="K549:M549"/>
    <mergeCell ref="K551:L551"/>
    <mergeCell ref="K553:M553"/>
    <mergeCell ref="K554:M554"/>
    <mergeCell ref="K555:M555"/>
    <mergeCell ref="K556:M556"/>
    <mergeCell ref="K557:M557"/>
    <mergeCell ref="K558:M558"/>
    <mergeCell ref="K559:L559"/>
    <mergeCell ref="K560:M560"/>
    <mergeCell ref="K562:M562"/>
    <mergeCell ref="K563:M563"/>
    <mergeCell ref="K564:M564"/>
    <mergeCell ref="K566:M566"/>
    <mergeCell ref="K567:M567"/>
    <mergeCell ref="K568:M568"/>
    <mergeCell ref="K569:L569"/>
    <mergeCell ref="K570:M570"/>
    <mergeCell ref="K571:M571"/>
    <mergeCell ref="K572:M572"/>
    <mergeCell ref="K573:M573"/>
    <mergeCell ref="K600:M600"/>
    <mergeCell ref="K602:L602"/>
    <mergeCell ref="K603:M603"/>
    <mergeCell ref="K605:M605"/>
    <mergeCell ref="K606:L606"/>
    <mergeCell ref="K607:L607"/>
    <mergeCell ref="K608:L608"/>
    <mergeCell ref="K609:M609"/>
    <mergeCell ref="K611:L611"/>
    <mergeCell ref="K612:L612"/>
    <mergeCell ref="K613:M613"/>
    <mergeCell ref="K615:L615"/>
    <mergeCell ref="I616:J616"/>
    <mergeCell ref="K616:L616"/>
    <mergeCell ref="K618:M618"/>
    <mergeCell ref="K619:M619"/>
    <mergeCell ref="K620:L620"/>
    <mergeCell ref="K621:M621"/>
    <mergeCell ref="I622:J622"/>
    <mergeCell ref="K622:L622"/>
    <mergeCell ref="K623:L623"/>
    <mergeCell ref="I632:J632"/>
    <mergeCell ref="K632:L632"/>
    <mergeCell ref="I634:J634"/>
    <mergeCell ref="K624:M624"/>
    <mergeCell ref="K626:M626"/>
    <mergeCell ref="K627:M627"/>
    <mergeCell ref="K628:M628"/>
    <mergeCell ref="K629:M629"/>
    <mergeCell ref="K630:L630"/>
    <mergeCell ref="K631:L631"/>
    <mergeCell ref="I639:J639"/>
    <mergeCell ref="I640:J640"/>
    <mergeCell ref="K633:M633"/>
    <mergeCell ref="K634:M634"/>
    <mergeCell ref="K635:M635"/>
    <mergeCell ref="K636:L636"/>
    <mergeCell ref="K637:L637"/>
    <mergeCell ref="K638:L638"/>
    <mergeCell ref="K639:M639"/>
    <mergeCell ref="K640:M640"/>
    <mergeCell ref="K641:M641"/>
    <mergeCell ref="K642:L642"/>
    <mergeCell ref="K643:L643"/>
    <mergeCell ref="K644:L644"/>
    <mergeCell ref="K645:L645"/>
    <mergeCell ref="K646:M646"/>
    <mergeCell ref="K647:L647"/>
    <mergeCell ref="K648:M648"/>
    <mergeCell ref="K649:L649"/>
    <mergeCell ref="K650:M650"/>
    <mergeCell ref="K651:M651"/>
    <mergeCell ref="K652:M652"/>
    <mergeCell ref="K653:L653"/>
    <mergeCell ref="K654:M654"/>
    <mergeCell ref="K655:M655"/>
    <mergeCell ref="K656:L656"/>
    <mergeCell ref="K657:L657"/>
    <mergeCell ref="I658:J658"/>
    <mergeCell ref="K658:L658"/>
    <mergeCell ref="K659:M659"/>
    <mergeCell ref="K660:L660"/>
    <mergeCell ref="K662:M662"/>
    <mergeCell ref="K663:M663"/>
    <mergeCell ref="K664:M664"/>
    <mergeCell ref="I665:J665"/>
    <mergeCell ref="K665:M665"/>
    <mergeCell ref="K666:M666"/>
    <mergeCell ref="K667:M667"/>
    <mergeCell ref="K668:M668"/>
    <mergeCell ref="I669:J669"/>
    <mergeCell ref="K669:M669"/>
    <mergeCell ref="K671:L671"/>
    <mergeCell ref="K672:L672"/>
    <mergeCell ref="K673:M673"/>
    <mergeCell ref="K674:L674"/>
    <mergeCell ref="K675:L675"/>
    <mergeCell ref="K676:M676"/>
    <mergeCell ref="K677:M677"/>
    <mergeCell ref="K678:M678"/>
    <mergeCell ref="I679:J679"/>
    <mergeCell ref="K679:L679"/>
    <mergeCell ref="I685:J685"/>
    <mergeCell ref="I686:J686"/>
    <mergeCell ref="I687:J687"/>
    <mergeCell ref="B772:C772"/>
    <mergeCell ref="D772:E772"/>
    <mergeCell ref="K680:M680"/>
    <mergeCell ref="K681:M681"/>
    <mergeCell ref="I682:J682"/>
    <mergeCell ref="K682:M682"/>
    <mergeCell ref="K683:L683"/>
    <mergeCell ref="K684:L684"/>
    <mergeCell ref="K685:L685"/>
    <mergeCell ref="K686:M686"/>
    <mergeCell ref="K687:L687"/>
    <mergeCell ref="K688:L688"/>
    <mergeCell ref="K690:M690"/>
    <mergeCell ref="K691:M691"/>
    <mergeCell ref="K692:M692"/>
    <mergeCell ref="K694:M694"/>
    <mergeCell ref="K696:L696"/>
    <mergeCell ref="K697:L697"/>
    <mergeCell ref="K698:M698"/>
    <mergeCell ref="K699:L699"/>
    <mergeCell ref="K700:L700"/>
    <mergeCell ref="I701:J701"/>
    <mergeCell ref="K701:L701"/>
    <mergeCell ref="K702:M702"/>
    <mergeCell ref="K703:M703"/>
    <mergeCell ref="K704:M704"/>
    <mergeCell ref="K705:L705"/>
    <mergeCell ref="K706:M706"/>
    <mergeCell ref="K707:M707"/>
    <mergeCell ref="K708:L708"/>
    <mergeCell ref="K709:M709"/>
    <mergeCell ref="I710:J710"/>
    <mergeCell ref="K710:L710"/>
    <mergeCell ref="K711:M711"/>
    <mergeCell ref="K712:M712"/>
    <mergeCell ref="K713:M713"/>
    <mergeCell ref="K714:M714"/>
    <mergeCell ref="K716:L716"/>
    <mergeCell ref="K717:M717"/>
    <mergeCell ref="K718:L718"/>
    <mergeCell ref="K719:M719"/>
    <mergeCell ref="K720:M720"/>
    <mergeCell ref="K721:M721"/>
    <mergeCell ref="K723:M723"/>
    <mergeCell ref="K724:L724"/>
    <mergeCell ref="K725:M725"/>
    <mergeCell ref="I726:J726"/>
    <mergeCell ref="K726:M726"/>
    <mergeCell ref="I728:J728"/>
    <mergeCell ref="K728:M728"/>
    <mergeCell ref="K729:L729"/>
    <mergeCell ref="K730:M730"/>
    <mergeCell ref="K731:L731"/>
    <mergeCell ref="K732:L732"/>
    <mergeCell ref="K733:L733"/>
    <mergeCell ref="K734:L734"/>
    <mergeCell ref="K736:M736"/>
    <mergeCell ref="K737:L737"/>
    <mergeCell ref="I738:J738"/>
    <mergeCell ref="K738:M738"/>
    <mergeCell ref="K739:M739"/>
    <mergeCell ref="K740:M740"/>
    <mergeCell ref="K741:L741"/>
    <mergeCell ref="K742:L742"/>
    <mergeCell ref="K743:M743"/>
    <mergeCell ref="K744:L744"/>
    <mergeCell ref="K745:M745"/>
    <mergeCell ref="K747:M747"/>
    <mergeCell ref="K748:L748"/>
    <mergeCell ref="K749:M749"/>
    <mergeCell ref="K750:M750"/>
    <mergeCell ref="K751:M751"/>
    <mergeCell ref="K752:M752"/>
    <mergeCell ref="K786:L786"/>
    <mergeCell ref="K787:M787"/>
    <mergeCell ref="K753:M753"/>
    <mergeCell ref="K754:L754"/>
    <mergeCell ref="I755:J755"/>
    <mergeCell ref="K755:M755"/>
    <mergeCell ref="K756:M756"/>
    <mergeCell ref="K758:L758"/>
    <mergeCell ref="K759:M759"/>
    <mergeCell ref="K760:M760"/>
    <mergeCell ref="K761:M761"/>
    <mergeCell ref="K762:L762"/>
    <mergeCell ref="I763:J763"/>
    <mergeCell ref="K763:L763"/>
    <mergeCell ref="I765:J765"/>
    <mergeCell ref="K765:M765"/>
    <mergeCell ref="K766:L766"/>
    <mergeCell ref="K768:M768"/>
    <mergeCell ref="K769:L769"/>
    <mergeCell ref="I262:J262"/>
    <mergeCell ref="I265:J265"/>
    <mergeCell ref="I270:J270"/>
    <mergeCell ref="I271:J271"/>
    <mergeCell ref="I273:J273"/>
    <mergeCell ref="I284:J284"/>
    <mergeCell ref="I289:J289"/>
    <mergeCell ref="I290:J290"/>
    <mergeCell ref="K290:M290"/>
    <mergeCell ref="K291:M291"/>
    <mergeCell ref="K292:M292"/>
    <mergeCell ref="K293:M293"/>
    <mergeCell ref="K294:L294"/>
    <mergeCell ref="I295:J295"/>
    <mergeCell ref="K295:M295"/>
    <mergeCell ref="K296:M296"/>
    <mergeCell ref="K297:M297"/>
    <mergeCell ref="K270:L270"/>
    <mergeCell ref="K271:L271"/>
    <mergeCell ref="K272:M272"/>
    <mergeCell ref="K273:L273"/>
    <mergeCell ref="K274:M274"/>
    <mergeCell ref="K275:L275"/>
    <mergeCell ref="K276:M276"/>
    <mergeCell ref="K277:M277"/>
    <mergeCell ref="K278:L278"/>
    <mergeCell ref="K288:M288"/>
    <mergeCell ref="K289:M289"/>
    <mergeCell ref="K279:M279"/>
    <mergeCell ref="K280:M280"/>
    <mergeCell ref="K282:M282"/>
    <mergeCell ref="K283:M283"/>
    <mergeCell ref="K298:L298"/>
    <mergeCell ref="I299:J299"/>
    <mergeCell ref="K299:L299"/>
    <mergeCell ref="K300:M300"/>
    <mergeCell ref="K301:L301"/>
    <mergeCell ref="K303:M303"/>
    <mergeCell ref="K304:L304"/>
    <mergeCell ref="K305:L305"/>
    <mergeCell ref="K306:M306"/>
    <mergeCell ref="I307:J307"/>
    <mergeCell ref="K307:L307"/>
    <mergeCell ref="K309:M309"/>
    <mergeCell ref="K310:M310"/>
    <mergeCell ref="K311:L311"/>
    <mergeCell ref="K312:L312"/>
    <mergeCell ref="K314:M314"/>
    <mergeCell ref="K315:M315"/>
    <mergeCell ref="K316:M316"/>
    <mergeCell ref="K317:M317"/>
    <mergeCell ref="K318:M318"/>
    <mergeCell ref="K319:L319"/>
    <mergeCell ref="K320:M320"/>
    <mergeCell ref="I322:J322"/>
    <mergeCell ref="K322:L322"/>
    <mergeCell ref="K323:L323"/>
    <mergeCell ref="K324:L324"/>
    <mergeCell ref="K325:M325"/>
    <mergeCell ref="K326:M326"/>
    <mergeCell ref="K327:L327"/>
    <mergeCell ref="K328:M328"/>
    <mergeCell ref="K329:M329"/>
    <mergeCell ref="K387:M387"/>
    <mergeCell ref="K388:L388"/>
    <mergeCell ref="K391:M391"/>
    <mergeCell ref="K362:M362"/>
    <mergeCell ref="K363:M363"/>
    <mergeCell ref="K364:L364"/>
    <mergeCell ref="K365:M365"/>
    <mergeCell ref="K366:L366"/>
    <mergeCell ref="K367:M367"/>
    <mergeCell ref="K368:M368"/>
    <mergeCell ref="I370:J370"/>
    <mergeCell ref="K370:M370"/>
    <mergeCell ref="K371:M371"/>
    <mergeCell ref="K372:L372"/>
    <mergeCell ref="K373:L373"/>
    <mergeCell ref="I374:J374"/>
    <mergeCell ref="K374:L374"/>
    <mergeCell ref="K375:M375"/>
    <mergeCell ref="K352:M352"/>
    <mergeCell ref="K353:L353"/>
    <mergeCell ref="K354:M354"/>
    <mergeCell ref="K356:M356"/>
    <mergeCell ref="K357:L357"/>
    <mergeCell ref="K358:M358"/>
    <mergeCell ref="K359:M359"/>
    <mergeCell ref="K361:L361"/>
    <mergeCell ref="K392:L392"/>
    <mergeCell ref="K393:M393"/>
    <mergeCell ref="K394:L394"/>
    <mergeCell ref="K396:M396"/>
    <mergeCell ref="K378:M378"/>
    <mergeCell ref="K379:M379"/>
    <mergeCell ref="K381:M381"/>
    <mergeCell ref="K382:L382"/>
    <mergeCell ref="K383:M383"/>
    <mergeCell ref="K384:L384"/>
    <mergeCell ref="K385:L385"/>
    <mergeCell ref="K389:M389"/>
    <mergeCell ref="K330:L330"/>
    <mergeCell ref="K331:M331"/>
    <mergeCell ref="K333:L333"/>
    <mergeCell ref="K334:M334"/>
    <mergeCell ref="K335:M335"/>
    <mergeCell ref="K336:M336"/>
    <mergeCell ref="K337:M337"/>
    <mergeCell ref="K338:M338"/>
    <mergeCell ref="K340:M340"/>
    <mergeCell ref="K341:L341"/>
    <mergeCell ref="K342:M342"/>
    <mergeCell ref="I343:J343"/>
    <mergeCell ref="K344:M344"/>
    <mergeCell ref="K346:M346"/>
    <mergeCell ref="K345:L345"/>
    <mergeCell ref="K349:L349"/>
    <mergeCell ref="K351:M351"/>
    <mergeCell ref="K376:M376"/>
    <mergeCell ref="K377:L377"/>
    <mergeCell ref="K407:M407"/>
    <mergeCell ref="K408:L408"/>
    <mergeCell ref="K410:M410"/>
    <mergeCell ref="K411:L411"/>
    <mergeCell ref="K412:M412"/>
    <mergeCell ref="K414:L414"/>
    <mergeCell ref="K415:M415"/>
    <mergeCell ref="K416:L416"/>
    <mergeCell ref="I418:J418"/>
    <mergeCell ref="K418:M418"/>
    <mergeCell ref="K419:M419"/>
    <mergeCell ref="K420:L420"/>
    <mergeCell ref="K421:L421"/>
    <mergeCell ref="K422:M422"/>
    <mergeCell ref="I430:J430"/>
    <mergeCell ref="K398:M398"/>
    <mergeCell ref="K400:M400"/>
    <mergeCell ref="I402:J402"/>
    <mergeCell ref="K402:L402"/>
    <mergeCell ref="K403:L403"/>
    <mergeCell ref="K404:M404"/>
    <mergeCell ref="K405:L405"/>
    <mergeCell ref="I377:J377"/>
    <mergeCell ref="I378:J378"/>
    <mergeCell ref="I385:J385"/>
    <mergeCell ref="I389:J389"/>
    <mergeCell ref="I397:J397"/>
    <mergeCell ref="K397:L397"/>
    <mergeCell ref="I431:J431"/>
    <mergeCell ref="K423:M423"/>
    <mergeCell ref="K424:L424"/>
    <mergeCell ref="K425:M425"/>
    <mergeCell ref="K426:L426"/>
    <mergeCell ref="K428:L428"/>
    <mergeCell ref="K429:M429"/>
    <mergeCell ref="K430:L430"/>
    <mergeCell ref="K431:M431"/>
    <mergeCell ref="K432:M432"/>
    <mergeCell ref="K434:L434"/>
    <mergeCell ref="K435:M435"/>
    <mergeCell ref="K436:L436"/>
    <mergeCell ref="K437:L437"/>
    <mergeCell ref="K438:M438"/>
    <mergeCell ref="I446:J446"/>
    <mergeCell ref="K446:L446"/>
    <mergeCell ref="K439:L439"/>
    <mergeCell ref="K440:M440"/>
    <mergeCell ref="K441:L441"/>
    <mergeCell ref="K442:L442"/>
    <mergeCell ref="K443:M443"/>
    <mergeCell ref="K444:M444"/>
    <mergeCell ref="K445:M445"/>
    <mergeCell ref="K447:M447"/>
    <mergeCell ref="K448:L448"/>
    <mergeCell ref="K449:M449"/>
    <mergeCell ref="K450:L450"/>
    <mergeCell ref="K451:M451"/>
    <mergeCell ref="K453:M453"/>
    <mergeCell ref="K454:M454"/>
    <mergeCell ref="K507:M507"/>
    <mergeCell ref="K508:M508"/>
    <mergeCell ref="K509:M509"/>
    <mergeCell ref="K510:M510"/>
    <mergeCell ref="K511:M511"/>
    <mergeCell ref="I512:J512"/>
    <mergeCell ref="K512:L512"/>
    <mergeCell ref="K513:M513"/>
    <mergeCell ref="K514:M514"/>
    <mergeCell ref="K515:L515"/>
    <mergeCell ref="K516:M516"/>
    <mergeCell ref="K517:M517"/>
    <mergeCell ref="I518:J518"/>
    <mergeCell ref="K518:L518"/>
    <mergeCell ref="K788:M788"/>
    <mergeCell ref="K789:M789"/>
    <mergeCell ref="K790:M790"/>
    <mergeCell ref="K791:M791"/>
    <mergeCell ref="K792:M792"/>
    <mergeCell ref="K793:L793"/>
    <mergeCell ref="K794:M794"/>
    <mergeCell ref="K795:L795"/>
    <mergeCell ref="K797:M797"/>
    <mergeCell ref="K798:M798"/>
    <mergeCell ref="K799:M799"/>
    <mergeCell ref="K800:M800"/>
    <mergeCell ref="K801:L801"/>
    <mergeCell ref="K770:M770"/>
    <mergeCell ref="K771:L771"/>
    <mergeCell ref="I774:J774"/>
    <mergeCell ref="K774:M774"/>
    <mergeCell ref="K775:M775"/>
    <mergeCell ref="K776:M776"/>
    <mergeCell ref="K777:M777"/>
    <mergeCell ref="K778:L778"/>
    <mergeCell ref="K779:M779"/>
    <mergeCell ref="K780:L780"/>
    <mergeCell ref="K781:L781"/>
    <mergeCell ref="K782:L782"/>
    <mergeCell ref="K783:M783"/>
    <mergeCell ref="K784:M784"/>
    <mergeCell ref="K785:M785"/>
    <mergeCell ref="I802:J802"/>
    <mergeCell ref="K802:M802"/>
    <mergeCell ref="K803:L803"/>
    <mergeCell ref="K804:M804"/>
    <mergeCell ref="K805:L805"/>
    <mergeCell ref="K806:M806"/>
    <mergeCell ref="K808:M808"/>
    <mergeCell ref="K809:L809"/>
    <mergeCell ref="K810:L810"/>
    <mergeCell ref="I811:J811"/>
    <mergeCell ref="K811:M811"/>
    <mergeCell ref="K812:M812"/>
    <mergeCell ref="K814:L814"/>
    <mergeCell ref="K816:L816"/>
    <mergeCell ref="K817:M817"/>
    <mergeCell ref="I827:J827"/>
    <mergeCell ref="I829:J829"/>
    <mergeCell ref="K818:L818"/>
    <mergeCell ref="K819:L819"/>
    <mergeCell ref="K820:M820"/>
    <mergeCell ref="K821:M821"/>
    <mergeCell ref="K823:M823"/>
    <mergeCell ref="K825:M825"/>
    <mergeCell ref="K827:M827"/>
    <mergeCell ref="K829:L829"/>
    <mergeCell ref="K831:L831"/>
    <mergeCell ref="K832:L832"/>
    <mergeCell ref="K833:L833"/>
    <mergeCell ref="K835:M835"/>
    <mergeCell ref="K836:M836"/>
    <mergeCell ref="K837:M837"/>
    <mergeCell ref="I1592:J1592"/>
    <mergeCell ref="I1593:J1593"/>
    <mergeCell ref="I1596:J1596"/>
    <mergeCell ref="I1599:J1599"/>
    <mergeCell ref="I1600:J1600"/>
    <mergeCell ref="I1601:J1601"/>
    <mergeCell ref="I1602:J1602"/>
    <mergeCell ref="I1603:J1603"/>
    <mergeCell ref="I1604:J1604"/>
    <mergeCell ref="I1610:J1610"/>
    <mergeCell ref="I1618:J1618"/>
    <mergeCell ref="I1545:J1545"/>
    <mergeCell ref="I1549:J1549"/>
    <mergeCell ref="I1556:J1556"/>
    <mergeCell ref="I1557:J1557"/>
    <mergeCell ref="I1565:J1565"/>
    <mergeCell ref="I1566:J1566"/>
    <mergeCell ref="I1568:J1568"/>
    <mergeCell ref="I1569:J1569"/>
    <mergeCell ref="I1570:J1570"/>
    <mergeCell ref="I1571:J1571"/>
    <mergeCell ref="I1578:J1578"/>
    <mergeCell ref="I1589:J1589"/>
    <mergeCell ref="I1591:J1591"/>
    <mergeCell ref="K1380:L1380"/>
    <mergeCell ref="K1381:M1381"/>
    <mergeCell ref="I1623:J1623"/>
    <mergeCell ref="I1630:J1630"/>
    <mergeCell ref="I1631:J1631"/>
    <mergeCell ref="I1445:J1445"/>
    <mergeCell ref="I1447:J1447"/>
    <mergeCell ref="I1448:J1448"/>
    <mergeCell ref="I1449:J1449"/>
    <mergeCell ref="I1451:J1451"/>
    <mergeCell ref="I1455:J1455"/>
    <mergeCell ref="I1458:J1458"/>
    <mergeCell ref="I1460:J1460"/>
    <mergeCell ref="I1461:J1461"/>
    <mergeCell ref="I1466:J1466"/>
    <mergeCell ref="I1472:J1472"/>
    <mergeCell ref="I1473:J1473"/>
    <mergeCell ref="I1482:J1482"/>
    <mergeCell ref="I1485:J1485"/>
    <mergeCell ref="I1487:J1487"/>
    <mergeCell ref="I1495:J1495"/>
    <mergeCell ref="I1504:J1504"/>
    <mergeCell ref="I1512:J1512"/>
    <mergeCell ref="I1514:J1514"/>
    <mergeCell ref="I1519:J1519"/>
    <mergeCell ref="I1525:J1525"/>
    <mergeCell ref="I1526:J1526"/>
    <mergeCell ref="I1529:J1529"/>
    <mergeCell ref="I1530:J1530"/>
    <mergeCell ref="I1532:J1532"/>
    <mergeCell ref="I1538:J1538"/>
    <mergeCell ref="I1539:J1539"/>
    <mergeCell ref="I1543:J1543"/>
    <mergeCell ref="I1544:J1544"/>
    <mergeCell ref="I1634:J1634"/>
    <mergeCell ref="I1635:J1635"/>
    <mergeCell ref="I1636:J1636"/>
    <mergeCell ref="I1637:J1637"/>
    <mergeCell ref="I1639:J1639"/>
    <mergeCell ref="K1359:M1359"/>
    <mergeCell ref="K1360:L1360"/>
    <mergeCell ref="I1361:J1361"/>
    <mergeCell ref="K1361:M1361"/>
    <mergeCell ref="K1362:M1362"/>
    <mergeCell ref="K1363:L1363"/>
    <mergeCell ref="K1364:M1364"/>
    <mergeCell ref="K1365:M1365"/>
    <mergeCell ref="K1366:L1366"/>
    <mergeCell ref="K1367:L1367"/>
    <mergeCell ref="I1368:J1368"/>
    <mergeCell ref="K1368:L1368"/>
    <mergeCell ref="I1369:J1369"/>
    <mergeCell ref="K1369:L1369"/>
    <mergeCell ref="K1377:M1377"/>
    <mergeCell ref="K1378:M1378"/>
    <mergeCell ref="K1370:M1370"/>
    <mergeCell ref="K1371:M1371"/>
    <mergeCell ref="K1372:M1372"/>
    <mergeCell ref="K1373:L1373"/>
    <mergeCell ref="K1374:M1374"/>
    <mergeCell ref="K1375:M1375"/>
    <mergeCell ref="K1376:M1376"/>
    <mergeCell ref="I1374:J1374"/>
    <mergeCell ref="I1377:J1377"/>
    <mergeCell ref="I1379:J1379"/>
    <mergeCell ref="K1379:M1379"/>
    <mergeCell ref="I1384:J1384"/>
    <mergeCell ref="K1384:M1384"/>
    <mergeCell ref="K1385:M1385"/>
    <mergeCell ref="K1386:M1386"/>
    <mergeCell ref="K1387:M1387"/>
    <mergeCell ref="I1388:J1388"/>
    <mergeCell ref="K1326:M1326"/>
    <mergeCell ref="K1327:L1327"/>
    <mergeCell ref="K1328:M1328"/>
    <mergeCell ref="I1329:J1329"/>
    <mergeCell ref="K1329:M1329"/>
    <mergeCell ref="I1330:J1330"/>
    <mergeCell ref="K1330:M1330"/>
    <mergeCell ref="I1331:J1331"/>
    <mergeCell ref="K1331:M1331"/>
    <mergeCell ref="K1332:M1332"/>
    <mergeCell ref="I1333:J1333"/>
    <mergeCell ref="K1333:L1333"/>
    <mergeCell ref="K1334:L1334"/>
    <mergeCell ref="K1335:M1335"/>
    <mergeCell ref="I1336:J1336"/>
    <mergeCell ref="K1336:M1336"/>
    <mergeCell ref="I1337:J1337"/>
    <mergeCell ref="K1337:M1337"/>
    <mergeCell ref="I1338:J1338"/>
    <mergeCell ref="K1338:M1338"/>
    <mergeCell ref="K1339:M1339"/>
    <mergeCell ref="I1340:J1340"/>
    <mergeCell ref="K1340:M1340"/>
    <mergeCell ref="K1341:M1341"/>
    <mergeCell ref="K1342:M1342"/>
    <mergeCell ref="K1343:M1343"/>
    <mergeCell ref="K1345:M1345"/>
    <mergeCell ref="I1346:J1346"/>
    <mergeCell ref="K1346:M1346"/>
    <mergeCell ref="K1347:M1347"/>
    <mergeCell ref="I1348:J1348"/>
    <mergeCell ref="K1348:L1348"/>
    <mergeCell ref="K1349:L1349"/>
    <mergeCell ref="I1350:J1350"/>
    <mergeCell ref="K1350:L1350"/>
    <mergeCell ref="K1351:M1351"/>
    <mergeCell ref="K1352:M1352"/>
    <mergeCell ref="K1353:L1353"/>
    <mergeCell ref="K1354:M1354"/>
    <mergeCell ref="K1356:M1356"/>
    <mergeCell ref="K1357:M1357"/>
    <mergeCell ref="K1358:M1358"/>
    <mergeCell ref="K1388:L1388"/>
    <mergeCell ref="K1389:L1389"/>
    <mergeCell ref="K1392:M1392"/>
    <mergeCell ref="K1393:L1393"/>
    <mergeCell ref="K1394:M1394"/>
    <mergeCell ref="K1395:L1395"/>
    <mergeCell ref="K1396:M1396"/>
    <mergeCell ref="K1441:M1441"/>
    <mergeCell ref="K1442:L1442"/>
    <mergeCell ref="K1443:M1443"/>
    <mergeCell ref="K1433:L1433"/>
    <mergeCell ref="K1434:L1434"/>
    <mergeCell ref="K1436:M1436"/>
    <mergeCell ref="K1437:M1437"/>
    <mergeCell ref="K1438:L1438"/>
    <mergeCell ref="K1439:M1439"/>
    <mergeCell ref="K1440:M1440"/>
    <mergeCell ref="K1432:L1432"/>
    <mergeCell ref="K1382:M1382"/>
    <mergeCell ref="K1383:M1383"/>
    <mergeCell ref="K1460:M1460"/>
    <mergeCell ref="K1461:M1461"/>
    <mergeCell ref="K1462:L1462"/>
    <mergeCell ref="K1463:M1463"/>
    <mergeCell ref="K1466:L1466"/>
    <mergeCell ref="K1467:M1467"/>
    <mergeCell ref="K1468:L1468"/>
    <mergeCell ref="K1469:M1469"/>
    <mergeCell ref="K1470:M1470"/>
    <mergeCell ref="K1471:L1471"/>
    <mergeCell ref="K1472:M1472"/>
    <mergeCell ref="K1473:M1473"/>
    <mergeCell ref="K1474:M1474"/>
    <mergeCell ref="K1475:L1475"/>
    <mergeCell ref="K1476:M1476"/>
    <mergeCell ref="K1477:L1477"/>
    <mergeCell ref="K1478:M1478"/>
    <mergeCell ref="K1479:M1479"/>
    <mergeCell ref="K1480:M1480"/>
    <mergeCell ref="K1481:L1481"/>
    <mergeCell ref="K1482:M1482"/>
    <mergeCell ref="K1483:M1483"/>
    <mergeCell ref="K1484:M1484"/>
    <mergeCell ref="K1485:L1485"/>
    <mergeCell ref="K1486:L1486"/>
    <mergeCell ref="K1487:M1487"/>
    <mergeCell ref="K1488:M1488"/>
    <mergeCell ref="K1489:M1489"/>
    <mergeCell ref="K1490:L1490"/>
    <mergeCell ref="K1491:M1491"/>
    <mergeCell ref="K1492:M1492"/>
    <mergeCell ref="K1493:L1493"/>
    <mergeCell ref="K1494:L1494"/>
    <mergeCell ref="K1495:M1495"/>
    <mergeCell ref="K1496:M1496"/>
    <mergeCell ref="K1497:M1497"/>
    <mergeCell ref="K1498:M1498"/>
    <mergeCell ref="K1499:L1499"/>
    <mergeCell ref="K1500:L1500"/>
    <mergeCell ref="K1501:M1501"/>
    <mergeCell ref="K1503:M1503"/>
    <mergeCell ref="K1504:L1504"/>
    <mergeCell ref="K1505:M1505"/>
    <mergeCell ref="K1506:M1506"/>
    <mergeCell ref="K1508:L1508"/>
    <mergeCell ref="K1509:L1509"/>
    <mergeCell ref="K1510:M1510"/>
    <mergeCell ref="K1511:M1511"/>
    <mergeCell ref="K1512:M1512"/>
    <mergeCell ref="K1589:M1589"/>
    <mergeCell ref="K1590:M1590"/>
    <mergeCell ref="K1572:M1572"/>
    <mergeCell ref="K1573:M1573"/>
    <mergeCell ref="K1575:M1575"/>
    <mergeCell ref="K1576:L1576"/>
    <mergeCell ref="K1585:L1585"/>
    <mergeCell ref="K1586:M1586"/>
    <mergeCell ref="K1577:L1577"/>
    <mergeCell ref="K1578:M1578"/>
    <mergeCell ref="K1579:M1579"/>
    <mergeCell ref="K1580:L1580"/>
    <mergeCell ref="K1581:L1581"/>
    <mergeCell ref="K1582:M1582"/>
    <mergeCell ref="K1584:L1584"/>
    <mergeCell ref="K1532:L1532"/>
    <mergeCell ref="K1533:M1533"/>
    <mergeCell ref="K1591:M1591"/>
    <mergeCell ref="K1592:M1592"/>
    <mergeCell ref="K1593:M1593"/>
    <mergeCell ref="K1594:M1594"/>
    <mergeCell ref="K1595:M1595"/>
    <mergeCell ref="K1596:L1596"/>
    <mergeCell ref="K1597:L1597"/>
    <mergeCell ref="K1598:M1598"/>
    <mergeCell ref="K1599:L1599"/>
    <mergeCell ref="K1600:M1600"/>
    <mergeCell ref="K1601:M1601"/>
    <mergeCell ref="K1602:L1602"/>
    <mergeCell ref="K1603:M1603"/>
    <mergeCell ref="K1604:L1604"/>
    <mergeCell ref="K1605:M1605"/>
    <mergeCell ref="K1606:L1606"/>
    <mergeCell ref="K1607:L1607"/>
    <mergeCell ref="K967:L967"/>
    <mergeCell ref="K968:L968"/>
    <mergeCell ref="K969:M969"/>
    <mergeCell ref="K970:L970"/>
    <mergeCell ref="K971:L971"/>
    <mergeCell ref="K972:M972"/>
    <mergeCell ref="K973:M973"/>
    <mergeCell ref="K974:L974"/>
    <mergeCell ref="K975:L975"/>
    <mergeCell ref="K993:M993"/>
    <mergeCell ref="K994:L994"/>
    <mergeCell ref="K995:M995"/>
    <mergeCell ref="K1039:M1039"/>
    <mergeCell ref="K1040:L1040"/>
    <mergeCell ref="K1041:L1041"/>
    <mergeCell ref="K1042:L1042"/>
    <mergeCell ref="K1043:L1043"/>
    <mergeCell ref="K978:L978"/>
    <mergeCell ref="K979:M979"/>
    <mergeCell ref="K980:M980"/>
    <mergeCell ref="K981:L981"/>
    <mergeCell ref="I982:J982"/>
    <mergeCell ref="K982:L982"/>
    <mergeCell ref="K983:M983"/>
    <mergeCell ref="K984:M984"/>
    <mergeCell ref="K985:L985"/>
    <mergeCell ref="K986:L986"/>
    <mergeCell ref="K987:L987"/>
    <mergeCell ref="K988:L988"/>
    <mergeCell ref="K989:L989"/>
    <mergeCell ref="K991:M991"/>
    <mergeCell ref="K992:M992"/>
    <mergeCell ref="K1628:L1628"/>
    <mergeCell ref="K1629:M1629"/>
    <mergeCell ref="K1044:M1044"/>
    <mergeCell ref="K1045:M1045"/>
    <mergeCell ref="K1608:L1608"/>
    <mergeCell ref="K1609:M1609"/>
    <mergeCell ref="K1610:L1610"/>
    <mergeCell ref="K1611:M1611"/>
    <mergeCell ref="K1612:L1612"/>
    <mergeCell ref="K1614:L1614"/>
    <mergeCell ref="K1615:L1615"/>
    <mergeCell ref="K1616:M1616"/>
    <mergeCell ref="K1617:L1617"/>
    <mergeCell ref="K1618:M1618"/>
    <mergeCell ref="K1620:L1620"/>
    <mergeCell ref="K1621:M1621"/>
    <mergeCell ref="K1623:L1623"/>
    <mergeCell ref="K1035:M1035"/>
    <mergeCell ref="K1036:L1036"/>
    <mergeCell ref="I1037:J1037"/>
    <mergeCell ref="K1037:M1037"/>
    <mergeCell ref="K1019:M1019"/>
    <mergeCell ref="K1021:M1021"/>
    <mergeCell ref="K1022:M1022"/>
    <mergeCell ref="K1023:M1023"/>
    <mergeCell ref="I1024:J1024"/>
    <mergeCell ref="K1024:L1024"/>
    <mergeCell ref="K1026:L1026"/>
    <mergeCell ref="I1027:J1027"/>
    <mergeCell ref="K1027:M1027"/>
    <mergeCell ref="K1028:L1028"/>
    <mergeCell ref="K1029:L1029"/>
    <mergeCell ref="I1030:J1030"/>
    <mergeCell ref="K1030:L1030"/>
    <mergeCell ref="K1031:L1031"/>
    <mergeCell ref="K1032:M1032"/>
    <mergeCell ref="K1046:L1046"/>
    <mergeCell ref="K1047:M1047"/>
    <mergeCell ref="K1048:L1048"/>
    <mergeCell ref="K1050:M1050"/>
    <mergeCell ref="K1051:M1051"/>
    <mergeCell ref="K1052:L1052"/>
    <mergeCell ref="K1053:M1053"/>
    <mergeCell ref="K1054:L1054"/>
    <mergeCell ref="K1055:M1055"/>
    <mergeCell ref="K1057:L1057"/>
    <mergeCell ref="K1058:L1058"/>
    <mergeCell ref="K1059:L1059"/>
    <mergeCell ref="K1060:M1060"/>
    <mergeCell ref="K1061:L1061"/>
    <mergeCell ref="I1063:J1063"/>
    <mergeCell ref="K1063:L1063"/>
    <mergeCell ref="K1064:M1064"/>
    <mergeCell ref="K1065:L1065"/>
    <mergeCell ref="K1066:M1066"/>
    <mergeCell ref="K1067:M1067"/>
    <mergeCell ref="K1069:M1069"/>
    <mergeCell ref="K1070:M1070"/>
    <mergeCell ref="K1071:L1071"/>
    <mergeCell ref="K1072:M1072"/>
    <mergeCell ref="I1075:J1075"/>
    <mergeCell ref="K1075:L1075"/>
    <mergeCell ref="K1077:M1077"/>
    <mergeCell ref="K1078:M1078"/>
    <mergeCell ref="K1079:M1079"/>
    <mergeCell ref="K1080:M1080"/>
    <mergeCell ref="K1081:M1081"/>
    <mergeCell ref="K1082:M1082"/>
    <mergeCell ref="K1083:M1083"/>
    <mergeCell ref="K1084:L1084"/>
    <mergeCell ref="K1085:M1085"/>
    <mergeCell ref="K1086:L1086"/>
    <mergeCell ref="I1087:J1087"/>
    <mergeCell ref="K1087:L1087"/>
    <mergeCell ref="K1088:M1088"/>
    <mergeCell ref="K1089:L1089"/>
    <mergeCell ref="K1090:M1090"/>
    <mergeCell ref="K1091:L1091"/>
    <mergeCell ref="K1092:M1092"/>
    <mergeCell ref="K1094:M1094"/>
    <mergeCell ref="K1095:L1095"/>
    <mergeCell ref="K1096:M1096"/>
    <mergeCell ref="K1097:M1097"/>
    <mergeCell ref="K1098:M1098"/>
    <mergeCell ref="K1099:M1099"/>
    <mergeCell ref="K1100:M1100"/>
    <mergeCell ref="K1102:M1102"/>
    <mergeCell ref="K1103:L1103"/>
    <mergeCell ref="K1104:M1104"/>
    <mergeCell ref="K1105:M1105"/>
    <mergeCell ref="K1106:M1106"/>
    <mergeCell ref="K1107:L1107"/>
    <mergeCell ref="K1108:M1108"/>
    <mergeCell ref="K1109:M1109"/>
    <mergeCell ref="K1110:L1110"/>
    <mergeCell ref="K1111:M1111"/>
    <mergeCell ref="I1112:J1112"/>
    <mergeCell ref="K1112:M1112"/>
    <mergeCell ref="K1113:M1113"/>
    <mergeCell ref="K1114:M1114"/>
    <mergeCell ref="K1115:M1115"/>
    <mergeCell ref="K1116:M1116"/>
    <mergeCell ref="K1117:M1117"/>
    <mergeCell ref="K1118:M1118"/>
    <mergeCell ref="K1119:L1119"/>
    <mergeCell ref="K1121:M1121"/>
    <mergeCell ref="K1122:M1122"/>
    <mergeCell ref="K1124:M1124"/>
    <mergeCell ref="K1125:M1125"/>
    <mergeCell ref="K1126:M1126"/>
    <mergeCell ref="K1127:L1127"/>
    <mergeCell ref="K1128:M1128"/>
    <mergeCell ref="K1129:L1129"/>
    <mergeCell ref="K1130:M1130"/>
    <mergeCell ref="K1131:L1131"/>
    <mergeCell ref="K1132:M1132"/>
    <mergeCell ref="K1133:M1133"/>
    <mergeCell ref="K1134:L1134"/>
    <mergeCell ref="K1135:L1135"/>
    <mergeCell ref="K1136:L1136"/>
    <mergeCell ref="K1137:L1137"/>
    <mergeCell ref="K1138:M1138"/>
    <mergeCell ref="K1139:M1139"/>
    <mergeCell ref="K1140:M1140"/>
    <mergeCell ref="K1141:M1141"/>
    <mergeCell ref="K1142:L1142"/>
    <mergeCell ref="K1143:M1143"/>
    <mergeCell ref="K1144:M1144"/>
    <mergeCell ref="K1145:M1145"/>
    <mergeCell ref="K1147:M1147"/>
    <mergeCell ref="K1148:M1148"/>
    <mergeCell ref="K1151:M1151"/>
    <mergeCell ref="K1152:M1152"/>
    <mergeCell ref="K1153:L1153"/>
    <mergeCell ref="K1154:M1154"/>
    <mergeCell ref="K1158:L1158"/>
    <mergeCell ref="K1159:L1159"/>
    <mergeCell ref="K1160:M1160"/>
    <mergeCell ref="K1161:M1161"/>
    <mergeCell ref="K1162:L1162"/>
    <mergeCell ref="K1163:M1163"/>
    <mergeCell ref="I1164:J1164"/>
    <mergeCell ref="K1164:M1164"/>
    <mergeCell ref="K1165:M1165"/>
    <mergeCell ref="K1166:L1166"/>
    <mergeCell ref="K1167:M1167"/>
    <mergeCell ref="K1169:L1169"/>
    <mergeCell ref="K1170:L1170"/>
    <mergeCell ref="K1171:M1171"/>
    <mergeCell ref="K1172:L1172"/>
    <mergeCell ref="K1173:M1173"/>
    <mergeCell ref="K1174:M1174"/>
    <mergeCell ref="I1175:J1175"/>
    <mergeCell ref="K1175:L1175"/>
    <mergeCell ref="K1176:L1176"/>
    <mergeCell ref="K1178:M1178"/>
    <mergeCell ref="K1179:M1179"/>
    <mergeCell ref="K1180:M1180"/>
    <mergeCell ref="K1181:M1181"/>
    <mergeCell ref="K1182:M1182"/>
    <mergeCell ref="K1183:M1183"/>
    <mergeCell ref="K1184:M1184"/>
    <mergeCell ref="K1185:L1185"/>
    <mergeCell ref="I1186:J1186"/>
    <mergeCell ref="K1186:M1186"/>
    <mergeCell ref="K1187:L1187"/>
    <mergeCell ref="K1188:M1188"/>
    <mergeCell ref="K1189:M1189"/>
    <mergeCell ref="K1190:L1190"/>
    <mergeCell ref="I1192:J1192"/>
    <mergeCell ref="K1192:M1192"/>
    <mergeCell ref="K1193:M1193"/>
    <mergeCell ref="B1246:C1246"/>
    <mergeCell ref="D1246:E1246"/>
    <mergeCell ref="K1246:M1246"/>
    <mergeCell ref="K1194:M1194"/>
    <mergeCell ref="K1195:M1195"/>
    <mergeCell ref="K1196:M1196"/>
    <mergeCell ref="K1197:L1197"/>
    <mergeCell ref="K1198:M1198"/>
    <mergeCell ref="K1199:M1199"/>
    <mergeCell ref="K1200:M1200"/>
    <mergeCell ref="K879:L879"/>
    <mergeCell ref="K880:L880"/>
    <mergeCell ref="I881:J881"/>
    <mergeCell ref="K881:M881"/>
    <mergeCell ref="K883:L883"/>
    <mergeCell ref="K884:L884"/>
    <mergeCell ref="K885:M885"/>
    <mergeCell ref="I886:J886"/>
    <mergeCell ref="K886:M886"/>
    <mergeCell ref="K887:M887"/>
    <mergeCell ref="K888:M888"/>
    <mergeCell ref="I890:J890"/>
    <mergeCell ref="K890:L890"/>
    <mergeCell ref="K891:L891"/>
    <mergeCell ref="K947:L947"/>
    <mergeCell ref="K948:L948"/>
    <mergeCell ref="K949:L949"/>
    <mergeCell ref="K951:M951"/>
    <mergeCell ref="K953:M953"/>
    <mergeCell ref="K954:L954"/>
    <mergeCell ref="K955:M955"/>
    <mergeCell ref="K957:M957"/>
    <mergeCell ref="K838:L838"/>
    <mergeCell ref="K839:L839"/>
    <mergeCell ref="K840:M840"/>
    <mergeCell ref="K841:M841"/>
    <mergeCell ref="K842:M842"/>
    <mergeCell ref="I843:J843"/>
    <mergeCell ref="K843:L843"/>
    <mergeCell ref="K844:M844"/>
    <mergeCell ref="K845:M845"/>
    <mergeCell ref="K846:M846"/>
    <mergeCell ref="K847:M847"/>
    <mergeCell ref="K848:M848"/>
    <mergeCell ref="K849:L849"/>
    <mergeCell ref="K850:M850"/>
    <mergeCell ref="K851:M851"/>
    <mergeCell ref="K852:M852"/>
    <mergeCell ref="I854:J854"/>
    <mergeCell ref="K854:M854"/>
    <mergeCell ref="K855:L855"/>
    <mergeCell ref="K856:M856"/>
    <mergeCell ref="K857:M857"/>
    <mergeCell ref="K858:M858"/>
    <mergeCell ref="K859:M859"/>
    <mergeCell ref="K860:M860"/>
    <mergeCell ref="K861:M861"/>
    <mergeCell ref="K862:M862"/>
    <mergeCell ref="K863:M863"/>
    <mergeCell ref="I865:J865"/>
    <mergeCell ref="K865:L865"/>
    <mergeCell ref="K866:M866"/>
    <mergeCell ref="K867:M867"/>
    <mergeCell ref="K868:M868"/>
    <mergeCell ref="K869:M869"/>
    <mergeCell ref="K870:M870"/>
    <mergeCell ref="K871:L871"/>
    <mergeCell ref="K872:M872"/>
    <mergeCell ref="K873:L873"/>
    <mergeCell ref="K874:M874"/>
    <mergeCell ref="K875:M875"/>
    <mergeCell ref="K876:M876"/>
    <mergeCell ref="K877:M877"/>
    <mergeCell ref="K878:M878"/>
    <mergeCell ref="K892:M892"/>
    <mergeCell ref="K893:M893"/>
    <mergeCell ref="I894:J894"/>
    <mergeCell ref="K894:M894"/>
    <mergeCell ref="K895:M895"/>
    <mergeCell ref="I896:J896"/>
    <mergeCell ref="K896:M896"/>
    <mergeCell ref="K942:M942"/>
    <mergeCell ref="K943:L943"/>
    <mergeCell ref="K945:L945"/>
    <mergeCell ref="I915:J915"/>
    <mergeCell ref="I916:J916"/>
    <mergeCell ref="I928:J928"/>
    <mergeCell ref="I931:J931"/>
    <mergeCell ref="K933:M933"/>
    <mergeCell ref="K934:M934"/>
    <mergeCell ref="I935:J935"/>
    <mergeCell ref="K935:L935"/>
    <mergeCell ref="K937:M937"/>
    <mergeCell ref="K938:L938"/>
    <mergeCell ref="K939:M939"/>
    <mergeCell ref="K940:L940"/>
    <mergeCell ref="K941:L941"/>
    <mergeCell ref="K958:M958"/>
    <mergeCell ref="K959:M959"/>
    <mergeCell ref="K960:L960"/>
    <mergeCell ref="K897:M897"/>
    <mergeCell ref="K898:M898"/>
    <mergeCell ref="K899:M899"/>
    <mergeCell ref="K900:M900"/>
    <mergeCell ref="K901:M901"/>
    <mergeCell ref="K902:M902"/>
    <mergeCell ref="K903:M903"/>
    <mergeCell ref="K904:L904"/>
    <mergeCell ref="K905:L905"/>
    <mergeCell ref="K907:M907"/>
    <mergeCell ref="K908:L908"/>
    <mergeCell ref="K909:M909"/>
    <mergeCell ref="K911:M911"/>
    <mergeCell ref="K912:M912"/>
    <mergeCell ref="K913:M913"/>
    <mergeCell ref="K916:M916"/>
    <mergeCell ref="K917:M917"/>
    <mergeCell ref="K918:L918"/>
    <mergeCell ref="K919:M919"/>
    <mergeCell ref="K920:L920"/>
    <mergeCell ref="K921:L921"/>
    <mergeCell ref="K922:M922"/>
    <mergeCell ref="K924:L924"/>
    <mergeCell ref="K925:M925"/>
    <mergeCell ref="K926:M926"/>
    <mergeCell ref="K927:L927"/>
    <mergeCell ref="K929:L929"/>
    <mergeCell ref="K931:L931"/>
    <mergeCell ref="K932:M932"/>
    <mergeCell ref="I959:J959"/>
    <mergeCell ref="I961:J961"/>
    <mergeCell ref="K961:M961"/>
    <mergeCell ref="K962:M962"/>
    <mergeCell ref="K964:M964"/>
    <mergeCell ref="K965:L965"/>
    <mergeCell ref="K966:L966"/>
    <mergeCell ref="K1010:M1010"/>
    <mergeCell ref="I1011:J1011"/>
    <mergeCell ref="K1011:L1011"/>
    <mergeCell ref="K1012:M1012"/>
    <mergeCell ref="K1013:L1013"/>
    <mergeCell ref="K1014:M1014"/>
    <mergeCell ref="I1015:J1015"/>
    <mergeCell ref="K1015:L1015"/>
    <mergeCell ref="K1016:M1016"/>
    <mergeCell ref="K1017:M1017"/>
    <mergeCell ref="I998:J998"/>
    <mergeCell ref="K998:M998"/>
    <mergeCell ref="K999:M999"/>
    <mergeCell ref="K1000:L1000"/>
    <mergeCell ref="K1001:M1001"/>
    <mergeCell ref="K1003:L1003"/>
    <mergeCell ref="K1004:M1004"/>
    <mergeCell ref="I1005:J1005"/>
    <mergeCell ref="K1005:M1005"/>
    <mergeCell ref="K1006:M1006"/>
    <mergeCell ref="K1007:M1007"/>
    <mergeCell ref="K1008:L1008"/>
    <mergeCell ref="K1009:M1009"/>
    <mergeCell ref="I976:J976"/>
    <mergeCell ref="K976:M976"/>
    <mergeCell ref="I1033:J1033"/>
    <mergeCell ref="K1033:M1033"/>
    <mergeCell ref="K1034:M1034"/>
    <mergeCell ref="K1265:L1265"/>
    <mergeCell ref="K1266:M1266"/>
    <mergeCell ref="K1267:L1267"/>
    <mergeCell ref="I1268:J1268"/>
    <mergeCell ref="K1268:M1268"/>
    <mergeCell ref="I1269:J1269"/>
    <mergeCell ref="K1269:M1269"/>
    <mergeCell ref="K1270:L1270"/>
    <mergeCell ref="K1271:M1271"/>
    <mergeCell ref="I1272:J1272"/>
    <mergeCell ref="K1272:L1272"/>
    <mergeCell ref="I1273:J1273"/>
    <mergeCell ref="K1273:L1273"/>
    <mergeCell ref="K1275:M1275"/>
    <mergeCell ref="K1248:M1248"/>
    <mergeCell ref="K1249:M1249"/>
    <mergeCell ref="I1250:J1250"/>
    <mergeCell ref="K1250:M1250"/>
    <mergeCell ref="K1252:L1252"/>
    <mergeCell ref="K1254:M1254"/>
    <mergeCell ref="K1258:M1258"/>
    <mergeCell ref="K1259:L1259"/>
    <mergeCell ref="I1260:J1260"/>
    <mergeCell ref="K1260:L1260"/>
    <mergeCell ref="K1261:M1261"/>
    <mergeCell ref="K1262:M1262"/>
    <mergeCell ref="K1263:M1263"/>
    <mergeCell ref="K1264:M1264"/>
    <mergeCell ref="K1226:L1226"/>
    <mergeCell ref="K1276:M1276"/>
    <mergeCell ref="K1277:M1277"/>
    <mergeCell ref="I1278:J1278"/>
    <mergeCell ref="K1278:L1278"/>
    <mergeCell ref="I1279:J1279"/>
    <mergeCell ref="K1279:M1279"/>
    <mergeCell ref="K1280:L1280"/>
    <mergeCell ref="I1281:J1281"/>
    <mergeCell ref="K1281:L1281"/>
    <mergeCell ref="K1282:L1282"/>
    <mergeCell ref="I1283:J1283"/>
    <mergeCell ref="K1283:L1283"/>
    <mergeCell ref="K1284:M1284"/>
    <mergeCell ref="K1285:M1285"/>
    <mergeCell ref="K1294:L1294"/>
    <mergeCell ref="K1295:M1295"/>
    <mergeCell ref="K1296:M1296"/>
    <mergeCell ref="I1308:J1308"/>
    <mergeCell ref="K1308:L1308"/>
    <mergeCell ref="I1309:J1309"/>
    <mergeCell ref="K1309:M1309"/>
    <mergeCell ref="K1310:L1310"/>
    <mergeCell ref="K1311:M1311"/>
    <mergeCell ref="K1312:L1312"/>
    <mergeCell ref="K1313:M1313"/>
    <mergeCell ref="I1314:J1314"/>
    <mergeCell ref="K1314:L1314"/>
    <mergeCell ref="K1297:M1297"/>
    <mergeCell ref="K1286:M1286"/>
    <mergeCell ref="K1287:M1287"/>
    <mergeCell ref="K1289:M1289"/>
    <mergeCell ref="K1290:M1290"/>
    <mergeCell ref="K1291:M1291"/>
    <mergeCell ref="K1292:L1292"/>
    <mergeCell ref="K1293:M1293"/>
    <mergeCell ref="I1292:J1292"/>
    <mergeCell ref="I1294:J1294"/>
    <mergeCell ref="I1299:J1299"/>
    <mergeCell ref="K1299:L1299"/>
    <mergeCell ref="I1300:J1300"/>
    <mergeCell ref="K1300:M1300"/>
    <mergeCell ref="K1301:L1301"/>
    <mergeCell ref="I1301:J1301"/>
    <mergeCell ref="I1302:J1302"/>
    <mergeCell ref="K1302:L1302"/>
    <mergeCell ref="K1320:M1320"/>
    <mergeCell ref="K1201:M1201"/>
    <mergeCell ref="K1202:L1202"/>
    <mergeCell ref="K1203:M1203"/>
    <mergeCell ref="K1206:L1206"/>
    <mergeCell ref="K1207:M1207"/>
    <mergeCell ref="K1208:M1208"/>
    <mergeCell ref="K1209:L1209"/>
    <mergeCell ref="K1210:L1210"/>
    <mergeCell ref="K1211:M1211"/>
    <mergeCell ref="I1213:J1213"/>
    <mergeCell ref="K1213:M1213"/>
    <mergeCell ref="K1214:M1214"/>
    <mergeCell ref="K1215:M1215"/>
    <mergeCell ref="K1216:M1216"/>
    <mergeCell ref="I1217:J1217"/>
    <mergeCell ref="K1217:L1217"/>
    <mergeCell ref="I1218:J1218"/>
    <mergeCell ref="K1218:M1218"/>
    <mergeCell ref="K1219:L1219"/>
    <mergeCell ref="K1220:M1220"/>
    <mergeCell ref="K1222:M1222"/>
    <mergeCell ref="K1223:L1223"/>
    <mergeCell ref="K1225:L1225"/>
    <mergeCell ref="I1303:J1303"/>
    <mergeCell ref="K1303:L1303"/>
    <mergeCell ref="K1304:L1304"/>
    <mergeCell ref="K1305:M1305"/>
    <mergeCell ref="I1310:J1310"/>
    <mergeCell ref="I1311:J1311"/>
    <mergeCell ref="K1306:M1306"/>
    <mergeCell ref="K1307:M1307"/>
    <mergeCell ref="K1227:L1227"/>
    <mergeCell ref="K1228:L1228"/>
    <mergeCell ref="K1230:M1230"/>
    <mergeCell ref="K1231:M1231"/>
    <mergeCell ref="K1232:M1232"/>
    <mergeCell ref="K1233:M1233"/>
    <mergeCell ref="K1234:M1234"/>
    <mergeCell ref="K1235:M1235"/>
    <mergeCell ref="I1236:J1236"/>
    <mergeCell ref="K1236:M1236"/>
    <mergeCell ref="K1237:L1237"/>
    <mergeCell ref="K1238:L1238"/>
    <mergeCell ref="I1239:J1239"/>
    <mergeCell ref="K1239:M1239"/>
    <mergeCell ref="K1240:M1240"/>
    <mergeCell ref="I1241:J1241"/>
    <mergeCell ref="K1241:M1241"/>
    <mergeCell ref="K1244:M1244"/>
    <mergeCell ref="I1321:J1321"/>
    <mergeCell ref="K1321:L1321"/>
    <mergeCell ref="K1322:M1322"/>
    <mergeCell ref="I1323:J1323"/>
    <mergeCell ref="K1323:L1323"/>
    <mergeCell ref="K1324:M1324"/>
    <mergeCell ref="K1325:L1325"/>
    <mergeCell ref="I1406:J1406"/>
    <mergeCell ref="I1408:J1408"/>
    <mergeCell ref="I1416:J1416"/>
    <mergeCell ref="I1418:J1418"/>
    <mergeCell ref="I1420:J1420"/>
    <mergeCell ref="I1424:J1424"/>
    <mergeCell ref="I1425:J1425"/>
    <mergeCell ref="I1427:J1427"/>
    <mergeCell ref="I1431:J1431"/>
    <mergeCell ref="K1425:L1425"/>
    <mergeCell ref="K1426:L1426"/>
    <mergeCell ref="K1427:L1427"/>
    <mergeCell ref="K1428:L1428"/>
    <mergeCell ref="K1429:L1429"/>
    <mergeCell ref="K1430:M1430"/>
    <mergeCell ref="K1431:L1431"/>
    <mergeCell ref="K1315:M1315"/>
    <mergeCell ref="K1316:M1316"/>
    <mergeCell ref="I1317:J1317"/>
    <mergeCell ref="K1317:L1317"/>
    <mergeCell ref="I1318:J1318"/>
    <mergeCell ref="K1318:L1318"/>
    <mergeCell ref="K1319:L1319"/>
    <mergeCell ref="I1320:J1320"/>
    <mergeCell ref="I1432:J1432"/>
    <mergeCell ref="I1433:J1433"/>
    <mergeCell ref="I1434:J1434"/>
    <mergeCell ref="I1436:J1436"/>
    <mergeCell ref="I1441:J1441"/>
    <mergeCell ref="K1397:M1397"/>
    <mergeCell ref="I1398:J1398"/>
    <mergeCell ref="K1398:L1398"/>
    <mergeCell ref="K1399:M1399"/>
    <mergeCell ref="K1400:L1400"/>
    <mergeCell ref="I1401:J1401"/>
    <mergeCell ref="K1401:L1401"/>
    <mergeCell ref="K1402:L1402"/>
    <mergeCell ref="K1403:M1403"/>
    <mergeCell ref="K1404:L1404"/>
    <mergeCell ref="I1405:J1405"/>
    <mergeCell ref="K1405:M1405"/>
    <mergeCell ref="K1406:L1406"/>
    <mergeCell ref="K1407:M1407"/>
    <mergeCell ref="K1408:L1408"/>
    <mergeCell ref="K1409:M1409"/>
    <mergeCell ref="K1410:L1410"/>
    <mergeCell ref="K1411:L1411"/>
    <mergeCell ref="K1413:M1413"/>
    <mergeCell ref="K1414:M1414"/>
    <mergeCell ref="K1415:M1415"/>
    <mergeCell ref="K1416:M1416"/>
    <mergeCell ref="K1418:M1418"/>
    <mergeCell ref="K1420:M1420"/>
    <mergeCell ref="K1422:M1422"/>
    <mergeCell ref="K1423:M1423"/>
    <mergeCell ref="K1424:L1424"/>
    <mergeCell ref="K1445:M1445"/>
    <mergeCell ref="K1446:M1446"/>
    <mergeCell ref="K1447:L1447"/>
    <mergeCell ref="K1448:M1448"/>
    <mergeCell ref="K1449:L1449"/>
    <mergeCell ref="K1450:M1450"/>
    <mergeCell ref="K1451:M1451"/>
    <mergeCell ref="K1452:L1452"/>
    <mergeCell ref="K1453:M1453"/>
    <mergeCell ref="K1454:M1454"/>
    <mergeCell ref="K1455:M1455"/>
    <mergeCell ref="K1456:L1456"/>
    <mergeCell ref="K1458:M1458"/>
    <mergeCell ref="K1459:M1459"/>
    <mergeCell ref="K1569:M1569"/>
    <mergeCell ref="K1570:M1570"/>
    <mergeCell ref="K1571:M1571"/>
    <mergeCell ref="K1513:M1513"/>
    <mergeCell ref="K1514:L1514"/>
    <mergeCell ref="K1515:M1515"/>
    <mergeCell ref="K1517:M1517"/>
    <mergeCell ref="K1518:L1518"/>
    <mergeCell ref="K1519:M1519"/>
    <mergeCell ref="K1520:M1520"/>
    <mergeCell ref="K1521:M1521"/>
    <mergeCell ref="K1523:L1523"/>
    <mergeCell ref="K1524:M1524"/>
    <mergeCell ref="K1525:M1525"/>
    <mergeCell ref="K1526:M1526"/>
    <mergeCell ref="K1527:M1527"/>
    <mergeCell ref="K1529:M1529"/>
    <mergeCell ref="K1530:L1530"/>
    <mergeCell ref="K1534:L1534"/>
    <mergeCell ref="K1535:M1535"/>
    <mergeCell ref="K1536:M1536"/>
    <mergeCell ref="K1537:M1537"/>
    <mergeCell ref="K1538:L1538"/>
    <mergeCell ref="K1539:L1539"/>
    <mergeCell ref="K1540:M1540"/>
    <mergeCell ref="K1541:M1541"/>
    <mergeCell ref="K1543:L1543"/>
    <mergeCell ref="K1544:M1544"/>
    <mergeCell ref="K1545:M1545"/>
    <mergeCell ref="K1546:M1546"/>
    <mergeCell ref="K1547:M1547"/>
    <mergeCell ref="K1549:M1549"/>
    <mergeCell ref="K1551:L1551"/>
    <mergeCell ref="K1552:L1552"/>
    <mergeCell ref="K1553:M1553"/>
    <mergeCell ref="K1554:L1554"/>
    <mergeCell ref="K1555:M1555"/>
    <mergeCell ref="K1556:M1556"/>
    <mergeCell ref="K1557:L1557"/>
    <mergeCell ref="K1558:L1558"/>
    <mergeCell ref="K1559:L1559"/>
    <mergeCell ref="K1560:M1560"/>
    <mergeCell ref="K1561:M1561"/>
    <mergeCell ref="K1562:M1562"/>
    <mergeCell ref="K1563:M1563"/>
    <mergeCell ref="K1564:L1564"/>
    <mergeCell ref="K1565:M1565"/>
    <mergeCell ref="K1566:M1566"/>
    <mergeCell ref="K1567:L1567"/>
    <mergeCell ref="K1568:M1568"/>
    <mergeCell ref="I1642:J1642"/>
    <mergeCell ref="K1642:L1642"/>
    <mergeCell ref="K1630:M1630"/>
    <mergeCell ref="K1631:M1631"/>
    <mergeCell ref="K1632:M1632"/>
    <mergeCell ref="K1633:M1633"/>
    <mergeCell ref="K1634:L1634"/>
    <mergeCell ref="K1635:M1635"/>
    <mergeCell ref="K1636:M1636"/>
    <mergeCell ref="K1637:L1637"/>
    <mergeCell ref="K1638:M1638"/>
    <mergeCell ref="K1639:M1639"/>
    <mergeCell ref="K1641:L1641"/>
    <mergeCell ref="K1624:M1624"/>
    <mergeCell ref="K1625:L1625"/>
    <mergeCell ref="K1626:M1626"/>
    <mergeCell ref="K1627:M1627"/>
    <mergeCell ref="I1643:J1643"/>
    <mergeCell ref="K1643:L1643"/>
    <mergeCell ref="I1644:J1644"/>
    <mergeCell ref="K1644:L1644"/>
    <mergeCell ref="I1646:J1646"/>
    <mergeCell ref="K1646:L1646"/>
    <mergeCell ref="K1647:M1647"/>
    <mergeCell ref="K1649:M1649"/>
    <mergeCell ref="K1650:M1650"/>
    <mergeCell ref="K1651:L1651"/>
    <mergeCell ref="K1652:M1652"/>
    <mergeCell ref="K1653:M1653"/>
    <mergeCell ref="K1654:M1654"/>
    <mergeCell ref="K1655:M1655"/>
    <mergeCell ref="K1656:M1656"/>
    <mergeCell ref="K1657:L1657"/>
    <mergeCell ref="K1658:M1658"/>
    <mergeCell ref="I1649:J1649"/>
    <mergeCell ref="I1651:J1651"/>
    <mergeCell ref="I1655:J1655"/>
    <mergeCell ref="I1656:J1656"/>
    <mergeCell ref="I1657:J1657"/>
    <mergeCell ref="I1659:J1659"/>
    <mergeCell ref="I1662:J1662"/>
    <mergeCell ref="K1661:M1661"/>
    <mergeCell ref="K1662:M1662"/>
    <mergeCell ref="K1665:M1665"/>
    <mergeCell ref="K1666:L1666"/>
    <mergeCell ref="K1667:L1667"/>
    <mergeCell ref="K1668:L1668"/>
    <mergeCell ref="K1669:M1669"/>
    <mergeCell ref="K1670:L1670"/>
    <mergeCell ref="K1671:L1671"/>
    <mergeCell ref="K1672:M1672"/>
    <mergeCell ref="K1717:M1717"/>
    <mergeCell ref="I1718:J1718"/>
    <mergeCell ref="K1718:M1718"/>
    <mergeCell ref="K1719:M1719"/>
    <mergeCell ref="I1721:J1721"/>
    <mergeCell ref="K1721:M1721"/>
    <mergeCell ref="K1722:L1722"/>
    <mergeCell ref="I1724:J1724"/>
    <mergeCell ref="K1724:M1724"/>
    <mergeCell ref="I1725:J1725"/>
    <mergeCell ref="K1725:M1725"/>
    <mergeCell ref="I1726:J1726"/>
    <mergeCell ref="K1732:L1732"/>
    <mergeCell ref="I1733:J1733"/>
    <mergeCell ref="K1733:M1733"/>
    <mergeCell ref="K1659:L1659"/>
    <mergeCell ref="K1660:M1660"/>
    <mergeCell ref="I1665:J1665"/>
    <mergeCell ref="I1669:J1669"/>
    <mergeCell ref="I1672:J1672"/>
    <mergeCell ref="I1675:J1675"/>
    <mergeCell ref="I1679:J1679"/>
    <mergeCell ref="I1681:J1681"/>
    <mergeCell ref="I1686:J1686"/>
    <mergeCell ref="K1673:L1673"/>
    <mergeCell ref="K1675:M1675"/>
    <mergeCell ref="K1676:M1676"/>
    <mergeCell ref="K1677:L1677"/>
    <mergeCell ref="I1734:J1734"/>
    <mergeCell ref="K1734:L1734"/>
    <mergeCell ref="K1735:L1735"/>
    <mergeCell ref="K1736:M1736"/>
    <mergeCell ref="I1743:J1743"/>
    <mergeCell ref="K1743:M1743"/>
    <mergeCell ref="I1737:J1737"/>
    <mergeCell ref="K1737:M1737"/>
    <mergeCell ref="K1738:L1738"/>
    <mergeCell ref="K1739:M1739"/>
    <mergeCell ref="K1740:L1740"/>
    <mergeCell ref="I1742:J1742"/>
    <mergeCell ref="K1742:M1742"/>
    <mergeCell ref="K1678:M1678"/>
    <mergeCell ref="K1679:L1679"/>
    <mergeCell ref="K1680:M1680"/>
    <mergeCell ref="K1681:M1681"/>
    <mergeCell ref="K1682:M1682"/>
    <mergeCell ref="K1683:M1683"/>
    <mergeCell ref="K1684:M1684"/>
    <mergeCell ref="K1685:M1685"/>
    <mergeCell ref="K1686:L1686"/>
    <mergeCell ref="K1687:M1687"/>
    <mergeCell ref="K1688:M1688"/>
    <mergeCell ref="K1689:L1689"/>
    <mergeCell ref="K1690:M1690"/>
    <mergeCell ref="K1691:M1691"/>
    <mergeCell ref="K1692:M1692"/>
    <mergeCell ref="K1693:M1693"/>
    <mergeCell ref="K1694:M1694"/>
    <mergeCell ref="K1695:M1695"/>
    <mergeCell ref="K1696:M1696"/>
    <mergeCell ref="I1712:J1712"/>
    <mergeCell ref="K1712:L1712"/>
    <mergeCell ref="I1713:J1713"/>
    <mergeCell ref="K1713:L1713"/>
    <mergeCell ref="K1714:M1714"/>
    <mergeCell ref="K1715:M1715"/>
    <mergeCell ref="K1726:M1726"/>
    <mergeCell ref="K1727:M1727"/>
    <mergeCell ref="K1728:M1728"/>
    <mergeCell ref="I1729:J1729"/>
    <mergeCell ref="K1729:M1729"/>
    <mergeCell ref="K1730:M1730"/>
    <mergeCell ref="K1731:M1731"/>
    <mergeCell ref="I1697:J1697"/>
    <mergeCell ref="K1697:M1697"/>
    <mergeCell ref="I1698:J1698"/>
    <mergeCell ref="K1698:M1698"/>
    <mergeCell ref="K1699:M1699"/>
    <mergeCell ref="K1700:M1700"/>
    <mergeCell ref="K1701:M1701"/>
    <mergeCell ref="I1702:J1702"/>
    <mergeCell ref="K1702:L1702"/>
    <mergeCell ref="K1703:M1703"/>
    <mergeCell ref="K1705:M1705"/>
    <mergeCell ref="I1706:J1706"/>
    <mergeCell ref="K1706:M1706"/>
    <mergeCell ref="K1708:M1708"/>
    <mergeCell ref="K1709:M1709"/>
    <mergeCell ref="K1711:M1711"/>
    <mergeCell ref="I1711:J1711"/>
    <mergeCell ref="I1716:J1716"/>
    <mergeCell ref="K1716:M17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1713"/>
  <sheetViews>
    <sheetView workbookViewId="0"/>
  </sheetViews>
  <sheetFormatPr defaultColWidth="12.6328125" defaultRowHeight="15" customHeight="1"/>
  <cols>
    <col min="1" max="6" width="12.6328125" customWidth="1"/>
  </cols>
  <sheetData>
    <row r="1" spans="1:13" ht="15.75" customHeight="1">
      <c r="A1" s="4" t="s">
        <v>4795</v>
      </c>
      <c r="B1" s="4" t="s">
        <v>4796</v>
      </c>
      <c r="C1" s="4" t="s">
        <v>4797</v>
      </c>
      <c r="D1" s="4" t="s">
        <v>4798</v>
      </c>
      <c r="E1" s="4" t="s">
        <v>0</v>
      </c>
      <c r="F1" s="4" t="s">
        <v>4799</v>
      </c>
      <c r="G1" s="4" t="s">
        <v>1</v>
      </c>
      <c r="H1" s="4" t="s">
        <v>4800</v>
      </c>
      <c r="I1" s="4" t="s">
        <v>4801</v>
      </c>
      <c r="J1" s="4" t="s">
        <v>4802</v>
      </c>
      <c r="K1" s="4" t="s">
        <v>303</v>
      </c>
      <c r="L1" s="4" t="s">
        <v>4803</v>
      </c>
      <c r="M1" s="4" t="s">
        <v>10977</v>
      </c>
    </row>
    <row r="2" spans="1:13" ht="15.75" customHeight="1">
      <c r="A2" s="4">
        <v>27337451</v>
      </c>
      <c r="B2" s="4" t="s">
        <v>4805</v>
      </c>
      <c r="C2" s="4" t="s">
        <v>4806</v>
      </c>
      <c r="D2" s="4" t="s">
        <v>4807</v>
      </c>
      <c r="E2" s="4" t="s">
        <v>1118</v>
      </c>
      <c r="F2" s="4" t="s">
        <v>4808</v>
      </c>
      <c r="G2" s="4">
        <v>2016</v>
      </c>
      <c r="H2" s="25">
        <v>42545</v>
      </c>
      <c r="K2" s="4" t="s">
        <v>1119</v>
      </c>
    </row>
    <row r="3" spans="1:13" ht="15.75" customHeight="1">
      <c r="A3" s="4">
        <v>33587722</v>
      </c>
      <c r="B3" s="4" t="s">
        <v>4821</v>
      </c>
      <c r="C3" s="4" t="s">
        <v>4822</v>
      </c>
      <c r="D3" s="4" t="s">
        <v>4823</v>
      </c>
      <c r="E3" s="4" t="s">
        <v>492</v>
      </c>
      <c r="F3" s="4" t="s">
        <v>4824</v>
      </c>
      <c r="G3" s="4">
        <v>2021</v>
      </c>
      <c r="H3" s="25">
        <v>44242</v>
      </c>
      <c r="I3" s="4" t="s">
        <v>4825</v>
      </c>
      <c r="K3" s="4" t="s">
        <v>493</v>
      </c>
    </row>
    <row r="4" spans="1:13" ht="15.75" customHeight="1">
      <c r="A4" s="4">
        <v>25762531</v>
      </c>
      <c r="B4" s="4" t="s">
        <v>4817</v>
      </c>
      <c r="C4" s="4" t="s">
        <v>4806</v>
      </c>
      <c r="D4" s="4" t="s">
        <v>4818</v>
      </c>
      <c r="E4" s="4" t="s">
        <v>1118</v>
      </c>
      <c r="F4" s="4" t="s">
        <v>4819</v>
      </c>
      <c r="G4" s="4">
        <v>2015</v>
      </c>
      <c r="H4" s="25">
        <v>42076</v>
      </c>
      <c r="I4" s="4" t="s">
        <v>4820</v>
      </c>
      <c r="K4" s="4" t="s">
        <v>1121</v>
      </c>
    </row>
    <row r="5" spans="1:13" ht="15.75" customHeight="1">
      <c r="A5" s="4">
        <v>37938768</v>
      </c>
      <c r="B5" s="4" t="s">
        <v>4810</v>
      </c>
      <c r="C5" s="4" t="s">
        <v>4811</v>
      </c>
      <c r="D5" s="4" t="s">
        <v>4812</v>
      </c>
      <c r="E5" s="4" t="s">
        <v>2866</v>
      </c>
      <c r="F5" s="4" t="s">
        <v>4813</v>
      </c>
      <c r="G5" s="4">
        <v>2023</v>
      </c>
      <c r="H5" s="25">
        <v>45238</v>
      </c>
      <c r="K5" s="4" t="s">
        <v>2867</v>
      </c>
    </row>
    <row r="6" spans="1:13" ht="15.75" customHeight="1">
      <c r="A6" s="4">
        <v>29795424</v>
      </c>
      <c r="B6" s="4" t="s">
        <v>4860</v>
      </c>
      <c r="C6" s="4" t="s">
        <v>4861</v>
      </c>
      <c r="D6" s="4" t="s">
        <v>4862</v>
      </c>
      <c r="E6" s="4" t="s">
        <v>3590</v>
      </c>
      <c r="F6" s="4" t="s">
        <v>4863</v>
      </c>
      <c r="G6" s="4">
        <v>2018</v>
      </c>
      <c r="H6" s="25">
        <v>43246</v>
      </c>
      <c r="K6" s="4" t="s">
        <v>3591</v>
      </c>
    </row>
    <row r="7" spans="1:13" ht="15.75" customHeight="1">
      <c r="A7" s="4">
        <v>31439151</v>
      </c>
      <c r="B7" s="4" t="s">
        <v>4826</v>
      </c>
      <c r="C7" s="4" t="s">
        <v>4827</v>
      </c>
      <c r="D7" s="4" t="s">
        <v>4828</v>
      </c>
      <c r="E7" s="4" t="s">
        <v>3386</v>
      </c>
      <c r="F7" s="4" t="s">
        <v>4829</v>
      </c>
      <c r="G7" s="4">
        <v>2019</v>
      </c>
      <c r="H7" s="25">
        <v>43701</v>
      </c>
      <c r="K7" s="4" t="s">
        <v>3387</v>
      </c>
    </row>
    <row r="8" spans="1:13" ht="15.75" customHeight="1">
      <c r="A8" s="4">
        <v>10069356</v>
      </c>
      <c r="B8" s="4" t="s">
        <v>4844</v>
      </c>
      <c r="C8" s="4" t="s">
        <v>4845</v>
      </c>
      <c r="D8" s="4" t="s">
        <v>4846</v>
      </c>
      <c r="E8" s="4" t="s">
        <v>1879</v>
      </c>
      <c r="F8" s="4" t="s">
        <v>4847</v>
      </c>
      <c r="G8" s="4">
        <v>1999</v>
      </c>
      <c r="H8" s="25">
        <v>36228</v>
      </c>
      <c r="K8" s="4" t="s">
        <v>1880</v>
      </c>
    </row>
    <row r="9" spans="1:13" ht="15.75" customHeight="1">
      <c r="A9" s="4">
        <v>7663047</v>
      </c>
      <c r="B9" s="4" t="s">
        <v>4844</v>
      </c>
      <c r="C9" s="4" t="s">
        <v>5093</v>
      </c>
      <c r="D9" s="4" t="s">
        <v>5094</v>
      </c>
      <c r="E9" s="4" t="s">
        <v>3041</v>
      </c>
      <c r="F9" s="4" t="s">
        <v>5095</v>
      </c>
      <c r="G9" s="4">
        <v>1995</v>
      </c>
      <c r="H9" s="25">
        <v>34759</v>
      </c>
      <c r="K9" s="4" t="s">
        <v>3042</v>
      </c>
    </row>
    <row r="10" spans="1:13" ht="15.75" customHeight="1">
      <c r="A10" s="4">
        <v>20304745</v>
      </c>
      <c r="B10" s="4" t="s">
        <v>5378</v>
      </c>
      <c r="C10" s="4" t="s">
        <v>5379</v>
      </c>
      <c r="D10" s="4" t="s">
        <v>5380</v>
      </c>
      <c r="E10" s="4" t="s">
        <v>3476</v>
      </c>
      <c r="F10" s="4" t="s">
        <v>5381</v>
      </c>
      <c r="G10" s="4">
        <v>2010</v>
      </c>
      <c r="H10" s="25">
        <v>40260</v>
      </c>
      <c r="K10" s="4" t="s">
        <v>3477</v>
      </c>
    </row>
    <row r="11" spans="1:13" ht="15.75" customHeight="1">
      <c r="A11" s="4">
        <v>27538995</v>
      </c>
      <c r="B11" s="4" t="s">
        <v>4958</v>
      </c>
      <c r="C11" s="4" t="s">
        <v>4959</v>
      </c>
      <c r="D11" s="4" t="s">
        <v>4960</v>
      </c>
      <c r="E11" s="4" t="s">
        <v>3476</v>
      </c>
      <c r="F11" s="4" t="s">
        <v>4961</v>
      </c>
      <c r="G11" s="4">
        <v>2017</v>
      </c>
      <c r="H11" s="25">
        <v>42602</v>
      </c>
      <c r="I11" s="4" t="s">
        <v>4962</v>
      </c>
      <c r="K11" s="4" t="s">
        <v>3479</v>
      </c>
    </row>
    <row r="12" spans="1:13" ht="15.75" customHeight="1">
      <c r="A12" s="4">
        <v>28650593</v>
      </c>
      <c r="B12" s="4" t="s">
        <v>4905</v>
      </c>
      <c r="C12" s="4" t="s">
        <v>4906</v>
      </c>
      <c r="D12" s="4" t="s">
        <v>4907</v>
      </c>
      <c r="E12" s="4" t="s">
        <v>3590</v>
      </c>
      <c r="F12" s="4" t="s">
        <v>4908</v>
      </c>
      <c r="G12" s="4">
        <v>2018</v>
      </c>
      <c r="H12" s="25">
        <v>42913</v>
      </c>
      <c r="K12" s="4" t="s">
        <v>3593</v>
      </c>
    </row>
    <row r="13" spans="1:13" ht="15.75" customHeight="1">
      <c r="A13" s="4">
        <v>8386499</v>
      </c>
      <c r="B13" s="4" t="s">
        <v>4985</v>
      </c>
      <c r="C13" s="4" t="s">
        <v>4986</v>
      </c>
      <c r="D13" s="4" t="s">
        <v>4987</v>
      </c>
      <c r="E13" s="4" t="s">
        <v>1543</v>
      </c>
      <c r="F13" s="4" t="s">
        <v>4988</v>
      </c>
      <c r="G13" s="4">
        <v>1993</v>
      </c>
      <c r="H13" s="25">
        <v>33970</v>
      </c>
      <c r="K13" s="4" t="s">
        <v>1544</v>
      </c>
    </row>
    <row r="14" spans="1:13" ht="15.75" customHeight="1">
      <c r="A14" s="4">
        <v>10815027</v>
      </c>
      <c r="B14" s="4" t="s">
        <v>4844</v>
      </c>
      <c r="C14" s="4" t="s">
        <v>4849</v>
      </c>
      <c r="D14" s="4" t="s">
        <v>4858</v>
      </c>
      <c r="E14" s="4" t="s">
        <v>1664</v>
      </c>
      <c r="F14" s="4" t="s">
        <v>4859</v>
      </c>
      <c r="G14" s="4">
        <v>2000</v>
      </c>
      <c r="H14" s="25">
        <v>36664</v>
      </c>
      <c r="K14" s="4" t="s">
        <v>1665</v>
      </c>
    </row>
    <row r="15" spans="1:13" ht="15.75" customHeight="1">
      <c r="A15" s="4">
        <v>29194419</v>
      </c>
      <c r="B15" s="4" t="s">
        <v>4839</v>
      </c>
      <c r="C15" s="4" t="s">
        <v>4840</v>
      </c>
      <c r="D15" s="4" t="s">
        <v>4841</v>
      </c>
      <c r="E15" s="4" t="s">
        <v>1955</v>
      </c>
      <c r="F15" s="4" t="s">
        <v>4842</v>
      </c>
      <c r="G15" s="4">
        <v>2017</v>
      </c>
      <c r="H15" s="25">
        <v>43071</v>
      </c>
      <c r="I15" s="4" t="s">
        <v>4843</v>
      </c>
      <c r="K15" s="4" t="s">
        <v>1956</v>
      </c>
    </row>
    <row r="16" spans="1:13" ht="15.75" customHeight="1">
      <c r="A16" s="4">
        <v>27773488</v>
      </c>
      <c r="B16" s="4" t="s">
        <v>4885</v>
      </c>
      <c r="C16" s="4" t="s">
        <v>4806</v>
      </c>
      <c r="D16" s="4" t="s">
        <v>4886</v>
      </c>
      <c r="E16" s="4" t="s">
        <v>1118</v>
      </c>
      <c r="F16" s="4" t="s">
        <v>4887</v>
      </c>
      <c r="G16" s="4">
        <v>2017</v>
      </c>
      <c r="H16" s="25">
        <v>42668</v>
      </c>
      <c r="K16" s="4" t="s">
        <v>1123</v>
      </c>
    </row>
    <row r="17" spans="1:11" ht="15.75" customHeight="1">
      <c r="A17" s="4">
        <v>32860467</v>
      </c>
      <c r="B17" s="4" t="s">
        <v>4971</v>
      </c>
      <c r="C17" s="4" t="s">
        <v>4972</v>
      </c>
      <c r="D17" s="4" t="s">
        <v>4973</v>
      </c>
      <c r="E17" s="4" t="s">
        <v>267</v>
      </c>
      <c r="F17" s="4" t="s">
        <v>4974</v>
      </c>
      <c r="G17" s="4">
        <v>2021</v>
      </c>
      <c r="H17" s="25">
        <v>44073</v>
      </c>
      <c r="K17" s="4" t="s">
        <v>399</v>
      </c>
    </row>
    <row r="18" spans="1:11" ht="15.75" customHeight="1">
      <c r="A18" s="4">
        <v>21400833</v>
      </c>
      <c r="B18" s="4" t="s">
        <v>5028</v>
      </c>
      <c r="C18" s="4" t="s">
        <v>5029</v>
      </c>
      <c r="D18" s="4" t="s">
        <v>5030</v>
      </c>
      <c r="E18" s="4" t="s">
        <v>686</v>
      </c>
      <c r="F18" s="4" t="s">
        <v>5031</v>
      </c>
      <c r="G18" s="4">
        <v>2011</v>
      </c>
      <c r="H18" s="25">
        <v>40618</v>
      </c>
    </row>
    <row r="19" spans="1:11" ht="15.75" customHeight="1">
      <c r="A19" s="4">
        <v>38228644</v>
      </c>
      <c r="B19" s="4" t="s">
        <v>4980</v>
      </c>
      <c r="C19" s="4" t="s">
        <v>4981</v>
      </c>
      <c r="D19" s="4" t="s">
        <v>4982</v>
      </c>
      <c r="E19" s="4" t="s">
        <v>221</v>
      </c>
      <c r="F19" s="4" t="s">
        <v>4983</v>
      </c>
      <c r="G19" s="4">
        <v>2024</v>
      </c>
      <c r="H19" s="25">
        <v>45307</v>
      </c>
      <c r="I19" s="4" t="s">
        <v>4984</v>
      </c>
      <c r="K19" s="4" t="s">
        <v>350</v>
      </c>
    </row>
    <row r="20" spans="1:11" ht="15.75" customHeight="1">
      <c r="A20" s="4">
        <v>14979393</v>
      </c>
      <c r="B20" s="4" t="s">
        <v>4835</v>
      </c>
      <c r="C20" s="4" t="s">
        <v>4836</v>
      </c>
      <c r="D20" s="4" t="s">
        <v>4837</v>
      </c>
      <c r="E20" s="4" t="s">
        <v>1060</v>
      </c>
      <c r="F20" s="4" t="s">
        <v>4838</v>
      </c>
      <c r="G20" s="4">
        <v>2004</v>
      </c>
      <c r="H20" s="25">
        <v>38043</v>
      </c>
      <c r="K20" s="4" t="s">
        <v>1061</v>
      </c>
    </row>
    <row r="21" spans="1:11" ht="15.75" customHeight="1">
      <c r="A21" s="4">
        <v>33548682</v>
      </c>
      <c r="B21" s="4" t="s">
        <v>4917</v>
      </c>
      <c r="C21" s="4" t="s">
        <v>4918</v>
      </c>
      <c r="D21" s="4" t="s">
        <v>4919</v>
      </c>
      <c r="E21" s="4" t="s">
        <v>613</v>
      </c>
      <c r="F21" s="4" t="s">
        <v>4896</v>
      </c>
      <c r="G21" s="4">
        <v>2021</v>
      </c>
      <c r="H21" s="25">
        <v>44233</v>
      </c>
      <c r="K21" s="4" t="s">
        <v>614</v>
      </c>
    </row>
    <row r="22" spans="1:11" ht="15.75" customHeight="1">
      <c r="A22" s="4">
        <v>26802216</v>
      </c>
      <c r="B22" s="4" t="s">
        <v>4848</v>
      </c>
      <c r="C22" s="4" t="s">
        <v>4849</v>
      </c>
      <c r="D22" s="4" t="s">
        <v>4850</v>
      </c>
      <c r="E22" s="4" t="s">
        <v>1664</v>
      </c>
      <c r="F22" s="4" t="s">
        <v>4851</v>
      </c>
      <c r="G22" s="4">
        <v>2016</v>
      </c>
      <c r="H22" s="25">
        <v>42393</v>
      </c>
      <c r="K22" s="4" t="s">
        <v>1667</v>
      </c>
    </row>
    <row r="23" spans="1:11" ht="15.75" customHeight="1">
      <c r="A23" s="4">
        <v>34647632</v>
      </c>
      <c r="B23" s="4" t="s">
        <v>4920</v>
      </c>
      <c r="C23" s="4" t="s">
        <v>4921</v>
      </c>
      <c r="D23" s="4" t="s">
        <v>4922</v>
      </c>
      <c r="E23" s="4" t="s">
        <v>2966</v>
      </c>
      <c r="F23" s="4" t="s">
        <v>4923</v>
      </c>
      <c r="G23" s="4">
        <v>2022</v>
      </c>
      <c r="H23" s="25">
        <v>44483</v>
      </c>
      <c r="I23" s="4" t="s">
        <v>4924</v>
      </c>
      <c r="K23" s="4" t="s">
        <v>2967</v>
      </c>
    </row>
    <row r="24" spans="1:11" ht="15.75" customHeight="1">
      <c r="A24" s="4">
        <v>15480369</v>
      </c>
      <c r="B24" s="4" t="s">
        <v>4877</v>
      </c>
      <c r="C24" s="4" t="s">
        <v>4878</v>
      </c>
      <c r="D24" s="4" t="s">
        <v>4879</v>
      </c>
      <c r="E24" s="4" t="s">
        <v>607</v>
      </c>
      <c r="F24" s="4" t="s">
        <v>4880</v>
      </c>
      <c r="G24" s="4">
        <v>2004</v>
      </c>
      <c r="H24" s="25">
        <v>38274</v>
      </c>
      <c r="K24" s="4" t="s">
        <v>608</v>
      </c>
    </row>
    <row r="25" spans="1:11" ht="15.75" customHeight="1">
      <c r="A25" s="4">
        <v>29698478</v>
      </c>
      <c r="B25" s="4" t="s">
        <v>5056</v>
      </c>
      <c r="C25" s="4" t="s">
        <v>5057</v>
      </c>
      <c r="D25" s="4" t="s">
        <v>5058</v>
      </c>
      <c r="E25" s="4" t="s">
        <v>723</v>
      </c>
      <c r="F25" s="4" t="s">
        <v>5059</v>
      </c>
      <c r="G25" s="4">
        <v>2018</v>
      </c>
      <c r="H25" s="25">
        <v>43217</v>
      </c>
      <c r="I25" s="4" t="s">
        <v>5060</v>
      </c>
      <c r="K25" s="4" t="s">
        <v>724</v>
      </c>
    </row>
    <row r="26" spans="1:11" ht="15.75" customHeight="1">
      <c r="A26" s="4">
        <v>32775465</v>
      </c>
      <c r="B26" s="4" t="s">
        <v>5014</v>
      </c>
      <c r="C26" s="4" t="s">
        <v>5015</v>
      </c>
      <c r="D26" s="4" t="s">
        <v>5016</v>
      </c>
      <c r="E26" s="4" t="s">
        <v>3473</v>
      </c>
      <c r="F26" s="4" t="s">
        <v>5017</v>
      </c>
      <c r="G26" s="4">
        <v>2020</v>
      </c>
      <c r="H26" s="25">
        <v>44054</v>
      </c>
      <c r="I26" s="4" t="s">
        <v>5018</v>
      </c>
      <c r="K26" s="4" t="s">
        <v>3474</v>
      </c>
    </row>
    <row r="27" spans="1:11" ht="15.75" customHeight="1">
      <c r="A27" s="4">
        <v>25462448</v>
      </c>
      <c r="B27" s="4" t="s">
        <v>4852</v>
      </c>
      <c r="C27" s="4" t="s">
        <v>4853</v>
      </c>
      <c r="D27" s="4" t="s">
        <v>4854</v>
      </c>
      <c r="E27" s="4" t="s">
        <v>1290</v>
      </c>
      <c r="F27" s="4" t="s">
        <v>4855</v>
      </c>
      <c r="G27" s="4">
        <v>2014</v>
      </c>
      <c r="H27" s="25">
        <v>41976</v>
      </c>
      <c r="I27" s="4" t="s">
        <v>4856</v>
      </c>
      <c r="J27" s="4" t="s">
        <v>4857</v>
      </c>
      <c r="K27" s="4" t="s">
        <v>1291</v>
      </c>
    </row>
    <row r="28" spans="1:11" ht="15.75" customHeight="1">
      <c r="A28" s="4">
        <v>25462439</v>
      </c>
      <c r="B28" s="4" t="s">
        <v>4994</v>
      </c>
      <c r="C28" s="4" t="s">
        <v>4995</v>
      </c>
      <c r="D28" s="4" t="s">
        <v>4996</v>
      </c>
      <c r="E28" s="4" t="s">
        <v>4233</v>
      </c>
      <c r="F28" s="4" t="s">
        <v>4855</v>
      </c>
      <c r="G28" s="4">
        <v>2014</v>
      </c>
      <c r="H28" s="25">
        <v>41976</v>
      </c>
      <c r="I28" s="4" t="s">
        <v>4997</v>
      </c>
      <c r="J28" s="4" t="s">
        <v>4998</v>
      </c>
      <c r="K28" s="4" t="s">
        <v>4234</v>
      </c>
    </row>
    <row r="29" spans="1:11" ht="15.75" customHeight="1">
      <c r="A29" s="4">
        <v>33830031</v>
      </c>
      <c r="B29" s="4" t="s">
        <v>5144</v>
      </c>
      <c r="C29" s="4" t="s">
        <v>5145</v>
      </c>
      <c r="D29" s="4" t="s">
        <v>5146</v>
      </c>
      <c r="E29" s="4" t="s">
        <v>775</v>
      </c>
      <c r="F29" s="4" t="s">
        <v>4876</v>
      </c>
      <c r="G29" s="4">
        <v>2021</v>
      </c>
      <c r="H29" s="25">
        <v>44294</v>
      </c>
      <c r="K29" s="4" t="s">
        <v>776</v>
      </c>
    </row>
    <row r="30" spans="1:11" ht="15.75" customHeight="1">
      <c r="A30" s="4">
        <v>22356254</v>
      </c>
      <c r="B30" s="4" t="s">
        <v>4897</v>
      </c>
      <c r="C30" s="4" t="s">
        <v>4898</v>
      </c>
      <c r="D30" s="4" t="s">
        <v>4899</v>
      </c>
      <c r="E30" s="4" t="s">
        <v>2875</v>
      </c>
      <c r="F30" s="4" t="s">
        <v>4900</v>
      </c>
      <c r="G30" s="4">
        <v>2012</v>
      </c>
      <c r="H30" s="25">
        <v>40963</v>
      </c>
      <c r="K30" s="4" t="s">
        <v>2876</v>
      </c>
    </row>
    <row r="31" spans="1:11" ht="15.75" customHeight="1">
      <c r="A31" s="4">
        <v>30398125</v>
      </c>
      <c r="B31" s="4" t="s">
        <v>5024</v>
      </c>
      <c r="C31" s="4" t="s">
        <v>5025</v>
      </c>
      <c r="D31" s="4" t="s">
        <v>5026</v>
      </c>
      <c r="E31" s="4" t="s">
        <v>1481</v>
      </c>
      <c r="F31" s="4" t="s">
        <v>5027</v>
      </c>
      <c r="G31" s="4">
        <v>2019</v>
      </c>
      <c r="H31" s="25">
        <v>43411</v>
      </c>
      <c r="K31" s="4" t="s">
        <v>1482</v>
      </c>
    </row>
    <row r="32" spans="1:11" ht="15.75" customHeight="1">
      <c r="A32" s="4">
        <v>32827324</v>
      </c>
      <c r="B32" s="4" t="s">
        <v>5225</v>
      </c>
      <c r="C32" s="4" t="s">
        <v>5226</v>
      </c>
      <c r="D32" s="4" t="s">
        <v>5227</v>
      </c>
      <c r="E32" s="4" t="s">
        <v>3621</v>
      </c>
      <c r="F32" s="4" t="s">
        <v>5163</v>
      </c>
      <c r="G32" s="4">
        <v>2020</v>
      </c>
      <c r="H32" s="25">
        <v>44066</v>
      </c>
      <c r="K32" s="4" t="s">
        <v>3622</v>
      </c>
    </row>
    <row r="33" spans="1:11" ht="15.75" customHeight="1">
      <c r="A33" s="4">
        <v>36927092</v>
      </c>
      <c r="B33" s="4" t="s">
        <v>5126</v>
      </c>
      <c r="C33" s="4" t="s">
        <v>5127</v>
      </c>
      <c r="D33" s="4" t="s">
        <v>5128</v>
      </c>
      <c r="E33" s="4" t="s">
        <v>4716</v>
      </c>
      <c r="F33" s="4" t="s">
        <v>5129</v>
      </c>
      <c r="G33" s="4">
        <v>2022</v>
      </c>
      <c r="H33" s="25">
        <v>45002</v>
      </c>
      <c r="I33" s="4" t="s">
        <v>5130</v>
      </c>
      <c r="K33" s="4" t="s">
        <v>4717</v>
      </c>
    </row>
    <row r="34" spans="1:11" ht="15.75" customHeight="1">
      <c r="A34" s="4">
        <v>10855769</v>
      </c>
      <c r="B34" s="4" t="s">
        <v>5450</v>
      </c>
      <c r="C34" s="4" t="s">
        <v>5451</v>
      </c>
      <c r="D34" s="4" t="s">
        <v>5452</v>
      </c>
      <c r="E34" s="4" t="s">
        <v>2214</v>
      </c>
      <c r="F34" s="4" t="s">
        <v>5453</v>
      </c>
      <c r="G34" s="4">
        <v>2000</v>
      </c>
      <c r="H34" s="25">
        <v>36693</v>
      </c>
      <c r="K34" s="4" t="s">
        <v>2215</v>
      </c>
    </row>
    <row r="35" spans="1:11" ht="15.75" customHeight="1">
      <c r="A35" s="4">
        <v>31075291</v>
      </c>
      <c r="B35" s="4" t="s">
        <v>5048</v>
      </c>
      <c r="C35" s="4" t="s">
        <v>5049</v>
      </c>
      <c r="D35" s="4" t="s">
        <v>5050</v>
      </c>
      <c r="E35" s="4" t="s">
        <v>180</v>
      </c>
      <c r="F35" s="4" t="s">
        <v>5051</v>
      </c>
      <c r="G35" s="4">
        <v>2019</v>
      </c>
      <c r="H35" s="25">
        <v>43596</v>
      </c>
      <c r="K35" s="4" t="s">
        <v>306</v>
      </c>
    </row>
    <row r="36" spans="1:11" ht="15.75" customHeight="1">
      <c r="A36" s="4">
        <v>17276368</v>
      </c>
      <c r="B36" s="4" t="s">
        <v>4893</v>
      </c>
      <c r="C36" s="4" t="s">
        <v>4894</v>
      </c>
      <c r="D36" s="4" t="s">
        <v>4895</v>
      </c>
      <c r="E36" s="4" t="s">
        <v>3041</v>
      </c>
      <c r="F36" s="4" t="s">
        <v>4896</v>
      </c>
      <c r="G36" s="4">
        <v>2006</v>
      </c>
      <c r="H36" s="25">
        <v>39119</v>
      </c>
      <c r="K36" s="4" t="s">
        <v>3044</v>
      </c>
    </row>
    <row r="37" spans="1:11" ht="15.75" customHeight="1">
      <c r="A37" s="4">
        <v>25462440</v>
      </c>
      <c r="B37" s="4" t="s">
        <v>4937</v>
      </c>
      <c r="C37" s="4" t="s">
        <v>4938</v>
      </c>
      <c r="D37" s="4" t="s">
        <v>4939</v>
      </c>
      <c r="E37" s="4" t="s">
        <v>2409</v>
      </c>
      <c r="F37" s="4" t="s">
        <v>4855</v>
      </c>
      <c r="G37" s="4">
        <v>2014</v>
      </c>
      <c r="H37" s="25">
        <v>41976</v>
      </c>
      <c r="I37" s="4" t="s">
        <v>4940</v>
      </c>
      <c r="J37" s="4" t="s">
        <v>4941</v>
      </c>
      <c r="K37" s="4" t="s">
        <v>2410</v>
      </c>
    </row>
    <row r="38" spans="1:11" ht="15.75" customHeight="1">
      <c r="A38" s="4">
        <v>36833448</v>
      </c>
      <c r="B38" s="4" t="s">
        <v>5019</v>
      </c>
      <c r="C38" s="4" t="s">
        <v>5020</v>
      </c>
      <c r="D38" s="4" t="s">
        <v>5021</v>
      </c>
      <c r="E38" s="4" t="s">
        <v>2838</v>
      </c>
      <c r="F38" s="4" t="s">
        <v>5022</v>
      </c>
      <c r="G38" s="4">
        <v>2023</v>
      </c>
      <c r="H38" s="25">
        <v>44982</v>
      </c>
      <c r="I38" s="4" t="s">
        <v>5023</v>
      </c>
      <c r="K38" s="4" t="s">
        <v>2839</v>
      </c>
    </row>
    <row r="39" spans="1:11" ht="15.75" customHeight="1">
      <c r="A39" s="4">
        <v>25462451</v>
      </c>
      <c r="B39" s="4" t="s">
        <v>5506</v>
      </c>
      <c r="C39" s="4" t="s">
        <v>5507</v>
      </c>
      <c r="D39" s="4" t="s">
        <v>5508</v>
      </c>
      <c r="E39" s="4" t="s">
        <v>2449</v>
      </c>
      <c r="F39" s="4" t="s">
        <v>4855</v>
      </c>
      <c r="G39" s="4">
        <v>2014</v>
      </c>
      <c r="H39" s="25">
        <v>41976</v>
      </c>
      <c r="K39" s="4" t="s">
        <v>2450</v>
      </c>
    </row>
    <row r="40" spans="1:11" ht="15.75" customHeight="1">
      <c r="A40" s="4">
        <v>22052666</v>
      </c>
      <c r="B40" s="4" t="s">
        <v>4901</v>
      </c>
      <c r="C40" s="4" t="s">
        <v>4902</v>
      </c>
      <c r="D40" s="4" t="s">
        <v>4903</v>
      </c>
      <c r="E40" s="4" t="s">
        <v>3555</v>
      </c>
      <c r="F40" s="4" t="s">
        <v>4859</v>
      </c>
      <c r="G40" s="4">
        <v>2012</v>
      </c>
      <c r="H40" s="25">
        <v>40852</v>
      </c>
      <c r="I40" s="4" t="s">
        <v>4904</v>
      </c>
      <c r="K40" s="4" t="s">
        <v>3556</v>
      </c>
    </row>
    <row r="41" spans="1:11" ht="15.75" customHeight="1">
      <c r="A41" s="4">
        <v>24792343</v>
      </c>
      <c r="B41" s="4" t="s">
        <v>4928</v>
      </c>
      <c r="C41" s="4" t="s">
        <v>4929</v>
      </c>
      <c r="D41" s="4" t="s">
        <v>4930</v>
      </c>
      <c r="E41" s="4" t="s">
        <v>4435</v>
      </c>
      <c r="F41" s="4" t="s">
        <v>4931</v>
      </c>
      <c r="G41" s="4">
        <v>2014</v>
      </c>
      <c r="H41" s="25">
        <v>41765</v>
      </c>
      <c r="K41" s="4" t="s">
        <v>4436</v>
      </c>
    </row>
    <row r="42" spans="1:11" ht="15.75" customHeight="1">
      <c r="A42" s="4">
        <v>11964854</v>
      </c>
      <c r="B42" s="4" t="s">
        <v>5032</v>
      </c>
      <c r="C42" s="4" t="s">
        <v>5033</v>
      </c>
      <c r="D42" s="4" t="s">
        <v>5034</v>
      </c>
      <c r="E42" s="4" t="s">
        <v>2743</v>
      </c>
      <c r="F42" s="4" t="s">
        <v>5035</v>
      </c>
      <c r="G42" s="4">
        <v>2001</v>
      </c>
      <c r="H42" s="25">
        <v>37366</v>
      </c>
      <c r="K42" s="4" t="s">
        <v>2744</v>
      </c>
    </row>
    <row r="43" spans="1:11" ht="15.75" customHeight="1">
      <c r="A43" s="4">
        <v>12430932</v>
      </c>
      <c r="B43" s="4" t="s">
        <v>4925</v>
      </c>
      <c r="C43" s="4" t="s">
        <v>4849</v>
      </c>
      <c r="D43" s="4" t="s">
        <v>4926</v>
      </c>
      <c r="E43" s="4" t="s">
        <v>1664</v>
      </c>
      <c r="F43" s="4" t="s">
        <v>4927</v>
      </c>
      <c r="G43" s="4">
        <v>2002</v>
      </c>
      <c r="H43" s="25">
        <v>37575</v>
      </c>
      <c r="K43" s="4" t="s">
        <v>1669</v>
      </c>
    </row>
    <row r="44" spans="1:11" ht="15.75" customHeight="1">
      <c r="A44" s="4">
        <v>25285614</v>
      </c>
      <c r="B44" s="4" t="s">
        <v>4942</v>
      </c>
      <c r="C44" s="4" t="s">
        <v>4943</v>
      </c>
      <c r="D44" s="4" t="s">
        <v>4944</v>
      </c>
      <c r="E44" s="4" t="s">
        <v>221</v>
      </c>
      <c r="F44" s="4" t="s">
        <v>4855</v>
      </c>
      <c r="G44" s="4">
        <v>2014</v>
      </c>
      <c r="H44" s="25">
        <v>41919</v>
      </c>
      <c r="I44" s="4" t="s">
        <v>4945</v>
      </c>
      <c r="J44" s="4" t="s">
        <v>4946</v>
      </c>
      <c r="K44" s="4" t="s">
        <v>2365</v>
      </c>
    </row>
    <row r="45" spans="1:11" ht="15.75" customHeight="1">
      <c r="A45" s="4">
        <v>17276370</v>
      </c>
      <c r="B45" s="4" t="s">
        <v>4914</v>
      </c>
      <c r="C45" s="4" t="s">
        <v>4915</v>
      </c>
      <c r="D45" s="4" t="s">
        <v>4916</v>
      </c>
      <c r="E45" s="4" t="s">
        <v>197</v>
      </c>
      <c r="F45" s="4" t="s">
        <v>4896</v>
      </c>
      <c r="G45" s="4">
        <v>2006</v>
      </c>
      <c r="H45" s="25">
        <v>39119</v>
      </c>
      <c r="K45" s="4" t="s">
        <v>4690</v>
      </c>
    </row>
    <row r="46" spans="1:11" ht="15.75" customHeight="1">
      <c r="A46" s="4">
        <v>15864103</v>
      </c>
      <c r="B46" s="4" t="s">
        <v>5134</v>
      </c>
      <c r="C46" s="4" t="s">
        <v>4929</v>
      </c>
      <c r="D46" s="4" t="s">
        <v>5135</v>
      </c>
      <c r="E46" s="4" t="s">
        <v>4435</v>
      </c>
      <c r="F46" s="4" t="s">
        <v>5035</v>
      </c>
      <c r="G46" s="4">
        <v>2005</v>
      </c>
      <c r="H46" s="25">
        <v>38475</v>
      </c>
      <c r="K46" s="4" t="s">
        <v>4438</v>
      </c>
    </row>
    <row r="47" spans="1:11" ht="15.75" customHeight="1">
      <c r="A47" s="4">
        <v>26160819</v>
      </c>
      <c r="B47" s="4" t="s">
        <v>4967</v>
      </c>
      <c r="C47" s="4" t="s">
        <v>4968</v>
      </c>
      <c r="D47" s="4" t="s">
        <v>4969</v>
      </c>
      <c r="E47" s="4" t="s">
        <v>151</v>
      </c>
      <c r="F47" s="4" t="s">
        <v>4970</v>
      </c>
      <c r="G47" s="4">
        <v>2015</v>
      </c>
      <c r="H47" s="25">
        <v>42196</v>
      </c>
      <c r="K47" s="4" t="s">
        <v>3416</v>
      </c>
    </row>
    <row r="48" spans="1:11" ht="15.75" customHeight="1">
      <c r="A48" s="4">
        <v>23331378</v>
      </c>
      <c r="B48" s="4" t="s">
        <v>5256</v>
      </c>
      <c r="C48" s="4" t="s">
        <v>5257</v>
      </c>
      <c r="D48" s="4" t="s">
        <v>5258</v>
      </c>
      <c r="E48" s="4" t="s">
        <v>890</v>
      </c>
      <c r="F48" s="4" t="s">
        <v>4974</v>
      </c>
      <c r="G48" s="4">
        <v>2013</v>
      </c>
      <c r="H48" s="25">
        <v>41296</v>
      </c>
      <c r="K48" s="4" t="s">
        <v>891</v>
      </c>
    </row>
    <row r="49" spans="1:11" ht="15.75" customHeight="1">
      <c r="A49" s="4">
        <v>36878429</v>
      </c>
      <c r="B49" s="4" t="s">
        <v>4873</v>
      </c>
      <c r="C49" s="4" t="s">
        <v>4874</v>
      </c>
      <c r="D49" s="4" t="s">
        <v>4875</v>
      </c>
      <c r="E49" s="4" t="s">
        <v>292</v>
      </c>
      <c r="F49" s="4" t="s">
        <v>4876</v>
      </c>
      <c r="G49" s="4">
        <v>2023</v>
      </c>
      <c r="H49" s="25">
        <v>44991</v>
      </c>
      <c r="K49" s="4" t="s">
        <v>422</v>
      </c>
    </row>
    <row r="50" spans="1:11" ht="15.75" customHeight="1">
      <c r="A50" s="4">
        <v>29905966</v>
      </c>
      <c r="B50" s="4" t="s">
        <v>5337</v>
      </c>
      <c r="C50" s="4" t="s">
        <v>5338</v>
      </c>
      <c r="D50" s="4" t="s">
        <v>5339</v>
      </c>
      <c r="E50" s="4" t="s">
        <v>256</v>
      </c>
      <c r="F50" s="4" t="s">
        <v>4923</v>
      </c>
      <c r="G50" s="4">
        <v>2018</v>
      </c>
      <c r="H50" s="25">
        <v>43267</v>
      </c>
      <c r="K50" s="4" t="s">
        <v>3218</v>
      </c>
    </row>
    <row r="51" spans="1:11" ht="15.75" customHeight="1">
      <c r="A51" s="4">
        <v>21782505</v>
      </c>
      <c r="B51" s="4" t="s">
        <v>4955</v>
      </c>
      <c r="C51" s="4" t="s">
        <v>4956</v>
      </c>
      <c r="D51" s="4" t="s">
        <v>4957</v>
      </c>
      <c r="E51" s="4" t="s">
        <v>1118</v>
      </c>
      <c r="F51" s="4" t="s">
        <v>4896</v>
      </c>
      <c r="G51" s="4">
        <v>2011</v>
      </c>
      <c r="H51" s="25">
        <v>40750</v>
      </c>
      <c r="K51" s="4" t="s">
        <v>1125</v>
      </c>
    </row>
    <row r="52" spans="1:11" ht="15.75" customHeight="1">
      <c r="A52" s="4">
        <v>36073532</v>
      </c>
      <c r="B52" s="4" t="s">
        <v>5160</v>
      </c>
      <c r="C52" s="4" t="s">
        <v>5161</v>
      </c>
      <c r="D52" s="4" t="s">
        <v>5162</v>
      </c>
      <c r="E52" s="4" t="s">
        <v>3350</v>
      </c>
      <c r="F52" s="4" t="s">
        <v>5163</v>
      </c>
      <c r="G52" s="4">
        <v>2022</v>
      </c>
      <c r="H52" s="25">
        <v>44812</v>
      </c>
      <c r="K52" s="4" t="s">
        <v>3351</v>
      </c>
    </row>
    <row r="53" spans="1:11" ht="15.75" customHeight="1">
      <c r="A53" s="4">
        <v>17802896</v>
      </c>
      <c r="B53" s="4" t="s">
        <v>5100</v>
      </c>
      <c r="C53" s="4" t="s">
        <v>5101</v>
      </c>
      <c r="D53" s="4" t="s">
        <v>5102</v>
      </c>
      <c r="E53" s="4" t="s">
        <v>1533</v>
      </c>
      <c r="F53" s="4" t="s">
        <v>5103</v>
      </c>
      <c r="G53" s="4">
        <v>2007</v>
      </c>
      <c r="H53" s="25">
        <v>39332</v>
      </c>
    </row>
    <row r="54" spans="1:11" ht="15.75" customHeight="1">
      <c r="A54" s="4">
        <v>35444636</v>
      </c>
      <c r="B54" s="4" t="s">
        <v>5065</v>
      </c>
      <c r="C54" s="4" t="s">
        <v>5066</v>
      </c>
      <c r="D54" s="4" t="s">
        <v>5067</v>
      </c>
      <c r="E54" s="4" t="s">
        <v>4464</v>
      </c>
      <c r="F54" s="4" t="s">
        <v>4912</v>
      </c>
      <c r="G54" s="4">
        <v>2022</v>
      </c>
      <c r="H54" s="25">
        <v>44672</v>
      </c>
      <c r="I54" s="4" t="s">
        <v>5068</v>
      </c>
      <c r="K54" s="4" t="s">
        <v>4465</v>
      </c>
    </row>
    <row r="55" spans="1:11" ht="15.75" customHeight="1">
      <c r="A55" s="4">
        <v>9869189</v>
      </c>
      <c r="B55" s="4" t="s">
        <v>5196</v>
      </c>
      <c r="C55" s="4" t="s">
        <v>5197</v>
      </c>
      <c r="D55" s="4" t="s">
        <v>5198</v>
      </c>
      <c r="E55" s="4" t="s">
        <v>235</v>
      </c>
      <c r="F55" s="4" t="s">
        <v>5099</v>
      </c>
      <c r="G55" s="4">
        <v>1998</v>
      </c>
      <c r="H55" s="25">
        <v>36159</v>
      </c>
      <c r="K55" s="4" t="s">
        <v>2586</v>
      </c>
    </row>
    <row r="56" spans="1:11" ht="15.75" customHeight="1">
      <c r="A56" s="4">
        <v>32638491</v>
      </c>
      <c r="B56" s="4" t="s">
        <v>5252</v>
      </c>
      <c r="C56" s="4" t="s">
        <v>5253</v>
      </c>
      <c r="D56" s="4" t="s">
        <v>5254</v>
      </c>
      <c r="E56" s="4" t="s">
        <v>4429</v>
      </c>
      <c r="F56" s="4" t="s">
        <v>4974</v>
      </c>
      <c r="G56" s="4">
        <v>2021</v>
      </c>
      <c r="H56" s="25">
        <v>44021</v>
      </c>
      <c r="I56" s="4" t="s">
        <v>5255</v>
      </c>
      <c r="K56" s="4" t="s">
        <v>4430</v>
      </c>
    </row>
    <row r="57" spans="1:11" ht="15.75" customHeight="1">
      <c r="A57" s="4">
        <v>32908059</v>
      </c>
      <c r="B57" s="4" t="s">
        <v>5045</v>
      </c>
      <c r="C57" s="4" t="s">
        <v>4968</v>
      </c>
      <c r="D57" s="4" t="s">
        <v>5046</v>
      </c>
      <c r="E57" s="4" t="s">
        <v>151</v>
      </c>
      <c r="F57" s="4" t="s">
        <v>5047</v>
      </c>
      <c r="G57" s="4">
        <v>2020</v>
      </c>
      <c r="H57" s="25">
        <v>44084</v>
      </c>
      <c r="K57" s="4" t="s">
        <v>3418</v>
      </c>
    </row>
    <row r="58" spans="1:11" ht="15.75" customHeight="1">
      <c r="A58" s="4">
        <v>12488560</v>
      </c>
      <c r="B58" s="4" t="s">
        <v>5002</v>
      </c>
      <c r="C58" s="4" t="s">
        <v>5003</v>
      </c>
      <c r="D58" s="4" t="s">
        <v>5004</v>
      </c>
      <c r="E58" s="4" t="s">
        <v>1879</v>
      </c>
      <c r="F58" s="4" t="s">
        <v>5005</v>
      </c>
      <c r="G58" s="4">
        <v>2003</v>
      </c>
      <c r="H58" s="25">
        <v>37609</v>
      </c>
      <c r="K58" s="4" t="s">
        <v>1882</v>
      </c>
    </row>
    <row r="59" spans="1:11" ht="15.75" customHeight="1">
      <c r="A59" s="4">
        <v>7888069</v>
      </c>
      <c r="B59" s="4" t="s">
        <v>5668</v>
      </c>
      <c r="C59" s="4" t="s">
        <v>5093</v>
      </c>
      <c r="D59" s="4" t="s">
        <v>5669</v>
      </c>
      <c r="E59" s="4" t="s">
        <v>3041</v>
      </c>
      <c r="F59" s="4" t="s">
        <v>5670</v>
      </c>
      <c r="G59" s="4">
        <v>1995</v>
      </c>
      <c r="H59" s="25">
        <v>34731</v>
      </c>
      <c r="K59" s="4" t="s">
        <v>3046</v>
      </c>
    </row>
    <row r="60" spans="1:11" ht="15.75" customHeight="1">
      <c r="A60" s="4">
        <v>1314102</v>
      </c>
      <c r="B60" s="4" t="s">
        <v>5077</v>
      </c>
      <c r="C60" s="4" t="s">
        <v>5078</v>
      </c>
      <c r="D60" s="4" t="s">
        <v>5079</v>
      </c>
      <c r="E60" s="4" t="s">
        <v>3484</v>
      </c>
      <c r="F60" s="4" t="s">
        <v>5080</v>
      </c>
      <c r="G60" s="4">
        <v>1992</v>
      </c>
      <c r="H60" s="25">
        <v>33664</v>
      </c>
      <c r="K60" s="4" t="s">
        <v>3485</v>
      </c>
    </row>
    <row r="61" spans="1:11" ht="15.75" customHeight="1">
      <c r="A61" s="4">
        <v>14525708</v>
      </c>
      <c r="B61" s="4" t="s">
        <v>5140</v>
      </c>
      <c r="C61" s="4" t="s">
        <v>5141</v>
      </c>
      <c r="D61" s="4" t="s">
        <v>5142</v>
      </c>
      <c r="E61" s="4" t="s">
        <v>1303</v>
      </c>
      <c r="F61" s="4" t="s">
        <v>5143</v>
      </c>
      <c r="G61" s="4">
        <v>2003</v>
      </c>
      <c r="H61" s="25">
        <v>37898</v>
      </c>
      <c r="K61" s="4" t="s">
        <v>1304</v>
      </c>
    </row>
    <row r="62" spans="1:11" ht="15.75" customHeight="1">
      <c r="A62" s="4">
        <v>15653828</v>
      </c>
      <c r="B62" s="4" t="s">
        <v>5010</v>
      </c>
      <c r="C62" s="4" t="s">
        <v>5011</v>
      </c>
      <c r="D62" s="4" t="s">
        <v>5012</v>
      </c>
      <c r="E62" s="4" t="s">
        <v>1788</v>
      </c>
      <c r="F62" s="4" t="s">
        <v>4819</v>
      </c>
      <c r="G62" s="4">
        <v>2005</v>
      </c>
      <c r="H62" s="25">
        <v>38370</v>
      </c>
      <c r="I62" s="4" t="s">
        <v>5013</v>
      </c>
      <c r="K62" s="4" t="s">
        <v>1789</v>
      </c>
    </row>
    <row r="63" spans="1:11" ht="15.75" customHeight="1">
      <c r="A63" s="4">
        <v>8668853</v>
      </c>
      <c r="B63" s="4" t="s">
        <v>5244</v>
      </c>
      <c r="C63" s="4" t="s">
        <v>5245</v>
      </c>
      <c r="D63" s="4" t="s">
        <v>5246</v>
      </c>
      <c r="E63" s="4" t="s">
        <v>539</v>
      </c>
      <c r="F63" s="4" t="s">
        <v>5247</v>
      </c>
      <c r="G63" s="4">
        <v>1995</v>
      </c>
      <c r="H63" s="25">
        <v>35034</v>
      </c>
    </row>
    <row r="64" spans="1:11" ht="15.75" customHeight="1">
      <c r="A64" s="4">
        <v>29304865</v>
      </c>
      <c r="B64" s="4" t="s">
        <v>10978</v>
      </c>
      <c r="C64" s="4" t="s">
        <v>4870</v>
      </c>
      <c r="D64" s="4" t="s">
        <v>4871</v>
      </c>
      <c r="E64" s="4" t="s">
        <v>1293</v>
      </c>
      <c r="F64" s="4" t="s">
        <v>4867</v>
      </c>
      <c r="G64" s="4">
        <v>2018</v>
      </c>
      <c r="H64" s="25">
        <v>43107</v>
      </c>
      <c r="I64" s="4" t="s">
        <v>4872</v>
      </c>
      <c r="K64" s="4" t="s">
        <v>1294</v>
      </c>
    </row>
    <row r="65" spans="1:11" ht="15.75" customHeight="1">
      <c r="A65" s="4">
        <v>21801705</v>
      </c>
      <c r="B65" s="4" t="s">
        <v>5154</v>
      </c>
      <c r="C65" s="4" t="s">
        <v>5155</v>
      </c>
      <c r="D65" s="4" t="s">
        <v>5156</v>
      </c>
      <c r="E65" s="4" t="s">
        <v>817</v>
      </c>
      <c r="F65" s="4" t="s">
        <v>5076</v>
      </c>
      <c r="G65" s="4">
        <v>2012</v>
      </c>
      <c r="H65" s="25">
        <v>40757</v>
      </c>
      <c r="K65" s="4" t="s">
        <v>818</v>
      </c>
    </row>
    <row r="66" spans="1:11" ht="15.75" customHeight="1">
      <c r="A66" s="4">
        <v>37067947</v>
      </c>
      <c r="B66" s="4" t="s">
        <v>4830</v>
      </c>
      <c r="C66" s="4" t="s">
        <v>4831</v>
      </c>
      <c r="D66" s="4" t="s">
        <v>4832</v>
      </c>
      <c r="E66" s="4" t="s">
        <v>262</v>
      </c>
      <c r="F66" s="4" t="s">
        <v>4833</v>
      </c>
      <c r="G66" s="4">
        <v>2023</v>
      </c>
      <c r="H66" s="25">
        <v>45033</v>
      </c>
      <c r="I66" s="4" t="s">
        <v>4834</v>
      </c>
      <c r="K66" s="4" t="s">
        <v>392</v>
      </c>
    </row>
    <row r="67" spans="1:11" ht="15.75" customHeight="1">
      <c r="A67" s="4">
        <v>27669362</v>
      </c>
      <c r="B67" s="4" t="s">
        <v>5157</v>
      </c>
      <c r="C67" s="4" t="s">
        <v>5158</v>
      </c>
      <c r="D67" s="4" t="s">
        <v>5159</v>
      </c>
      <c r="E67" s="4" t="s">
        <v>551</v>
      </c>
      <c r="F67" s="4" t="s">
        <v>4896</v>
      </c>
      <c r="G67" s="4">
        <v>2016</v>
      </c>
      <c r="H67" s="25">
        <v>42640</v>
      </c>
      <c r="K67" s="4" t="s">
        <v>552</v>
      </c>
    </row>
    <row r="68" spans="1:11" ht="15.75" customHeight="1">
      <c r="A68" s="4">
        <v>11336581</v>
      </c>
      <c r="B68" s="4" t="s">
        <v>5218</v>
      </c>
      <c r="C68" s="4" t="s">
        <v>5219</v>
      </c>
      <c r="D68" s="4" t="s">
        <v>5220</v>
      </c>
      <c r="E68" s="4" t="s">
        <v>2685</v>
      </c>
      <c r="F68" s="4" t="s">
        <v>5221</v>
      </c>
      <c r="G68" s="4">
        <v>2001</v>
      </c>
      <c r="H68" s="25">
        <v>37016</v>
      </c>
      <c r="K68" s="4" t="s">
        <v>2686</v>
      </c>
    </row>
    <row r="69" spans="1:11" ht="15.75" customHeight="1">
      <c r="A69" s="4">
        <v>10341172</v>
      </c>
      <c r="B69" s="4" t="s">
        <v>5114</v>
      </c>
      <c r="C69" s="4" t="s">
        <v>5115</v>
      </c>
      <c r="D69" s="4" t="s">
        <v>5116</v>
      </c>
      <c r="E69" s="4" t="s">
        <v>1484</v>
      </c>
      <c r="F69" s="4" t="s">
        <v>5117</v>
      </c>
      <c r="G69" s="4">
        <v>1999</v>
      </c>
      <c r="H69" s="25">
        <v>36306</v>
      </c>
      <c r="I69" s="4" t="s">
        <v>5118</v>
      </c>
      <c r="K69" s="4" t="s">
        <v>1485</v>
      </c>
    </row>
    <row r="70" spans="1:11" ht="15.75" customHeight="1">
      <c r="A70" s="4">
        <v>12923440</v>
      </c>
      <c r="B70" s="4" t="s">
        <v>5442</v>
      </c>
      <c r="C70" s="4" t="s">
        <v>5443</v>
      </c>
      <c r="D70" s="4" t="s">
        <v>5444</v>
      </c>
      <c r="E70" s="4" t="s">
        <v>2294</v>
      </c>
      <c r="F70" s="4" t="s">
        <v>5445</v>
      </c>
      <c r="G70" s="4">
        <v>2003</v>
      </c>
      <c r="H70" s="25">
        <v>37852</v>
      </c>
      <c r="K70" s="4" t="s">
        <v>2295</v>
      </c>
    </row>
    <row r="71" spans="1:11" ht="15.75" customHeight="1">
      <c r="A71" s="4">
        <v>33952641</v>
      </c>
      <c r="B71" s="4" t="s">
        <v>4888</v>
      </c>
      <c r="C71" s="4" t="s">
        <v>4889</v>
      </c>
      <c r="D71" s="4" t="s">
        <v>4890</v>
      </c>
      <c r="E71" s="4" t="s">
        <v>4477</v>
      </c>
      <c r="F71" s="4" t="s">
        <v>4891</v>
      </c>
      <c r="G71" s="4">
        <v>2021</v>
      </c>
      <c r="H71" s="25">
        <v>44322</v>
      </c>
      <c r="I71" s="4" t="s">
        <v>4892</v>
      </c>
      <c r="K71" s="4" t="s">
        <v>4478</v>
      </c>
    </row>
    <row r="72" spans="1:11" ht="15.75" customHeight="1">
      <c r="A72" s="4">
        <v>31678540</v>
      </c>
      <c r="B72" s="4" t="s">
        <v>5609</v>
      </c>
      <c r="C72" s="4" t="s">
        <v>5610</v>
      </c>
      <c r="D72" s="4" t="s">
        <v>5611</v>
      </c>
      <c r="E72" s="4" t="s">
        <v>976</v>
      </c>
      <c r="F72" s="4" t="s">
        <v>5076</v>
      </c>
      <c r="G72" s="4">
        <v>2020</v>
      </c>
      <c r="H72" s="25">
        <v>43773</v>
      </c>
      <c r="I72" s="4" t="s">
        <v>5612</v>
      </c>
      <c r="J72" s="4" t="s">
        <v>5613</v>
      </c>
      <c r="K72" s="4" t="s">
        <v>977</v>
      </c>
    </row>
    <row r="73" spans="1:11" ht="15.75" customHeight="1">
      <c r="A73" s="4">
        <v>17951989</v>
      </c>
      <c r="B73" s="4" t="s">
        <v>5491</v>
      </c>
      <c r="C73" s="4" t="s">
        <v>5492</v>
      </c>
      <c r="D73" s="4" t="s">
        <v>5493</v>
      </c>
      <c r="E73" s="4" t="s">
        <v>3500</v>
      </c>
      <c r="F73" s="4" t="s">
        <v>5163</v>
      </c>
      <c r="G73" s="4">
        <v>2007</v>
      </c>
      <c r="H73" s="25">
        <v>39379</v>
      </c>
      <c r="K73" s="4" t="s">
        <v>3501</v>
      </c>
    </row>
    <row r="74" spans="1:11" ht="15.75" customHeight="1">
      <c r="A74" s="4">
        <v>21488335</v>
      </c>
      <c r="B74" s="4" t="s">
        <v>5069</v>
      </c>
      <c r="C74" s="4" t="s">
        <v>5070</v>
      </c>
      <c r="D74" s="4" t="s">
        <v>5071</v>
      </c>
      <c r="E74" s="4" t="s">
        <v>4191</v>
      </c>
      <c r="F74" s="4" t="s">
        <v>5072</v>
      </c>
      <c r="G74" s="4">
        <v>2010</v>
      </c>
      <c r="H74" s="25">
        <v>40648</v>
      </c>
      <c r="K74" s="4" t="s">
        <v>4192</v>
      </c>
    </row>
    <row r="75" spans="1:11" ht="15.75" customHeight="1">
      <c r="A75" s="4">
        <v>20407819</v>
      </c>
      <c r="B75" s="4" t="s">
        <v>5199</v>
      </c>
      <c r="C75" s="4" t="s">
        <v>5200</v>
      </c>
      <c r="D75" s="4" t="s">
        <v>5201</v>
      </c>
      <c r="E75" s="4" t="s">
        <v>3001</v>
      </c>
      <c r="F75" s="4" t="s">
        <v>5202</v>
      </c>
      <c r="G75" s="4">
        <v>2010</v>
      </c>
      <c r="H75" s="25">
        <v>40290</v>
      </c>
      <c r="K75" s="4" t="s">
        <v>3002</v>
      </c>
    </row>
    <row r="76" spans="1:11" ht="15.75" customHeight="1">
      <c r="A76" s="4">
        <v>8884365</v>
      </c>
      <c r="B76" s="4" t="s">
        <v>5631</v>
      </c>
      <c r="C76" s="4" t="s">
        <v>5632</v>
      </c>
      <c r="D76" s="4" t="s">
        <v>5633</v>
      </c>
      <c r="E76" s="4" t="s">
        <v>1874</v>
      </c>
      <c r="F76" s="4" t="s">
        <v>5055</v>
      </c>
      <c r="G76" s="4">
        <v>1996</v>
      </c>
      <c r="H76" s="25">
        <v>35339</v>
      </c>
    </row>
    <row r="77" spans="1:11" ht="15.75" customHeight="1">
      <c r="A77" s="4">
        <v>21811747</v>
      </c>
      <c r="B77" s="4" t="s">
        <v>5147</v>
      </c>
      <c r="C77" s="4" t="s">
        <v>5148</v>
      </c>
      <c r="D77" s="4" t="s">
        <v>5149</v>
      </c>
      <c r="E77" s="4" t="s">
        <v>545</v>
      </c>
      <c r="F77" s="4" t="s">
        <v>5103</v>
      </c>
      <c r="G77" s="4">
        <v>2011</v>
      </c>
      <c r="H77" s="25">
        <v>40759</v>
      </c>
    </row>
    <row r="78" spans="1:11" ht="15.75" customHeight="1">
      <c r="A78" s="4">
        <v>29862613</v>
      </c>
      <c r="B78" s="4" t="s">
        <v>5540</v>
      </c>
      <c r="C78" s="4" t="s">
        <v>5541</v>
      </c>
      <c r="D78" s="4" t="s">
        <v>5542</v>
      </c>
      <c r="E78" s="4" t="s">
        <v>4576</v>
      </c>
      <c r="F78" s="4" t="s">
        <v>5543</v>
      </c>
      <c r="G78" s="4">
        <v>2018</v>
      </c>
      <c r="H78" s="25">
        <v>43256</v>
      </c>
      <c r="K78" s="4" t="s">
        <v>4577</v>
      </c>
    </row>
    <row r="79" spans="1:11" ht="15.75" customHeight="1">
      <c r="A79" s="4">
        <v>1337298</v>
      </c>
      <c r="B79" s="4" t="s">
        <v>5096</v>
      </c>
      <c r="C79" s="4" t="s">
        <v>5097</v>
      </c>
      <c r="D79" s="4" t="s">
        <v>5098</v>
      </c>
      <c r="E79" s="4" t="s">
        <v>195</v>
      </c>
      <c r="F79" s="4" t="s">
        <v>5099</v>
      </c>
      <c r="G79" s="4">
        <v>1992</v>
      </c>
      <c r="H79" s="25">
        <v>33848</v>
      </c>
      <c r="K79" s="4" t="s">
        <v>4636</v>
      </c>
    </row>
    <row r="80" spans="1:11" ht="15.75" customHeight="1">
      <c r="A80" s="4">
        <v>19891754</v>
      </c>
      <c r="B80" s="4" t="s">
        <v>5131</v>
      </c>
      <c r="C80" s="4" t="s">
        <v>5132</v>
      </c>
      <c r="D80" s="4" t="s">
        <v>5133</v>
      </c>
      <c r="E80" s="4" t="s">
        <v>4363</v>
      </c>
      <c r="F80" s="4" t="s">
        <v>4974</v>
      </c>
      <c r="G80" s="4">
        <v>2009</v>
      </c>
      <c r="H80" s="25">
        <v>40124</v>
      </c>
      <c r="K80" s="4" t="s">
        <v>4364</v>
      </c>
    </row>
    <row r="81" spans="1:11" ht="15.75" customHeight="1">
      <c r="A81" s="4">
        <v>15606551</v>
      </c>
      <c r="B81" s="4" t="s">
        <v>5208</v>
      </c>
      <c r="C81" s="4" t="s">
        <v>5209</v>
      </c>
      <c r="D81" s="4" t="s">
        <v>5210</v>
      </c>
      <c r="E81" s="4" t="s">
        <v>135</v>
      </c>
      <c r="F81" s="4" t="s">
        <v>5211</v>
      </c>
      <c r="G81" s="4">
        <v>2005</v>
      </c>
      <c r="H81" s="25">
        <v>38342</v>
      </c>
      <c r="K81" s="4" t="s">
        <v>348</v>
      </c>
    </row>
    <row r="82" spans="1:11" ht="15.75" customHeight="1">
      <c r="A82" s="4">
        <v>8633821</v>
      </c>
      <c r="B82" s="4" t="s">
        <v>5954</v>
      </c>
      <c r="C82" s="4" t="s">
        <v>5955</v>
      </c>
      <c r="D82" s="4" t="s">
        <v>5956</v>
      </c>
      <c r="E82" s="4" t="s">
        <v>4017</v>
      </c>
      <c r="F82" s="4" t="s">
        <v>5957</v>
      </c>
      <c r="G82" s="4">
        <v>1996</v>
      </c>
      <c r="H82" s="25">
        <v>35231</v>
      </c>
      <c r="K82" s="4" t="s">
        <v>4018</v>
      </c>
    </row>
    <row r="83" spans="1:11" ht="15.75" customHeight="1">
      <c r="A83" s="4">
        <v>1335933</v>
      </c>
      <c r="B83" s="4" t="s">
        <v>5412</v>
      </c>
      <c r="C83" s="4" t="s">
        <v>5413</v>
      </c>
      <c r="D83" s="4" t="s">
        <v>5414</v>
      </c>
      <c r="E83" s="4" t="s">
        <v>2094</v>
      </c>
      <c r="F83" s="4" t="s">
        <v>5415</v>
      </c>
      <c r="G83" s="4">
        <v>1992</v>
      </c>
      <c r="H83" s="25">
        <v>33604</v>
      </c>
    </row>
    <row r="84" spans="1:11" ht="15.75" customHeight="1">
      <c r="A84" s="4">
        <v>24703390</v>
      </c>
      <c r="B84" s="4" t="s">
        <v>5407</v>
      </c>
      <c r="C84" s="4" t="s">
        <v>5408</v>
      </c>
      <c r="D84" s="4" t="s">
        <v>5409</v>
      </c>
      <c r="E84" s="4" t="s">
        <v>221</v>
      </c>
      <c r="F84" s="4" t="s">
        <v>4974</v>
      </c>
      <c r="G84" s="4">
        <v>2014</v>
      </c>
      <c r="H84" s="25">
        <v>41737</v>
      </c>
      <c r="I84" s="4" t="s">
        <v>5410</v>
      </c>
      <c r="J84" s="4" t="s">
        <v>5411</v>
      </c>
      <c r="K84" s="4" t="s">
        <v>2367</v>
      </c>
    </row>
    <row r="85" spans="1:11" ht="15.75" customHeight="1">
      <c r="A85" s="4">
        <v>9987758</v>
      </c>
      <c r="B85" s="4" t="s">
        <v>5188</v>
      </c>
      <c r="C85" s="4" t="s">
        <v>5189</v>
      </c>
      <c r="D85" s="4" t="s">
        <v>5190</v>
      </c>
      <c r="E85" s="4" t="s">
        <v>1063</v>
      </c>
      <c r="F85" s="4" t="s">
        <v>5191</v>
      </c>
      <c r="G85" s="4">
        <v>1998</v>
      </c>
      <c r="H85" s="25">
        <v>36204</v>
      </c>
      <c r="K85" s="4" t="s">
        <v>1064</v>
      </c>
    </row>
    <row r="86" spans="1:11" ht="15.75" customHeight="1">
      <c r="A86" s="4">
        <v>17276376</v>
      </c>
      <c r="B86" s="4" t="s">
        <v>5228</v>
      </c>
      <c r="C86" s="4" t="s">
        <v>5229</v>
      </c>
      <c r="D86" s="4" t="s">
        <v>5230</v>
      </c>
      <c r="E86" s="4" t="s">
        <v>249</v>
      </c>
      <c r="F86" s="4" t="s">
        <v>4896</v>
      </c>
      <c r="G86" s="4">
        <v>2006</v>
      </c>
      <c r="H86" s="25">
        <v>39119</v>
      </c>
      <c r="K86" s="4" t="s">
        <v>2985</v>
      </c>
    </row>
    <row r="87" spans="1:11" ht="15.75" customHeight="1">
      <c r="A87" s="4">
        <v>22212513</v>
      </c>
      <c r="B87" s="4" t="s">
        <v>5222</v>
      </c>
      <c r="C87" s="4" t="s">
        <v>5223</v>
      </c>
      <c r="D87" s="4" t="s">
        <v>5224</v>
      </c>
      <c r="E87" s="4" t="s">
        <v>208</v>
      </c>
      <c r="F87" s="4" t="s">
        <v>5076</v>
      </c>
      <c r="G87" s="4">
        <v>2012</v>
      </c>
      <c r="H87" s="25">
        <v>40912</v>
      </c>
      <c r="K87" s="4" t="s">
        <v>325</v>
      </c>
    </row>
    <row r="88" spans="1:11" ht="15.75" customHeight="1">
      <c r="A88" s="4">
        <v>33378595</v>
      </c>
      <c r="B88" s="4" t="s">
        <v>5478</v>
      </c>
      <c r="C88" s="4" t="s">
        <v>5479</v>
      </c>
      <c r="D88" s="4" t="s">
        <v>5480</v>
      </c>
      <c r="E88" s="4" t="s">
        <v>1939</v>
      </c>
      <c r="F88" s="4" t="s">
        <v>4974</v>
      </c>
      <c r="G88" s="4">
        <v>2021</v>
      </c>
      <c r="H88" s="25">
        <v>44195</v>
      </c>
      <c r="K88" s="4" t="s">
        <v>1940</v>
      </c>
    </row>
    <row r="89" spans="1:11" ht="15.75" customHeight="1">
      <c r="A89" s="4">
        <v>22616807</v>
      </c>
      <c r="B89" s="4" t="s">
        <v>5460</v>
      </c>
      <c r="C89" s="4" t="s">
        <v>5461</v>
      </c>
      <c r="D89" s="4" t="s">
        <v>5462</v>
      </c>
      <c r="E89" s="4" t="s">
        <v>2926</v>
      </c>
      <c r="F89" s="4" t="s">
        <v>4900</v>
      </c>
      <c r="G89" s="4">
        <v>2012</v>
      </c>
      <c r="H89" s="25">
        <v>41053</v>
      </c>
      <c r="K89" s="4" t="s">
        <v>2927</v>
      </c>
    </row>
    <row r="90" spans="1:11" ht="15.75" customHeight="1">
      <c r="A90" s="4">
        <v>28835501</v>
      </c>
      <c r="B90" s="4" t="s">
        <v>5362</v>
      </c>
      <c r="C90" s="4" t="s">
        <v>5363</v>
      </c>
      <c r="D90" s="4" t="s">
        <v>5364</v>
      </c>
      <c r="E90" s="4" t="s">
        <v>4700</v>
      </c>
      <c r="F90" s="4" t="s">
        <v>4891</v>
      </c>
      <c r="G90" s="4">
        <v>2017</v>
      </c>
      <c r="H90" s="25">
        <v>42972</v>
      </c>
      <c r="I90" s="4" t="s">
        <v>5365</v>
      </c>
      <c r="K90" s="4" t="s">
        <v>4701</v>
      </c>
    </row>
    <row r="91" spans="1:11" ht="15.75" customHeight="1">
      <c r="A91" s="4">
        <v>29985546</v>
      </c>
      <c r="B91" s="4" t="s">
        <v>5288</v>
      </c>
      <c r="C91" s="4" t="s">
        <v>5289</v>
      </c>
      <c r="D91" s="4" t="s">
        <v>5290</v>
      </c>
      <c r="E91" s="4" t="s">
        <v>3587</v>
      </c>
      <c r="F91" s="4" t="s">
        <v>5291</v>
      </c>
      <c r="G91" s="4">
        <v>2018</v>
      </c>
      <c r="H91" s="25">
        <v>43291</v>
      </c>
      <c r="K91" s="4" t="s">
        <v>3588</v>
      </c>
    </row>
    <row r="92" spans="1:11" ht="15.75" customHeight="1">
      <c r="A92" s="4">
        <v>28244148</v>
      </c>
      <c r="B92" s="4" t="s">
        <v>5434</v>
      </c>
      <c r="C92" s="4" t="s">
        <v>5435</v>
      </c>
      <c r="D92" s="4" t="s">
        <v>5436</v>
      </c>
      <c r="E92" s="4" t="s">
        <v>1493</v>
      </c>
      <c r="F92" s="4" t="s">
        <v>5437</v>
      </c>
      <c r="G92" s="4">
        <v>2017</v>
      </c>
      <c r="H92" s="25">
        <v>42795</v>
      </c>
      <c r="K92" s="4" t="s">
        <v>1494</v>
      </c>
    </row>
    <row r="93" spans="1:11" ht="15.75" customHeight="1">
      <c r="A93" s="4">
        <v>15824982</v>
      </c>
      <c r="B93" s="4" t="s">
        <v>5296</v>
      </c>
      <c r="C93" s="4" t="s">
        <v>5297</v>
      </c>
      <c r="D93" s="4" t="s">
        <v>5298</v>
      </c>
      <c r="E93" s="4" t="s">
        <v>197</v>
      </c>
      <c r="F93" s="4" t="s">
        <v>5080</v>
      </c>
      <c r="G93" s="4">
        <v>2005</v>
      </c>
      <c r="H93" s="25">
        <v>38455</v>
      </c>
      <c r="K93" s="4" t="s">
        <v>436</v>
      </c>
    </row>
    <row r="94" spans="1:11" ht="15.75" customHeight="1">
      <c r="A94" s="4">
        <v>18161770</v>
      </c>
      <c r="B94" s="4" t="s">
        <v>5292</v>
      </c>
      <c r="C94" s="4" t="s">
        <v>5293</v>
      </c>
      <c r="D94" s="4" t="s">
        <v>5294</v>
      </c>
      <c r="E94" s="4" t="s">
        <v>3441</v>
      </c>
      <c r="F94" s="4" t="s">
        <v>5295</v>
      </c>
      <c r="G94" s="4">
        <v>2008</v>
      </c>
      <c r="H94" s="25">
        <v>39445</v>
      </c>
      <c r="K94" s="4" t="s">
        <v>3442</v>
      </c>
    </row>
    <row r="95" spans="1:11" ht="15.75" customHeight="1">
      <c r="A95" s="4">
        <v>21376661</v>
      </c>
      <c r="B95" s="4" t="s">
        <v>5237</v>
      </c>
      <c r="C95" s="4" t="s">
        <v>5238</v>
      </c>
      <c r="D95" s="4" t="s">
        <v>5239</v>
      </c>
      <c r="E95" s="4" t="s">
        <v>686</v>
      </c>
      <c r="F95" s="4" t="s">
        <v>4896</v>
      </c>
      <c r="G95" s="4">
        <v>2011</v>
      </c>
      <c r="H95" s="25">
        <v>40610</v>
      </c>
      <c r="K95" s="4" t="s">
        <v>687</v>
      </c>
    </row>
    <row r="96" spans="1:11" ht="15.75" customHeight="1">
      <c r="A96" s="4">
        <v>12116029</v>
      </c>
      <c r="B96" s="4" t="s">
        <v>5325</v>
      </c>
      <c r="C96" s="4" t="s">
        <v>5326</v>
      </c>
      <c r="D96" s="4" t="s">
        <v>5327</v>
      </c>
      <c r="E96" s="4" t="s">
        <v>2758</v>
      </c>
      <c r="F96" s="4" t="s">
        <v>4923</v>
      </c>
      <c r="G96" s="4">
        <v>2002</v>
      </c>
      <c r="H96" s="25">
        <v>37450</v>
      </c>
      <c r="K96" s="4" t="s">
        <v>2759</v>
      </c>
    </row>
    <row r="97" spans="1:11" ht="15.75" customHeight="1">
      <c r="A97" s="4">
        <v>35911725</v>
      </c>
      <c r="B97" s="4" t="s">
        <v>4909</v>
      </c>
      <c r="C97" s="4" t="s">
        <v>4910</v>
      </c>
      <c r="D97" s="4" t="s">
        <v>4911</v>
      </c>
      <c r="E97" s="4" t="s">
        <v>1248</v>
      </c>
      <c r="F97" s="4" t="s">
        <v>4912</v>
      </c>
      <c r="G97" s="4">
        <v>2022</v>
      </c>
      <c r="H97" s="25">
        <v>44774</v>
      </c>
      <c r="I97" s="4" t="s">
        <v>4913</v>
      </c>
      <c r="K97" s="4" t="s">
        <v>1249</v>
      </c>
    </row>
    <row r="98" spans="1:11" ht="15.75" customHeight="1">
      <c r="A98" s="4">
        <v>1654146</v>
      </c>
      <c r="B98" s="4" t="s">
        <v>4951</v>
      </c>
      <c r="C98" s="4" t="s">
        <v>4952</v>
      </c>
      <c r="D98" s="4" t="s">
        <v>4953</v>
      </c>
      <c r="E98" s="4" t="s">
        <v>1063</v>
      </c>
      <c r="F98" s="4" t="s">
        <v>4954</v>
      </c>
      <c r="G98" s="4">
        <v>1991</v>
      </c>
      <c r="H98" s="25">
        <v>33359</v>
      </c>
    </row>
    <row r="99" spans="1:11" ht="15.75" customHeight="1">
      <c r="A99" s="4">
        <v>13129768</v>
      </c>
      <c r="B99" s="4" t="s">
        <v>5352</v>
      </c>
      <c r="C99" s="4" t="s">
        <v>5353</v>
      </c>
      <c r="D99" s="4" t="s">
        <v>5354</v>
      </c>
      <c r="E99" s="4" t="s">
        <v>2768</v>
      </c>
      <c r="F99" s="4" t="s">
        <v>4961</v>
      </c>
      <c r="G99" s="4">
        <v>2003</v>
      </c>
      <c r="H99" s="25">
        <v>37882</v>
      </c>
      <c r="K99" s="4" t="s">
        <v>2769</v>
      </c>
    </row>
    <row r="100" spans="1:11" ht="15.75" customHeight="1">
      <c r="A100" s="4">
        <v>16333831</v>
      </c>
      <c r="B100" s="4" t="s">
        <v>5649</v>
      </c>
      <c r="C100" s="4" t="s">
        <v>5650</v>
      </c>
      <c r="D100" s="4" t="s">
        <v>5651</v>
      </c>
      <c r="E100" s="4" t="s">
        <v>2588</v>
      </c>
      <c r="F100" s="4" t="s">
        <v>5652</v>
      </c>
      <c r="G100" s="4">
        <v>2006</v>
      </c>
      <c r="H100" s="25">
        <v>38694</v>
      </c>
      <c r="K100" s="4" t="s">
        <v>2589</v>
      </c>
    </row>
    <row r="101" spans="1:11" ht="15.75" customHeight="1">
      <c r="A101" s="4">
        <v>32424944</v>
      </c>
      <c r="B101" s="4" t="s">
        <v>5804</v>
      </c>
      <c r="C101" s="4" t="s">
        <v>5805</v>
      </c>
      <c r="D101" s="4" t="s">
        <v>5806</v>
      </c>
      <c r="E101" s="4" t="s">
        <v>2498</v>
      </c>
      <c r="F101" s="4" t="s">
        <v>4974</v>
      </c>
      <c r="G101" s="4">
        <v>2020</v>
      </c>
      <c r="H101" s="25">
        <v>43971</v>
      </c>
      <c r="K101" s="4" t="s">
        <v>2499</v>
      </c>
    </row>
    <row r="102" spans="1:11" ht="15.75" customHeight="1">
      <c r="A102" s="4">
        <v>29512392</v>
      </c>
      <c r="B102" s="4" t="s">
        <v>4881</v>
      </c>
      <c r="C102" s="4" t="s">
        <v>4882</v>
      </c>
      <c r="D102" s="4" t="s">
        <v>4883</v>
      </c>
      <c r="E102" s="4" t="s">
        <v>3758</v>
      </c>
      <c r="F102" s="4" t="s">
        <v>4884</v>
      </c>
      <c r="G102" s="4">
        <v>2018</v>
      </c>
      <c r="H102" s="25">
        <v>43167</v>
      </c>
      <c r="K102" s="4" t="s">
        <v>3759</v>
      </c>
    </row>
    <row r="103" spans="1:11" ht="15.75" customHeight="1">
      <c r="A103" s="4">
        <v>22321264</v>
      </c>
      <c r="B103" s="4" t="s">
        <v>5276</v>
      </c>
      <c r="C103" s="4" t="s">
        <v>5277</v>
      </c>
      <c r="D103" s="4" t="s">
        <v>5278</v>
      </c>
      <c r="E103" s="4" t="s">
        <v>2902</v>
      </c>
      <c r="F103" s="4" t="s">
        <v>4974</v>
      </c>
      <c r="G103" s="4">
        <v>2012</v>
      </c>
      <c r="H103" s="25">
        <v>40950</v>
      </c>
      <c r="K103" s="4" t="s">
        <v>2903</v>
      </c>
    </row>
    <row r="104" spans="1:11" ht="15.75" customHeight="1">
      <c r="A104" s="4">
        <v>11427741</v>
      </c>
      <c r="B104" s="4" t="s">
        <v>5085</v>
      </c>
      <c r="C104" s="4" t="s">
        <v>5086</v>
      </c>
      <c r="D104" s="4" t="s">
        <v>5087</v>
      </c>
      <c r="E104" s="4" t="s">
        <v>4527</v>
      </c>
      <c r="F104" s="4" t="s">
        <v>5088</v>
      </c>
      <c r="G104" s="4">
        <v>2001</v>
      </c>
      <c r="H104" s="25">
        <v>37070</v>
      </c>
    </row>
    <row r="105" spans="1:11" ht="15.75" customHeight="1">
      <c r="A105" s="4">
        <v>30359733</v>
      </c>
      <c r="B105" s="4" t="s">
        <v>5534</v>
      </c>
      <c r="C105" s="4" t="s">
        <v>5535</v>
      </c>
      <c r="D105" s="4" t="s">
        <v>5536</v>
      </c>
      <c r="E105" s="4" t="s">
        <v>970</v>
      </c>
      <c r="F105" s="4" t="s">
        <v>5076</v>
      </c>
      <c r="G105" s="4">
        <v>2019</v>
      </c>
      <c r="H105" s="25">
        <v>43399</v>
      </c>
      <c r="K105" s="4" t="s">
        <v>971</v>
      </c>
    </row>
    <row r="106" spans="1:11" ht="15.75" customHeight="1">
      <c r="A106" s="4">
        <v>1652312</v>
      </c>
      <c r="B106" s="4" t="s">
        <v>5555</v>
      </c>
      <c r="C106" s="4" t="s">
        <v>5556</v>
      </c>
      <c r="D106" s="4" t="s">
        <v>5557</v>
      </c>
      <c r="E106" s="4" t="s">
        <v>195</v>
      </c>
      <c r="F106" s="4" t="s">
        <v>5343</v>
      </c>
      <c r="G106" s="4">
        <v>1991</v>
      </c>
      <c r="H106" s="25">
        <v>33482</v>
      </c>
    </row>
    <row r="107" spans="1:11" ht="15.75" customHeight="1">
      <c r="A107" s="4">
        <v>1656093</v>
      </c>
      <c r="B107" s="4" t="s">
        <v>5366</v>
      </c>
      <c r="C107" s="4" t="s">
        <v>5367</v>
      </c>
      <c r="D107" s="4" t="s">
        <v>5368</v>
      </c>
      <c r="E107" s="4" t="s">
        <v>4500</v>
      </c>
      <c r="F107" s="4" t="s">
        <v>4891</v>
      </c>
      <c r="G107" s="4">
        <v>1991</v>
      </c>
      <c r="H107" s="25">
        <v>33543</v>
      </c>
      <c r="I107" s="4" t="s">
        <v>5369</v>
      </c>
      <c r="K107" s="4" t="s">
        <v>4501</v>
      </c>
    </row>
    <row r="108" spans="1:11" ht="15.75" customHeight="1">
      <c r="A108" s="4">
        <v>29494951</v>
      </c>
      <c r="B108" s="4" t="s">
        <v>5544</v>
      </c>
      <c r="C108" s="4" t="s">
        <v>5545</v>
      </c>
      <c r="D108" s="4" t="s">
        <v>5546</v>
      </c>
      <c r="E108" s="4" t="s">
        <v>769</v>
      </c>
      <c r="F108" s="4" t="s">
        <v>4896</v>
      </c>
      <c r="G108" s="4">
        <v>2018</v>
      </c>
      <c r="H108" s="25">
        <v>43161</v>
      </c>
      <c r="K108" s="4" t="s">
        <v>770</v>
      </c>
    </row>
    <row r="109" spans="1:11" ht="15.75" customHeight="1">
      <c r="A109" s="4">
        <v>18637904</v>
      </c>
      <c r="B109" s="4" t="s">
        <v>5311</v>
      </c>
      <c r="C109" s="4" t="s">
        <v>5312</v>
      </c>
      <c r="D109" s="4" t="s">
        <v>5313</v>
      </c>
      <c r="E109" s="4" t="s">
        <v>757</v>
      </c>
      <c r="F109" s="4" t="s">
        <v>5314</v>
      </c>
      <c r="G109" s="4">
        <v>2008</v>
      </c>
      <c r="H109" s="25">
        <v>39651</v>
      </c>
      <c r="I109" s="4" t="s">
        <v>5315</v>
      </c>
      <c r="K109" s="4" t="s">
        <v>3276</v>
      </c>
    </row>
    <row r="110" spans="1:11" ht="15.75" customHeight="1">
      <c r="A110" s="4">
        <v>11049767</v>
      </c>
      <c r="B110" s="4" t="s">
        <v>5700</v>
      </c>
      <c r="C110" s="4" t="s">
        <v>5701</v>
      </c>
      <c r="D110" s="4" t="s">
        <v>5702</v>
      </c>
      <c r="E110" s="4" t="s">
        <v>2724</v>
      </c>
      <c r="F110" s="4" t="s">
        <v>5080</v>
      </c>
      <c r="G110" s="4">
        <v>2000</v>
      </c>
      <c r="H110" s="25">
        <v>36825</v>
      </c>
      <c r="K110" s="4" t="s">
        <v>2725</v>
      </c>
    </row>
    <row r="111" spans="1:11" ht="15.75" customHeight="1">
      <c r="A111" s="4">
        <v>16323134</v>
      </c>
      <c r="B111" s="4" t="s">
        <v>5359</v>
      </c>
      <c r="C111" s="4" t="s">
        <v>5360</v>
      </c>
      <c r="D111" s="4" t="s">
        <v>5361</v>
      </c>
      <c r="E111" s="4" t="s">
        <v>151</v>
      </c>
      <c r="F111" s="4" t="s">
        <v>4992</v>
      </c>
      <c r="G111" s="4">
        <v>2006</v>
      </c>
      <c r="H111" s="25">
        <v>38689</v>
      </c>
      <c r="K111" s="4" t="s">
        <v>394</v>
      </c>
    </row>
    <row r="112" spans="1:11" ht="15.75" customHeight="1">
      <c r="A112" s="4">
        <v>15543572</v>
      </c>
      <c r="B112" s="4" t="s">
        <v>5349</v>
      </c>
      <c r="C112" s="4" t="s">
        <v>5350</v>
      </c>
      <c r="D112" s="4" t="s">
        <v>5351</v>
      </c>
      <c r="E112" s="4" t="s">
        <v>3389</v>
      </c>
      <c r="F112" s="4" t="s">
        <v>4923</v>
      </c>
      <c r="G112" s="4">
        <v>2005</v>
      </c>
      <c r="H112" s="25">
        <v>38307</v>
      </c>
      <c r="K112" s="4" t="s">
        <v>3390</v>
      </c>
    </row>
    <row r="113" spans="1:11" ht="15.75" customHeight="1">
      <c r="A113" s="4">
        <v>31421950</v>
      </c>
      <c r="B113" s="4" t="s">
        <v>5687</v>
      </c>
      <c r="C113" s="4" t="s">
        <v>5688</v>
      </c>
      <c r="D113" s="4" t="s">
        <v>5689</v>
      </c>
      <c r="E113" s="4" t="s">
        <v>2523</v>
      </c>
      <c r="F113" s="4" t="s">
        <v>5305</v>
      </c>
      <c r="G113" s="4">
        <v>2020</v>
      </c>
      <c r="H113" s="25">
        <v>43696</v>
      </c>
      <c r="K113" s="4" t="s">
        <v>2524</v>
      </c>
    </row>
    <row r="114" spans="1:11" ht="15.75" customHeight="1">
      <c r="A114" s="4">
        <v>31449472</v>
      </c>
      <c r="B114" s="4" t="s">
        <v>4932</v>
      </c>
      <c r="C114" s="4" t="s">
        <v>4933</v>
      </c>
      <c r="D114" s="4" t="s">
        <v>4934</v>
      </c>
      <c r="E114" s="4" t="s">
        <v>221</v>
      </c>
      <c r="F114" s="4" t="s">
        <v>4935</v>
      </c>
      <c r="G114" s="4">
        <v>2019</v>
      </c>
      <c r="H114" s="25">
        <v>43704</v>
      </c>
      <c r="I114" s="4" t="s">
        <v>4936</v>
      </c>
      <c r="K114" s="4" t="s">
        <v>622</v>
      </c>
    </row>
    <row r="115" spans="1:11" ht="15.75" customHeight="1">
      <c r="A115" s="4">
        <v>22048789</v>
      </c>
      <c r="B115" s="4" t="s">
        <v>5316</v>
      </c>
      <c r="C115" s="4" t="s">
        <v>5317</v>
      </c>
      <c r="D115" s="4" t="s">
        <v>5318</v>
      </c>
      <c r="E115" s="4" t="s">
        <v>3301</v>
      </c>
      <c r="F115" s="4" t="s">
        <v>5319</v>
      </c>
      <c r="G115" s="4">
        <v>2012</v>
      </c>
      <c r="H115" s="25">
        <v>40851</v>
      </c>
      <c r="K115" s="4" t="s">
        <v>3302</v>
      </c>
    </row>
    <row r="116" spans="1:11" ht="15.75" customHeight="1">
      <c r="A116" s="4">
        <v>2559396</v>
      </c>
      <c r="B116" s="4" t="s">
        <v>5248</v>
      </c>
      <c r="C116" s="4" t="s">
        <v>5249</v>
      </c>
      <c r="D116" s="4" t="s">
        <v>5250</v>
      </c>
      <c r="E116" s="4" t="s">
        <v>2800</v>
      </c>
      <c r="F116" s="4" t="s">
        <v>5251</v>
      </c>
      <c r="G116" s="4">
        <v>1989</v>
      </c>
      <c r="H116" s="25">
        <v>32843</v>
      </c>
      <c r="K116" s="4" t="s">
        <v>2801</v>
      </c>
    </row>
    <row r="117" spans="1:11" ht="15.75" customHeight="1">
      <c r="A117" s="4">
        <v>22278837</v>
      </c>
      <c r="B117" s="4" t="s">
        <v>6683</v>
      </c>
      <c r="C117" s="4" t="s">
        <v>6684</v>
      </c>
      <c r="D117" s="4" t="s">
        <v>6685</v>
      </c>
      <c r="E117" s="4" t="s">
        <v>2360</v>
      </c>
      <c r="F117" s="4" t="s">
        <v>5331</v>
      </c>
      <c r="G117" s="4">
        <v>2012</v>
      </c>
      <c r="H117" s="25">
        <v>40935</v>
      </c>
      <c r="I117" s="4" t="s">
        <v>6686</v>
      </c>
      <c r="K117" s="4" t="s">
        <v>2361</v>
      </c>
    </row>
    <row r="118" spans="1:11" ht="15.75" customHeight="1">
      <c r="A118" s="4">
        <v>15650224</v>
      </c>
      <c r="B118" s="4" t="s">
        <v>5438</v>
      </c>
      <c r="C118" s="4" t="s">
        <v>5439</v>
      </c>
      <c r="D118" s="4" t="s">
        <v>5440</v>
      </c>
      <c r="E118" s="4" t="s">
        <v>3492</v>
      </c>
      <c r="F118" s="4" t="s">
        <v>4891</v>
      </c>
      <c r="G118" s="4">
        <v>2005</v>
      </c>
      <c r="H118" s="25">
        <v>38367</v>
      </c>
      <c r="I118" s="4" t="s">
        <v>5441</v>
      </c>
      <c r="K118" s="4" t="s">
        <v>3493</v>
      </c>
    </row>
    <row r="119" spans="1:11" ht="15.75" customHeight="1">
      <c r="A119" s="4">
        <v>17075280</v>
      </c>
      <c r="B119" s="4" t="s">
        <v>5837</v>
      </c>
      <c r="C119" s="4" t="s">
        <v>5838</v>
      </c>
      <c r="D119" s="4" t="s">
        <v>5839</v>
      </c>
      <c r="E119" s="4" t="s">
        <v>3989</v>
      </c>
      <c r="F119" s="4" t="s">
        <v>5840</v>
      </c>
      <c r="G119" s="4">
        <v>2006</v>
      </c>
      <c r="H119" s="25">
        <v>39022</v>
      </c>
      <c r="K119" s="4" t="s">
        <v>3990</v>
      </c>
    </row>
    <row r="120" spans="1:11" ht="15.75" customHeight="1">
      <c r="A120" s="4">
        <v>23514960</v>
      </c>
      <c r="B120" s="4" t="s">
        <v>5810</v>
      </c>
      <c r="C120" s="4" t="s">
        <v>5811</v>
      </c>
      <c r="D120" s="4" t="s">
        <v>5812</v>
      </c>
      <c r="E120" s="4" t="s">
        <v>233</v>
      </c>
      <c r="F120" s="4" t="s">
        <v>5445</v>
      </c>
      <c r="G120" s="4">
        <v>2013</v>
      </c>
      <c r="H120" s="25">
        <v>41355</v>
      </c>
      <c r="K120" s="4" t="s">
        <v>369</v>
      </c>
    </row>
    <row r="121" spans="1:11" ht="15.75" customHeight="1">
      <c r="A121" s="4">
        <v>32663845</v>
      </c>
      <c r="B121" s="4" t="s">
        <v>4989</v>
      </c>
      <c r="C121" s="4" t="s">
        <v>4990</v>
      </c>
      <c r="D121" s="4" t="s">
        <v>4991</v>
      </c>
      <c r="E121" s="4" t="s">
        <v>616</v>
      </c>
      <c r="F121" s="4" t="s">
        <v>4992</v>
      </c>
      <c r="G121" s="4">
        <v>2021</v>
      </c>
      <c r="H121" s="25">
        <v>44027</v>
      </c>
      <c r="I121" s="4" t="s">
        <v>4993</v>
      </c>
      <c r="K121" s="4" t="s">
        <v>617</v>
      </c>
    </row>
    <row r="122" spans="1:11" ht="15.75" customHeight="1">
      <c r="A122" s="4">
        <v>24594780</v>
      </c>
      <c r="B122" s="4" t="s">
        <v>5674</v>
      </c>
      <c r="C122" s="4" t="s">
        <v>5675</v>
      </c>
      <c r="D122" s="4" t="s">
        <v>5676</v>
      </c>
      <c r="E122" s="4" t="s">
        <v>3946</v>
      </c>
      <c r="F122" s="4" t="s">
        <v>5677</v>
      </c>
      <c r="G122" s="4">
        <v>2014</v>
      </c>
      <c r="H122" s="25">
        <v>41704</v>
      </c>
      <c r="I122" s="4" t="s">
        <v>5678</v>
      </c>
      <c r="J122" s="4" t="s">
        <v>5679</v>
      </c>
      <c r="K122" s="4" t="s">
        <v>3947</v>
      </c>
    </row>
    <row r="123" spans="1:11" ht="15.75" customHeight="1">
      <c r="A123" s="4">
        <v>25691643</v>
      </c>
      <c r="B123" s="4" t="s">
        <v>5817</v>
      </c>
      <c r="C123" s="4" t="s">
        <v>5818</v>
      </c>
      <c r="D123" s="4" t="s">
        <v>5819</v>
      </c>
      <c r="E123" s="4" t="s">
        <v>2382</v>
      </c>
      <c r="F123" s="4" t="s">
        <v>5820</v>
      </c>
      <c r="G123" s="4">
        <v>2015</v>
      </c>
      <c r="H123" s="25">
        <v>42054</v>
      </c>
      <c r="I123" s="4" t="s">
        <v>5821</v>
      </c>
      <c r="K123" s="4" t="s">
        <v>2383</v>
      </c>
    </row>
    <row r="124" spans="1:11" ht="15.75" customHeight="1">
      <c r="A124" s="4">
        <v>10097377</v>
      </c>
      <c r="B124" s="4" t="s">
        <v>5512</v>
      </c>
      <c r="C124" s="4" t="s">
        <v>5513</v>
      </c>
      <c r="D124" s="4" t="s">
        <v>5514</v>
      </c>
      <c r="E124" s="4" t="s">
        <v>2388</v>
      </c>
      <c r="F124" s="4" t="s">
        <v>5515</v>
      </c>
      <c r="G124" s="4">
        <v>1999</v>
      </c>
      <c r="H124" s="25">
        <v>36250</v>
      </c>
    </row>
    <row r="125" spans="1:11" ht="15.75" customHeight="1">
      <c r="A125" s="4">
        <v>36739398</v>
      </c>
      <c r="B125" s="4" t="s">
        <v>4864</v>
      </c>
      <c r="C125" s="4" t="s">
        <v>4865</v>
      </c>
      <c r="D125" s="4" t="s">
        <v>4866</v>
      </c>
      <c r="E125" s="4" t="s">
        <v>163</v>
      </c>
      <c r="F125" s="4" t="s">
        <v>4867</v>
      </c>
      <c r="G125" s="4">
        <v>2023</v>
      </c>
      <c r="H125" s="25">
        <v>44961</v>
      </c>
      <c r="I125" s="4" t="s">
        <v>4868</v>
      </c>
      <c r="K125" s="4" t="s">
        <v>407</v>
      </c>
    </row>
    <row r="126" spans="1:11" ht="15.75" customHeight="1">
      <c r="A126" s="4">
        <v>11035370</v>
      </c>
      <c r="B126" s="4" t="s">
        <v>5625</v>
      </c>
      <c r="C126" s="4" t="s">
        <v>5626</v>
      </c>
      <c r="D126" s="4" t="s">
        <v>5627</v>
      </c>
      <c r="E126" s="4" t="s">
        <v>509</v>
      </c>
      <c r="F126" s="4" t="s">
        <v>4863</v>
      </c>
      <c r="G126" s="4">
        <v>2000</v>
      </c>
      <c r="H126" s="25">
        <v>36817</v>
      </c>
      <c r="K126" s="4" t="s">
        <v>510</v>
      </c>
    </row>
    <row r="127" spans="1:11" ht="15.75" customHeight="1">
      <c r="A127" s="4">
        <v>20838386</v>
      </c>
      <c r="B127" s="4" t="s">
        <v>5485</v>
      </c>
      <c r="C127" s="4" t="s">
        <v>5486</v>
      </c>
      <c r="D127" s="4" t="s">
        <v>5487</v>
      </c>
      <c r="E127" s="4" t="s">
        <v>186</v>
      </c>
      <c r="F127" s="4" t="s">
        <v>4863</v>
      </c>
      <c r="G127" s="4">
        <v>2011</v>
      </c>
      <c r="H127" s="25">
        <v>40436</v>
      </c>
      <c r="K127" s="4" t="s">
        <v>367</v>
      </c>
    </row>
    <row r="128" spans="1:11" ht="15.75" customHeight="1">
      <c r="A128" s="4">
        <v>32295911</v>
      </c>
      <c r="B128" s="4" t="s">
        <v>5036</v>
      </c>
      <c r="C128" s="4" t="s">
        <v>5037</v>
      </c>
      <c r="D128" s="4" t="s">
        <v>5038</v>
      </c>
      <c r="E128" s="4" t="s">
        <v>3067</v>
      </c>
      <c r="F128" s="4" t="s">
        <v>4891</v>
      </c>
      <c r="G128" s="4">
        <v>2020</v>
      </c>
      <c r="H128" s="25">
        <v>43938</v>
      </c>
      <c r="I128" s="4" t="s">
        <v>5039</v>
      </c>
      <c r="K128" s="4" t="s">
        <v>3068</v>
      </c>
    </row>
    <row r="129" spans="1:11" ht="15.75" customHeight="1">
      <c r="A129" s="4">
        <v>12210418</v>
      </c>
      <c r="B129" s="4" t="s">
        <v>5585</v>
      </c>
      <c r="C129" s="4" t="s">
        <v>5586</v>
      </c>
      <c r="D129" s="4" t="s">
        <v>5587</v>
      </c>
      <c r="E129" s="4" t="s">
        <v>1654</v>
      </c>
      <c r="F129" s="4" t="s">
        <v>4923</v>
      </c>
      <c r="G129" s="4">
        <v>2002</v>
      </c>
      <c r="H129" s="25">
        <v>37504</v>
      </c>
      <c r="I129" s="4" t="s">
        <v>5588</v>
      </c>
      <c r="K129" s="4" t="s">
        <v>1655</v>
      </c>
    </row>
    <row r="130" spans="1:11" ht="15.75" customHeight="1">
      <c r="A130" s="4">
        <v>26476073</v>
      </c>
      <c r="B130" s="4" t="s">
        <v>5703</v>
      </c>
      <c r="C130" s="4" t="s">
        <v>5704</v>
      </c>
      <c r="D130" s="4" t="s">
        <v>5705</v>
      </c>
      <c r="E130" s="4" t="s">
        <v>4621</v>
      </c>
      <c r="F130" s="4" t="s">
        <v>5706</v>
      </c>
      <c r="G130" s="4">
        <v>2017</v>
      </c>
      <c r="H130" s="25">
        <v>42295</v>
      </c>
      <c r="K130" s="4" t="s">
        <v>4622</v>
      </c>
    </row>
    <row r="131" spans="1:11" ht="15.75" customHeight="1">
      <c r="A131" s="4">
        <v>8824991</v>
      </c>
      <c r="B131" s="4" t="s">
        <v>5727</v>
      </c>
      <c r="C131" s="4" t="s">
        <v>5728</v>
      </c>
      <c r="D131" s="4" t="s">
        <v>5729</v>
      </c>
      <c r="E131" s="4" t="s">
        <v>2351</v>
      </c>
      <c r="F131" s="4" t="s">
        <v>5080</v>
      </c>
      <c r="G131" s="4">
        <v>1996</v>
      </c>
      <c r="H131" s="25">
        <v>35065</v>
      </c>
      <c r="K131" s="4" t="s">
        <v>2352</v>
      </c>
    </row>
    <row r="132" spans="1:11" ht="15.75" customHeight="1">
      <c r="A132" s="4">
        <v>8397282</v>
      </c>
      <c r="B132" s="4" t="s">
        <v>5680</v>
      </c>
      <c r="C132" s="4" t="s">
        <v>5681</v>
      </c>
      <c r="D132" s="4" t="s">
        <v>5682</v>
      </c>
      <c r="E132" s="4" t="s">
        <v>2980</v>
      </c>
      <c r="F132" s="4" t="s">
        <v>4966</v>
      </c>
      <c r="G132" s="4">
        <v>1993</v>
      </c>
      <c r="H132" s="25">
        <v>34213</v>
      </c>
      <c r="K132" s="4" t="s">
        <v>2981</v>
      </c>
    </row>
    <row r="133" spans="1:11" ht="15.75" customHeight="1">
      <c r="A133" s="4">
        <v>26241219</v>
      </c>
      <c r="B133" s="4" t="s">
        <v>5603</v>
      </c>
      <c r="C133" s="4" t="s">
        <v>5604</v>
      </c>
      <c r="D133" s="4" t="s">
        <v>5605</v>
      </c>
      <c r="E133" s="4" t="s">
        <v>184</v>
      </c>
      <c r="F133" s="4" t="s">
        <v>4923</v>
      </c>
      <c r="G133" s="4">
        <v>2016</v>
      </c>
      <c r="H133" s="25">
        <v>42221</v>
      </c>
      <c r="K133" s="4" t="s">
        <v>659</v>
      </c>
    </row>
    <row r="134" spans="1:11" ht="15.75" customHeight="1">
      <c r="A134" s="4">
        <v>29797616</v>
      </c>
      <c r="B134" s="4" t="s">
        <v>4999</v>
      </c>
      <c r="C134" s="4" t="s">
        <v>5000</v>
      </c>
      <c r="D134" s="4" t="s">
        <v>5001</v>
      </c>
      <c r="E134" s="4" t="s">
        <v>256</v>
      </c>
      <c r="F134" s="4" t="s">
        <v>4974</v>
      </c>
      <c r="G134" s="4">
        <v>2018</v>
      </c>
      <c r="H134" s="25">
        <v>43246</v>
      </c>
      <c r="K134" s="4" t="s">
        <v>738</v>
      </c>
    </row>
    <row r="135" spans="1:11" ht="15.75" customHeight="1">
      <c r="A135" s="4">
        <v>30427305</v>
      </c>
      <c r="B135" s="4" t="s">
        <v>4963</v>
      </c>
      <c r="C135" s="4" t="s">
        <v>4964</v>
      </c>
      <c r="D135" s="4" t="s">
        <v>4965</v>
      </c>
      <c r="E135" s="4" t="s">
        <v>3795</v>
      </c>
      <c r="F135" s="4" t="s">
        <v>4966</v>
      </c>
      <c r="G135" s="4">
        <v>2019</v>
      </c>
      <c r="H135" s="25">
        <v>43419</v>
      </c>
      <c r="K135" s="4" t="s">
        <v>3796</v>
      </c>
    </row>
    <row r="136" spans="1:11" ht="15.75" customHeight="1">
      <c r="A136" s="4">
        <v>21254895</v>
      </c>
      <c r="B136" s="4" t="s">
        <v>5826</v>
      </c>
      <c r="C136" s="4" t="s">
        <v>5827</v>
      </c>
      <c r="D136" s="4" t="s">
        <v>5828</v>
      </c>
      <c r="E136" s="4" t="s">
        <v>3654</v>
      </c>
      <c r="F136" s="4" t="s">
        <v>5829</v>
      </c>
      <c r="G136" s="4">
        <v>2012</v>
      </c>
      <c r="H136" s="25">
        <v>40568</v>
      </c>
      <c r="K136" s="4" t="s">
        <v>3655</v>
      </c>
    </row>
    <row r="137" spans="1:11" ht="15.75" customHeight="1">
      <c r="A137" s="4">
        <v>22201827</v>
      </c>
      <c r="B137" s="4" t="s">
        <v>5770</v>
      </c>
      <c r="C137" s="4" t="s">
        <v>5771</v>
      </c>
      <c r="D137" s="4" t="s">
        <v>5772</v>
      </c>
      <c r="E137" s="4" t="s">
        <v>1614</v>
      </c>
      <c r="F137" s="4" t="s">
        <v>5773</v>
      </c>
      <c r="G137" s="4">
        <v>2012</v>
      </c>
      <c r="H137" s="25">
        <v>40906</v>
      </c>
      <c r="K137" s="4" t="s">
        <v>1615</v>
      </c>
    </row>
    <row r="138" spans="1:11" ht="15.75" customHeight="1">
      <c r="A138" s="4">
        <v>23669455</v>
      </c>
      <c r="B138" s="4" t="s">
        <v>5581</v>
      </c>
      <c r="C138" s="4" t="s">
        <v>5582</v>
      </c>
      <c r="D138" s="4" t="s">
        <v>5583</v>
      </c>
      <c r="E138" s="4" t="s">
        <v>554</v>
      </c>
      <c r="F138" s="4" t="s">
        <v>5584</v>
      </c>
      <c r="G138" s="4">
        <v>2013</v>
      </c>
      <c r="H138" s="25">
        <v>41409</v>
      </c>
      <c r="K138" s="4" t="s">
        <v>555</v>
      </c>
    </row>
    <row r="139" spans="1:11" ht="15.75" customHeight="1">
      <c r="A139" s="4">
        <v>20872080</v>
      </c>
      <c r="B139" s="4" t="s">
        <v>5589</v>
      </c>
      <c r="C139" s="4" t="s">
        <v>5590</v>
      </c>
      <c r="D139" s="4" t="s">
        <v>5591</v>
      </c>
      <c r="E139" s="4" t="s">
        <v>120</v>
      </c>
      <c r="F139" s="4" t="s">
        <v>5592</v>
      </c>
      <c r="G139" s="4">
        <v>2010</v>
      </c>
      <c r="H139" s="25">
        <v>40449</v>
      </c>
      <c r="I139" s="4" t="s">
        <v>5593</v>
      </c>
      <c r="K139" s="4" t="s">
        <v>330</v>
      </c>
    </row>
    <row r="140" spans="1:11" ht="15.75" customHeight="1">
      <c r="A140" s="4">
        <v>32860815</v>
      </c>
      <c r="B140" s="4" t="s">
        <v>6107</v>
      </c>
      <c r="C140" s="4" t="s">
        <v>6108</v>
      </c>
      <c r="D140" s="4" t="s">
        <v>6109</v>
      </c>
      <c r="E140" s="4" t="s">
        <v>832</v>
      </c>
      <c r="F140" s="4" t="s">
        <v>5051</v>
      </c>
      <c r="G140" s="4">
        <v>2021</v>
      </c>
      <c r="H140" s="25">
        <v>44073</v>
      </c>
      <c r="K140" s="4" t="s">
        <v>833</v>
      </c>
    </row>
    <row r="141" spans="1:11" ht="15.75" customHeight="1">
      <c r="A141" s="4">
        <v>12477249</v>
      </c>
      <c r="B141" s="4" t="s">
        <v>5851</v>
      </c>
      <c r="C141" s="4" t="s">
        <v>5852</v>
      </c>
      <c r="D141" s="4" t="s">
        <v>5853</v>
      </c>
      <c r="E141" s="4" t="s">
        <v>654</v>
      </c>
      <c r="F141" s="4" t="s">
        <v>5163</v>
      </c>
      <c r="G141" s="4">
        <v>2002</v>
      </c>
      <c r="H141" s="25">
        <v>37603</v>
      </c>
      <c r="K141" s="4" t="s">
        <v>655</v>
      </c>
    </row>
    <row r="142" spans="1:11" ht="15.75" customHeight="1">
      <c r="A142" s="4">
        <v>21849437</v>
      </c>
      <c r="B142" s="4" t="s">
        <v>5577</v>
      </c>
      <c r="C142" s="4" t="s">
        <v>5578</v>
      </c>
      <c r="D142" s="4" t="s">
        <v>5579</v>
      </c>
      <c r="E142" s="4" t="s">
        <v>4191</v>
      </c>
      <c r="F142" s="4" t="s">
        <v>4891</v>
      </c>
      <c r="G142" s="4">
        <v>2011</v>
      </c>
      <c r="H142" s="25">
        <v>40774</v>
      </c>
      <c r="I142" s="4" t="s">
        <v>5580</v>
      </c>
      <c r="K142" s="4" t="s">
        <v>4194</v>
      </c>
    </row>
    <row r="143" spans="1:11" ht="15.75" customHeight="1">
      <c r="A143" s="4">
        <v>26083588</v>
      </c>
      <c r="B143" s="4" t="s">
        <v>5979</v>
      </c>
      <c r="C143" s="4" t="s">
        <v>5980</v>
      </c>
      <c r="D143" s="4" t="s">
        <v>5981</v>
      </c>
      <c r="E143" s="4" t="s">
        <v>256</v>
      </c>
      <c r="F143" s="4" t="s">
        <v>5982</v>
      </c>
      <c r="G143" s="4">
        <v>2015</v>
      </c>
      <c r="H143" s="25">
        <v>42173</v>
      </c>
      <c r="K143" s="4" t="s">
        <v>387</v>
      </c>
    </row>
    <row r="144" spans="1:11" ht="15.75" customHeight="1">
      <c r="A144" s="4">
        <v>19505844</v>
      </c>
      <c r="B144" s="4" t="s">
        <v>5793</v>
      </c>
      <c r="C144" s="4" t="s">
        <v>5794</v>
      </c>
      <c r="D144" s="4" t="s">
        <v>5795</v>
      </c>
      <c r="E144" s="4" t="s">
        <v>596</v>
      </c>
      <c r="F144" s="4" t="s">
        <v>4896</v>
      </c>
      <c r="G144" s="4">
        <v>2009</v>
      </c>
      <c r="H144" s="25">
        <v>39974</v>
      </c>
      <c r="K144" s="4" t="s">
        <v>597</v>
      </c>
    </row>
    <row r="145" spans="1:11" ht="15.75" customHeight="1">
      <c r="A145" s="4">
        <v>9720744</v>
      </c>
      <c r="B145" s="4" t="s">
        <v>5936</v>
      </c>
      <c r="C145" s="4" t="s">
        <v>5937</v>
      </c>
      <c r="D145" s="4" t="s">
        <v>5938</v>
      </c>
      <c r="E145" s="4" t="s">
        <v>1393</v>
      </c>
      <c r="F145" s="4" t="s">
        <v>4863</v>
      </c>
      <c r="G145" s="4">
        <v>1998</v>
      </c>
      <c r="H145" s="25">
        <v>36035</v>
      </c>
      <c r="K145" s="4" t="s">
        <v>1394</v>
      </c>
    </row>
    <row r="146" spans="1:11" ht="15.75" customHeight="1">
      <c r="A146" s="4">
        <v>24829249</v>
      </c>
      <c r="B146" s="4" t="s">
        <v>5634</v>
      </c>
      <c r="C146" s="4" t="s">
        <v>5635</v>
      </c>
      <c r="D146" s="4" t="s">
        <v>5636</v>
      </c>
      <c r="E146" s="4" t="s">
        <v>564</v>
      </c>
      <c r="F146" s="4" t="s">
        <v>5331</v>
      </c>
      <c r="G146" s="4">
        <v>2014</v>
      </c>
      <c r="H146" s="25">
        <v>41775</v>
      </c>
      <c r="I146" s="4" t="s">
        <v>5637</v>
      </c>
      <c r="K146" s="4" t="s">
        <v>565</v>
      </c>
    </row>
    <row r="147" spans="1:11" ht="15.75" customHeight="1">
      <c r="A147" s="4">
        <v>1365539</v>
      </c>
      <c r="B147" s="4" t="s">
        <v>5052</v>
      </c>
      <c r="C147" s="4" t="s">
        <v>5053</v>
      </c>
      <c r="D147" s="4" t="s">
        <v>5054</v>
      </c>
      <c r="E147" s="4" t="s">
        <v>4551</v>
      </c>
      <c r="F147" s="4" t="s">
        <v>5055</v>
      </c>
      <c r="G147" s="4">
        <v>1992</v>
      </c>
      <c r="H147" s="25">
        <v>33756</v>
      </c>
    </row>
    <row r="148" spans="1:11" ht="15.75" customHeight="1">
      <c r="A148" s="4">
        <v>26209402</v>
      </c>
      <c r="B148" s="4" t="s">
        <v>5777</v>
      </c>
      <c r="C148" s="4" t="s">
        <v>5778</v>
      </c>
      <c r="D148" s="4" t="s">
        <v>5779</v>
      </c>
      <c r="E148" s="4" t="s">
        <v>2490</v>
      </c>
      <c r="F148" s="4" t="s">
        <v>4896</v>
      </c>
      <c r="G148" s="4">
        <v>2015</v>
      </c>
      <c r="H148" s="25">
        <v>42211</v>
      </c>
      <c r="K148" s="4" t="s">
        <v>2491</v>
      </c>
    </row>
    <row r="149" spans="1:11" ht="15.75" customHeight="1">
      <c r="A149" s="4">
        <v>20005968</v>
      </c>
      <c r="B149" s="4" t="s">
        <v>5733</v>
      </c>
      <c r="C149" s="4" t="s">
        <v>5734</v>
      </c>
      <c r="D149" s="4" t="s">
        <v>5735</v>
      </c>
      <c r="E149" s="4" t="s">
        <v>193</v>
      </c>
      <c r="F149" s="4" t="s">
        <v>5076</v>
      </c>
      <c r="G149" s="4">
        <v>2010</v>
      </c>
      <c r="H149" s="25">
        <v>40164</v>
      </c>
      <c r="K149" s="4" t="s">
        <v>419</v>
      </c>
    </row>
    <row r="150" spans="1:11" ht="15.75" customHeight="1">
      <c r="A150" s="4">
        <v>22093262</v>
      </c>
      <c r="B150" s="4" t="s">
        <v>5671</v>
      </c>
      <c r="C150" s="4" t="s">
        <v>5672</v>
      </c>
      <c r="D150" s="4" t="s">
        <v>5673</v>
      </c>
      <c r="E150" s="4" t="s">
        <v>2737</v>
      </c>
      <c r="F150" s="4" t="s">
        <v>4974</v>
      </c>
      <c r="G150" s="4">
        <v>2011</v>
      </c>
      <c r="H150" s="25">
        <v>40866</v>
      </c>
      <c r="K150" s="4" t="s">
        <v>2738</v>
      </c>
    </row>
    <row r="151" spans="1:11" ht="15.75" customHeight="1">
      <c r="A151" s="4">
        <v>18037945</v>
      </c>
      <c r="B151" s="4" t="s">
        <v>5939</v>
      </c>
      <c r="C151" s="4" t="s">
        <v>5940</v>
      </c>
      <c r="D151" s="4" t="s">
        <v>5941</v>
      </c>
      <c r="E151" s="4" t="s">
        <v>151</v>
      </c>
      <c r="F151" s="4" t="s">
        <v>4863</v>
      </c>
      <c r="G151" s="4">
        <v>2008</v>
      </c>
      <c r="H151" s="25">
        <v>39413</v>
      </c>
      <c r="K151" s="4" t="s">
        <v>792</v>
      </c>
    </row>
    <row r="152" spans="1:11" ht="15.75" customHeight="1">
      <c r="A152" s="4">
        <v>27404369</v>
      </c>
      <c r="B152" s="4" t="s">
        <v>6007</v>
      </c>
      <c r="C152" s="4" t="s">
        <v>6008</v>
      </c>
      <c r="D152" s="4" t="s">
        <v>6009</v>
      </c>
      <c r="E152" s="4" t="s">
        <v>1273</v>
      </c>
      <c r="F152" s="4" t="s">
        <v>4851</v>
      </c>
      <c r="G152" s="4">
        <v>2016</v>
      </c>
      <c r="H152" s="25">
        <v>42564</v>
      </c>
      <c r="K152" s="4" t="s">
        <v>1274</v>
      </c>
    </row>
    <row r="153" spans="1:11" ht="15.75" customHeight="1">
      <c r="A153" s="4">
        <v>10026725</v>
      </c>
      <c r="B153" s="4" t="s">
        <v>6189</v>
      </c>
      <c r="C153" s="4" t="s">
        <v>6190</v>
      </c>
      <c r="D153" s="4" t="s">
        <v>6191</v>
      </c>
      <c r="E153" s="4" t="s">
        <v>2070</v>
      </c>
      <c r="F153" s="4" t="s">
        <v>6192</v>
      </c>
      <c r="G153" s="4">
        <v>1999</v>
      </c>
      <c r="H153" s="25">
        <v>36214</v>
      </c>
    </row>
    <row r="154" spans="1:11" ht="15.75" customHeight="1">
      <c r="A154" s="4">
        <v>31650671</v>
      </c>
      <c r="B154" s="4" t="s">
        <v>5123</v>
      </c>
      <c r="C154" s="4" t="s">
        <v>5124</v>
      </c>
      <c r="D154" s="4" t="s">
        <v>5125</v>
      </c>
      <c r="E154" s="4" t="s">
        <v>256</v>
      </c>
      <c r="F154" s="4" t="s">
        <v>4974</v>
      </c>
      <c r="G154" s="4">
        <v>2020</v>
      </c>
      <c r="H154" s="25">
        <v>43764</v>
      </c>
      <c r="K154" s="4" t="s">
        <v>740</v>
      </c>
    </row>
    <row r="155" spans="1:11" ht="15.75" customHeight="1">
      <c r="A155" s="4">
        <v>9629978</v>
      </c>
      <c r="B155" s="4" t="s">
        <v>5964</v>
      </c>
      <c r="C155" s="4" t="s">
        <v>5965</v>
      </c>
      <c r="D155" s="4" t="s">
        <v>5966</v>
      </c>
      <c r="E155" s="4" t="s">
        <v>760</v>
      </c>
      <c r="F155" s="4" t="s">
        <v>5202</v>
      </c>
      <c r="G155" s="4">
        <v>1998</v>
      </c>
      <c r="H155" s="25">
        <v>35964</v>
      </c>
      <c r="K155" s="4" t="s">
        <v>761</v>
      </c>
    </row>
    <row r="156" spans="1:11" ht="15.75" customHeight="1">
      <c r="A156" s="4">
        <v>30996090</v>
      </c>
      <c r="B156" s="4" t="s">
        <v>5061</v>
      </c>
      <c r="C156" s="4" t="s">
        <v>5062</v>
      </c>
      <c r="D156" s="4" t="s">
        <v>5063</v>
      </c>
      <c r="E156" s="4" t="s">
        <v>2004</v>
      </c>
      <c r="F156" s="4" t="s">
        <v>4891</v>
      </c>
      <c r="G156" s="4">
        <v>2019</v>
      </c>
      <c r="H156" s="25">
        <v>43574</v>
      </c>
      <c r="I156" s="4" t="s">
        <v>5064</v>
      </c>
      <c r="K156" s="4" t="s">
        <v>2005</v>
      </c>
    </row>
    <row r="157" spans="1:11" ht="15.75" customHeight="1">
      <c r="A157" s="4">
        <v>9465692</v>
      </c>
      <c r="B157" s="4" t="s">
        <v>5176</v>
      </c>
      <c r="C157" s="4" t="s">
        <v>5177</v>
      </c>
      <c r="D157" s="4" t="s">
        <v>5178</v>
      </c>
      <c r="E157" s="4" t="s">
        <v>4189</v>
      </c>
      <c r="F157" s="4" t="s">
        <v>5031</v>
      </c>
      <c r="G157" s="4">
        <v>1998</v>
      </c>
      <c r="H157" s="25">
        <v>35844</v>
      </c>
    </row>
    <row r="158" spans="1:11" ht="15.75" customHeight="1">
      <c r="A158" s="4">
        <v>17977973</v>
      </c>
      <c r="B158" s="4" t="s">
        <v>5683</v>
      </c>
      <c r="C158" s="4" t="s">
        <v>5684</v>
      </c>
      <c r="D158" s="4" t="s">
        <v>5685</v>
      </c>
      <c r="E158" s="4" t="s">
        <v>4125</v>
      </c>
      <c r="F158" s="4" t="s">
        <v>4891</v>
      </c>
      <c r="G158" s="4">
        <v>2008</v>
      </c>
      <c r="H158" s="25">
        <v>39392</v>
      </c>
      <c r="I158" s="4" t="s">
        <v>5686</v>
      </c>
      <c r="K158" s="4" t="s">
        <v>4126</v>
      </c>
    </row>
    <row r="159" spans="1:11" ht="15.75" customHeight="1">
      <c r="A159" s="4">
        <v>27703035</v>
      </c>
      <c r="B159" s="4" t="s">
        <v>5736</v>
      </c>
      <c r="C159" s="4" t="s">
        <v>5737</v>
      </c>
      <c r="D159" s="4" t="s">
        <v>5738</v>
      </c>
      <c r="E159" s="4" t="s">
        <v>3643</v>
      </c>
      <c r="F159" s="4" t="s">
        <v>4992</v>
      </c>
      <c r="G159" s="4">
        <v>2016</v>
      </c>
      <c r="H159" s="25">
        <v>42649</v>
      </c>
      <c r="I159" s="4" t="s">
        <v>5739</v>
      </c>
      <c r="K159" s="4" t="s">
        <v>3644</v>
      </c>
    </row>
    <row r="160" spans="1:11" ht="15.75" customHeight="1">
      <c r="A160" s="4">
        <v>18428148</v>
      </c>
      <c r="B160" s="4" t="s">
        <v>5574</v>
      </c>
      <c r="C160" s="4" t="s">
        <v>5575</v>
      </c>
      <c r="D160" s="4" t="s">
        <v>5576</v>
      </c>
      <c r="E160" s="4" t="s">
        <v>1619</v>
      </c>
      <c r="F160" s="4" t="s">
        <v>4923</v>
      </c>
      <c r="G160" s="4">
        <v>2008</v>
      </c>
      <c r="H160" s="25">
        <v>39561</v>
      </c>
      <c r="K160" s="4" t="s">
        <v>1620</v>
      </c>
    </row>
    <row r="161" spans="1:11" ht="15.75" customHeight="1">
      <c r="A161" s="4">
        <v>35019717</v>
      </c>
      <c r="B161" s="4" t="s">
        <v>5081</v>
      </c>
      <c r="C161" s="4" t="s">
        <v>5082</v>
      </c>
      <c r="D161" s="4" t="s">
        <v>5083</v>
      </c>
      <c r="E161" s="4" t="s">
        <v>3810</v>
      </c>
      <c r="F161" s="4" t="s">
        <v>4891</v>
      </c>
      <c r="G161" s="4">
        <v>2022</v>
      </c>
      <c r="H161" s="25">
        <v>44573</v>
      </c>
      <c r="I161" s="4" t="s">
        <v>5084</v>
      </c>
      <c r="K161" s="4" t="s">
        <v>3811</v>
      </c>
    </row>
    <row r="162" spans="1:11" ht="15.75" customHeight="1">
      <c r="A162" s="4">
        <v>18512026</v>
      </c>
      <c r="B162" s="4" t="s">
        <v>5867</v>
      </c>
      <c r="C162" s="4" t="s">
        <v>5868</v>
      </c>
      <c r="D162" s="4" t="s">
        <v>5869</v>
      </c>
      <c r="E162" s="4" t="s">
        <v>567</v>
      </c>
      <c r="F162" s="4" t="s">
        <v>5592</v>
      </c>
      <c r="G162" s="4">
        <v>2008</v>
      </c>
      <c r="H162" s="25">
        <v>39599</v>
      </c>
      <c r="I162" s="4" t="s">
        <v>5870</v>
      </c>
      <c r="K162" s="4" t="s">
        <v>568</v>
      </c>
    </row>
    <row r="163" spans="1:11" ht="15.75" customHeight="1">
      <c r="A163" s="4">
        <v>31043533</v>
      </c>
      <c r="B163" s="4" t="s">
        <v>5089</v>
      </c>
      <c r="C163" s="4" t="s">
        <v>5090</v>
      </c>
      <c r="D163" s="4" t="s">
        <v>5091</v>
      </c>
      <c r="E163" s="4" t="s">
        <v>616</v>
      </c>
      <c r="F163" s="4" t="s">
        <v>4891</v>
      </c>
      <c r="G163" s="4">
        <v>2019</v>
      </c>
      <c r="H163" s="25">
        <v>43588</v>
      </c>
      <c r="I163" s="4" t="s">
        <v>5092</v>
      </c>
      <c r="K163" s="4" t="s">
        <v>2290</v>
      </c>
    </row>
    <row r="164" spans="1:11" ht="15.75" customHeight="1">
      <c r="A164" s="4">
        <v>24658548</v>
      </c>
      <c r="B164" s="4" t="s">
        <v>5788</v>
      </c>
      <c r="C164" s="4" t="s">
        <v>5789</v>
      </c>
      <c r="D164" s="4" t="s">
        <v>5790</v>
      </c>
      <c r="E164" s="4" t="s">
        <v>260</v>
      </c>
      <c r="F164" s="4" t="s">
        <v>5791</v>
      </c>
      <c r="G164" s="4">
        <v>2014</v>
      </c>
      <c r="H164" s="25">
        <v>41723</v>
      </c>
      <c r="I164" s="4" t="s">
        <v>5792</v>
      </c>
      <c r="K164" s="4" t="s">
        <v>391</v>
      </c>
    </row>
    <row r="165" spans="1:11" ht="15.75" customHeight="1">
      <c r="A165" s="4">
        <v>19144370</v>
      </c>
      <c r="B165" s="4" t="s">
        <v>5697</v>
      </c>
      <c r="C165" s="4" t="s">
        <v>5698</v>
      </c>
      <c r="D165" s="4" t="s">
        <v>5699</v>
      </c>
      <c r="E165" s="4" t="s">
        <v>4175</v>
      </c>
      <c r="F165" s="4" t="s">
        <v>4950</v>
      </c>
      <c r="G165" s="4">
        <v>2009</v>
      </c>
      <c r="H165" s="25">
        <v>39829</v>
      </c>
      <c r="K165" s="4" t="s">
        <v>4176</v>
      </c>
    </row>
    <row r="166" spans="1:11" ht="15.75" customHeight="1">
      <c r="A166" s="4">
        <v>21376662</v>
      </c>
      <c r="B166" s="4" t="s">
        <v>5976</v>
      </c>
      <c r="C166" s="4" t="s">
        <v>5977</v>
      </c>
      <c r="D166" s="4" t="s">
        <v>5978</v>
      </c>
      <c r="E166" s="4" t="s">
        <v>845</v>
      </c>
      <c r="F166" s="4" t="s">
        <v>4896</v>
      </c>
      <c r="G166" s="4">
        <v>2011</v>
      </c>
      <c r="H166" s="25">
        <v>40610</v>
      </c>
      <c r="K166" s="4" t="s">
        <v>846</v>
      </c>
    </row>
    <row r="167" spans="1:11" ht="15.75" customHeight="1">
      <c r="A167" s="4">
        <v>23771003</v>
      </c>
      <c r="B167" s="4" t="s">
        <v>5927</v>
      </c>
      <c r="C167" s="4" t="s">
        <v>5928</v>
      </c>
      <c r="D167" s="4" t="s">
        <v>5929</v>
      </c>
      <c r="E167" s="4" t="s">
        <v>554</v>
      </c>
      <c r="F167" s="4" t="s">
        <v>4863</v>
      </c>
      <c r="G167" s="4">
        <v>2013</v>
      </c>
      <c r="H167" s="25">
        <v>41443</v>
      </c>
      <c r="K167" s="4" t="s">
        <v>558</v>
      </c>
    </row>
    <row r="168" spans="1:11" ht="15.75" customHeight="1">
      <c r="A168" s="4">
        <v>28782564</v>
      </c>
      <c r="B168" s="4" t="s">
        <v>6638</v>
      </c>
      <c r="C168" s="4" t="s">
        <v>5615</v>
      </c>
      <c r="D168" s="4" t="s">
        <v>6639</v>
      </c>
      <c r="E168" s="4" t="s">
        <v>1905</v>
      </c>
      <c r="F168" s="4" t="s">
        <v>5051</v>
      </c>
      <c r="G168" s="4">
        <v>2018</v>
      </c>
      <c r="H168" s="25">
        <v>42955</v>
      </c>
      <c r="K168" s="4" t="s">
        <v>1906</v>
      </c>
    </row>
    <row r="169" spans="1:11" ht="15.75" customHeight="1">
      <c r="A169" s="4">
        <v>22133730</v>
      </c>
      <c r="B169" s="4" t="s">
        <v>5707</v>
      </c>
      <c r="C169" s="4" t="s">
        <v>5708</v>
      </c>
      <c r="D169" s="4" t="s">
        <v>5709</v>
      </c>
      <c r="E169" s="4" t="s">
        <v>2149</v>
      </c>
      <c r="F169" s="4" t="s">
        <v>4896</v>
      </c>
      <c r="G169" s="4">
        <v>2012</v>
      </c>
      <c r="H169" s="25">
        <v>40880</v>
      </c>
      <c r="K169" s="4" t="s">
        <v>2150</v>
      </c>
    </row>
    <row r="170" spans="1:11" ht="15.75" customHeight="1">
      <c r="A170" s="4">
        <v>18621409</v>
      </c>
      <c r="B170" s="4" t="s">
        <v>6016</v>
      </c>
      <c r="C170" s="4" t="s">
        <v>6017</v>
      </c>
      <c r="D170" s="4" t="s">
        <v>6018</v>
      </c>
      <c r="E170" s="4" t="s">
        <v>4191</v>
      </c>
      <c r="F170" s="4" t="s">
        <v>4950</v>
      </c>
      <c r="G170" s="4">
        <v>2008</v>
      </c>
      <c r="H170" s="25">
        <v>39645</v>
      </c>
      <c r="K170" s="4" t="s">
        <v>4196</v>
      </c>
    </row>
    <row r="171" spans="1:11" ht="15.75" customHeight="1">
      <c r="A171" s="4">
        <v>34390240</v>
      </c>
      <c r="B171" s="4" t="s">
        <v>5107</v>
      </c>
      <c r="C171" s="4" t="s">
        <v>5108</v>
      </c>
      <c r="D171" s="4" t="s">
        <v>5109</v>
      </c>
      <c r="E171" s="4" t="s">
        <v>245</v>
      </c>
      <c r="F171" s="4" t="s">
        <v>4992</v>
      </c>
      <c r="G171" s="4">
        <v>2022</v>
      </c>
      <c r="H171" s="25">
        <v>44422</v>
      </c>
      <c r="I171" s="4" t="s">
        <v>5110</v>
      </c>
      <c r="K171" s="4" t="s">
        <v>380</v>
      </c>
    </row>
    <row r="172" spans="1:11" ht="15.75" customHeight="1">
      <c r="A172" s="4">
        <v>26038958</v>
      </c>
      <c r="B172" s="4" t="s">
        <v>5762</v>
      </c>
      <c r="C172" s="4" t="s">
        <v>5763</v>
      </c>
      <c r="D172" s="4" t="s">
        <v>5764</v>
      </c>
      <c r="E172" s="4" t="s">
        <v>4324</v>
      </c>
      <c r="F172" s="4" t="s">
        <v>5765</v>
      </c>
      <c r="G172" s="4">
        <v>2015</v>
      </c>
      <c r="H172" s="25">
        <v>42159</v>
      </c>
      <c r="I172" s="4" t="s">
        <v>5766</v>
      </c>
      <c r="K172" s="4" t="s">
        <v>4325</v>
      </c>
    </row>
    <row r="173" spans="1:11" ht="15.75" customHeight="1">
      <c r="A173" s="4">
        <v>11120923</v>
      </c>
      <c r="B173" s="4" t="s">
        <v>6000</v>
      </c>
      <c r="C173" s="4" t="s">
        <v>6001</v>
      </c>
      <c r="D173" s="4" t="s">
        <v>6002</v>
      </c>
      <c r="E173" s="4" t="s">
        <v>3179</v>
      </c>
      <c r="F173" s="4" t="s">
        <v>4992</v>
      </c>
      <c r="G173" s="4">
        <v>2001</v>
      </c>
      <c r="H173" s="25">
        <v>36880</v>
      </c>
      <c r="K173" s="4" t="s">
        <v>3180</v>
      </c>
    </row>
    <row r="174" spans="1:11" ht="15.75" customHeight="1">
      <c r="A174" s="4">
        <v>7559960</v>
      </c>
      <c r="B174" s="4" t="s">
        <v>6094</v>
      </c>
      <c r="C174" s="4" t="s">
        <v>6095</v>
      </c>
      <c r="D174" s="4" t="s">
        <v>6096</v>
      </c>
      <c r="E174" s="4" t="s">
        <v>280</v>
      </c>
      <c r="F174" s="4" t="s">
        <v>5331</v>
      </c>
      <c r="G174" s="4">
        <v>1995</v>
      </c>
      <c r="H174" s="25">
        <v>34912</v>
      </c>
      <c r="I174" s="4" t="s">
        <v>6097</v>
      </c>
      <c r="K174" s="4" t="s">
        <v>3944</v>
      </c>
    </row>
    <row r="175" spans="1:11" ht="15.75" customHeight="1">
      <c r="A175" s="4">
        <v>9359710</v>
      </c>
      <c r="B175" s="4" t="s">
        <v>6032</v>
      </c>
      <c r="C175" s="4" t="s">
        <v>6033</v>
      </c>
      <c r="D175" s="4" t="s">
        <v>6034</v>
      </c>
      <c r="E175" s="4" t="s">
        <v>1879</v>
      </c>
      <c r="F175" s="4" t="s">
        <v>4992</v>
      </c>
      <c r="G175" s="4">
        <v>1997</v>
      </c>
      <c r="H175" s="25">
        <v>35748</v>
      </c>
      <c r="K175" s="4" t="s">
        <v>1884</v>
      </c>
    </row>
    <row r="176" spans="1:11" ht="15.75" customHeight="1">
      <c r="A176" s="4">
        <v>7910837</v>
      </c>
      <c r="B176" s="4" t="s">
        <v>6125</v>
      </c>
      <c r="C176" s="4" t="s">
        <v>6126</v>
      </c>
      <c r="D176" s="4" t="s">
        <v>6127</v>
      </c>
      <c r="E176" s="4" t="s">
        <v>1993</v>
      </c>
      <c r="F176" s="4" t="s">
        <v>4992</v>
      </c>
      <c r="G176" s="4">
        <v>1994</v>
      </c>
      <c r="H176" s="25">
        <v>34486</v>
      </c>
      <c r="K176" s="4" t="s">
        <v>1994</v>
      </c>
    </row>
    <row r="177" spans="1:11" ht="15.75" customHeight="1">
      <c r="A177" s="4">
        <v>17207644</v>
      </c>
      <c r="B177" s="4" t="s">
        <v>5813</v>
      </c>
      <c r="C177" s="4" t="s">
        <v>5814</v>
      </c>
      <c r="D177" s="4" t="s">
        <v>5815</v>
      </c>
      <c r="E177" s="4" t="s">
        <v>3792</v>
      </c>
      <c r="F177" s="4" t="s">
        <v>5816</v>
      </c>
      <c r="G177" s="4">
        <v>2007</v>
      </c>
      <c r="H177" s="25">
        <v>39091</v>
      </c>
      <c r="K177" s="4" t="s">
        <v>3793</v>
      </c>
    </row>
    <row r="178" spans="1:11" ht="15.75" customHeight="1">
      <c r="A178" s="4">
        <v>20970670</v>
      </c>
      <c r="B178" s="4" t="s">
        <v>5834</v>
      </c>
      <c r="C178" s="4" t="s">
        <v>5835</v>
      </c>
      <c r="D178" s="4" t="s">
        <v>5836</v>
      </c>
      <c r="E178" s="4" t="s">
        <v>672</v>
      </c>
      <c r="F178" s="4" t="s">
        <v>5696</v>
      </c>
      <c r="G178" s="4">
        <v>2010</v>
      </c>
      <c r="H178" s="25">
        <v>40477</v>
      </c>
      <c r="K178" s="4" t="s">
        <v>673</v>
      </c>
    </row>
    <row r="179" spans="1:11" ht="15.75" customHeight="1">
      <c r="A179" s="4">
        <v>27697585</v>
      </c>
      <c r="B179" s="4" t="s">
        <v>5073</v>
      </c>
      <c r="C179" s="4" t="s">
        <v>5074</v>
      </c>
      <c r="D179" s="4" t="s">
        <v>5075</v>
      </c>
      <c r="E179" s="4" t="s">
        <v>219</v>
      </c>
      <c r="F179" s="4" t="s">
        <v>5076</v>
      </c>
      <c r="G179" s="4">
        <v>2016</v>
      </c>
      <c r="H179" s="25">
        <v>42648</v>
      </c>
      <c r="K179" s="4" t="s">
        <v>343</v>
      </c>
    </row>
    <row r="180" spans="1:11" ht="15.75" customHeight="1">
      <c r="A180" s="4">
        <v>18762520</v>
      </c>
      <c r="B180" s="4" t="s">
        <v>5660</v>
      </c>
      <c r="C180" s="4" t="s">
        <v>5661</v>
      </c>
      <c r="D180" s="4" t="s">
        <v>5662</v>
      </c>
      <c r="E180" s="4" t="s">
        <v>607</v>
      </c>
      <c r="F180" s="4" t="s">
        <v>5663</v>
      </c>
      <c r="G180" s="4">
        <v>2008</v>
      </c>
      <c r="H180" s="25">
        <v>39694</v>
      </c>
      <c r="K180" s="4" t="s">
        <v>2261</v>
      </c>
    </row>
    <row r="181" spans="1:11" ht="15.75" customHeight="1">
      <c r="A181" s="4">
        <v>28056415</v>
      </c>
      <c r="B181" s="4" t="s">
        <v>5111</v>
      </c>
      <c r="C181" s="4" t="s">
        <v>5112</v>
      </c>
      <c r="D181" s="4" t="s">
        <v>5113</v>
      </c>
      <c r="E181" s="4" t="s">
        <v>2287</v>
      </c>
      <c r="F181" s="4" t="s">
        <v>4950</v>
      </c>
      <c r="G181" s="4">
        <v>2017</v>
      </c>
      <c r="H181" s="25">
        <v>42741</v>
      </c>
      <c r="K181" s="4" t="s">
        <v>2288</v>
      </c>
    </row>
    <row r="182" spans="1:11" ht="15.75" customHeight="1">
      <c r="A182" s="4">
        <v>15708999</v>
      </c>
      <c r="B182" s="4" t="s">
        <v>6025</v>
      </c>
      <c r="C182" s="4" t="s">
        <v>6026</v>
      </c>
      <c r="D182" s="4" t="s">
        <v>6027</v>
      </c>
      <c r="E182" s="4" t="s">
        <v>4067</v>
      </c>
      <c r="F182" s="4" t="s">
        <v>4891</v>
      </c>
      <c r="G182" s="4">
        <v>2005</v>
      </c>
      <c r="H182" s="25">
        <v>38398</v>
      </c>
      <c r="I182" s="4" t="s">
        <v>6028</v>
      </c>
      <c r="K182" s="4" t="s">
        <v>4068</v>
      </c>
    </row>
    <row r="183" spans="1:11" ht="15.75" customHeight="1">
      <c r="A183" s="4">
        <v>9765424</v>
      </c>
      <c r="B183" s="4" t="s">
        <v>6140</v>
      </c>
      <c r="C183" s="4" t="s">
        <v>6141</v>
      </c>
      <c r="D183" s="4" t="s">
        <v>6142</v>
      </c>
      <c r="E183" s="4" t="s">
        <v>2051</v>
      </c>
      <c r="F183" s="4" t="s">
        <v>4891</v>
      </c>
      <c r="G183" s="4">
        <v>1998</v>
      </c>
      <c r="H183" s="25">
        <v>36078</v>
      </c>
      <c r="I183" s="4" t="s">
        <v>6143</v>
      </c>
      <c r="K183" s="4" t="s">
        <v>2052</v>
      </c>
    </row>
    <row r="184" spans="1:11" ht="15.75" customHeight="1">
      <c r="A184" s="4">
        <v>10745266</v>
      </c>
      <c r="B184" s="4" t="s">
        <v>5848</v>
      </c>
      <c r="C184" s="4" t="s">
        <v>5849</v>
      </c>
      <c r="D184" s="4" t="s">
        <v>5850</v>
      </c>
      <c r="E184" s="4" t="s">
        <v>2662</v>
      </c>
      <c r="F184" s="4" t="s">
        <v>4863</v>
      </c>
      <c r="G184" s="4">
        <v>2000</v>
      </c>
      <c r="H184" s="25">
        <v>36620</v>
      </c>
      <c r="K184" s="4" t="s">
        <v>2663</v>
      </c>
    </row>
    <row r="185" spans="1:11" ht="15.75" customHeight="1">
      <c r="A185" s="4">
        <v>24810656</v>
      </c>
      <c r="B185" s="4" t="s">
        <v>5986</v>
      </c>
      <c r="C185" s="4" t="s">
        <v>5987</v>
      </c>
      <c r="D185" s="4" t="s">
        <v>5988</v>
      </c>
      <c r="E185" s="4" t="s">
        <v>216</v>
      </c>
      <c r="F185" s="4" t="s">
        <v>4974</v>
      </c>
      <c r="G185" s="4">
        <v>2014</v>
      </c>
      <c r="H185" s="25">
        <v>41769</v>
      </c>
      <c r="K185" s="4" t="s">
        <v>341</v>
      </c>
    </row>
    <row r="186" spans="1:11" ht="15.75" customHeight="1">
      <c r="A186" s="4">
        <v>12367753</v>
      </c>
      <c r="B186" s="4" t="s">
        <v>5864</v>
      </c>
      <c r="C186" s="4" t="s">
        <v>5865</v>
      </c>
      <c r="D186" s="4" t="s">
        <v>5866</v>
      </c>
      <c r="E186" s="4" t="s">
        <v>3520</v>
      </c>
      <c r="F186" s="4" t="s">
        <v>5122</v>
      </c>
      <c r="G186" s="4">
        <v>2002</v>
      </c>
      <c r="H186" s="25">
        <v>37538</v>
      </c>
      <c r="K186" s="4" t="s">
        <v>3521</v>
      </c>
    </row>
    <row r="187" spans="1:11" ht="15.75" customHeight="1">
      <c r="A187" s="4">
        <v>11565077</v>
      </c>
      <c r="B187" s="4" t="s">
        <v>6022</v>
      </c>
      <c r="C187" s="4" t="s">
        <v>6023</v>
      </c>
      <c r="D187" s="4" t="s">
        <v>6024</v>
      </c>
      <c r="E187" s="4" t="s">
        <v>1857</v>
      </c>
      <c r="F187" s="4" t="s">
        <v>5080</v>
      </c>
      <c r="G187" s="4">
        <v>2001</v>
      </c>
      <c r="H187" s="25">
        <v>37155</v>
      </c>
      <c r="K187" s="4" t="s">
        <v>1858</v>
      </c>
    </row>
    <row r="188" spans="1:11" ht="15.75" customHeight="1">
      <c r="A188" s="4">
        <v>36366483</v>
      </c>
      <c r="B188" s="4" t="s">
        <v>5284</v>
      </c>
      <c r="C188" s="4" t="s">
        <v>5285</v>
      </c>
      <c r="D188" s="4" t="s">
        <v>5286</v>
      </c>
      <c r="E188" s="4" t="s">
        <v>3597</v>
      </c>
      <c r="F188" s="4" t="s">
        <v>4842</v>
      </c>
      <c r="G188" s="4">
        <v>2022</v>
      </c>
      <c r="H188" s="25">
        <v>44876</v>
      </c>
      <c r="I188" s="4" t="s">
        <v>5287</v>
      </c>
      <c r="K188" s="4" t="s">
        <v>3598</v>
      </c>
    </row>
    <row r="189" spans="1:11" ht="15.75" customHeight="1">
      <c r="A189" s="4">
        <v>36055520</v>
      </c>
      <c r="B189" s="4" t="s">
        <v>5212</v>
      </c>
      <c r="C189" s="4" t="s">
        <v>5213</v>
      </c>
      <c r="D189" s="4" t="s">
        <v>5214</v>
      </c>
      <c r="E189" s="4" t="s">
        <v>2394</v>
      </c>
      <c r="F189" s="4" t="s">
        <v>5215</v>
      </c>
      <c r="G189" s="4">
        <v>2022</v>
      </c>
      <c r="H189" s="25">
        <v>44806</v>
      </c>
      <c r="I189" s="4" t="s">
        <v>5216</v>
      </c>
      <c r="J189" s="4" t="s">
        <v>5217</v>
      </c>
      <c r="K189" s="4" t="s">
        <v>2395</v>
      </c>
    </row>
    <row r="190" spans="1:11" ht="15.75" customHeight="1">
      <c r="A190" s="4">
        <v>9465691</v>
      </c>
      <c r="B190" s="4" t="s">
        <v>5475</v>
      </c>
      <c r="C190" s="4" t="s">
        <v>5476</v>
      </c>
      <c r="D190" s="4" t="s">
        <v>5477</v>
      </c>
      <c r="E190" s="4" t="s">
        <v>4115</v>
      </c>
      <c r="F190" s="4" t="s">
        <v>5031</v>
      </c>
      <c r="G190" s="4">
        <v>1998</v>
      </c>
      <c r="H190" s="25">
        <v>35844</v>
      </c>
    </row>
    <row r="191" spans="1:11" ht="15.75" customHeight="1">
      <c r="A191" s="4">
        <v>23929317</v>
      </c>
      <c r="B191" s="4" t="s">
        <v>5754</v>
      </c>
      <c r="C191" s="4" t="s">
        <v>5755</v>
      </c>
      <c r="D191" s="4" t="s">
        <v>5756</v>
      </c>
      <c r="E191" s="4" t="s">
        <v>927</v>
      </c>
      <c r="F191" s="4" t="s">
        <v>5757</v>
      </c>
      <c r="G191" s="4">
        <v>2014</v>
      </c>
      <c r="H191" s="25">
        <v>41496</v>
      </c>
      <c r="K191" s="4" t="s">
        <v>928</v>
      </c>
    </row>
    <row r="192" spans="1:11" ht="15.75" customHeight="1">
      <c r="A192" s="4">
        <v>17276364</v>
      </c>
      <c r="B192" s="4" t="s">
        <v>5896</v>
      </c>
      <c r="C192" s="4" t="s">
        <v>5897</v>
      </c>
      <c r="D192" s="4" t="s">
        <v>5898</v>
      </c>
      <c r="E192" s="4" t="s">
        <v>1800</v>
      </c>
      <c r="F192" s="4" t="s">
        <v>4896</v>
      </c>
      <c r="G192" s="4">
        <v>2006</v>
      </c>
      <c r="H192" s="25">
        <v>39119</v>
      </c>
      <c r="K192" s="4" t="s">
        <v>1801</v>
      </c>
    </row>
    <row r="193" spans="1:11" ht="15.75" customHeight="1">
      <c r="A193" s="4">
        <v>33053448</v>
      </c>
      <c r="B193" s="4" t="s">
        <v>5203</v>
      </c>
      <c r="C193" s="4" t="s">
        <v>5204</v>
      </c>
      <c r="D193" s="4" t="s">
        <v>5205</v>
      </c>
      <c r="E193" s="4" t="s">
        <v>123</v>
      </c>
      <c r="F193" s="4" t="s">
        <v>4876</v>
      </c>
      <c r="G193" s="4">
        <v>2021</v>
      </c>
      <c r="H193" s="25">
        <v>44118</v>
      </c>
      <c r="I193" s="4" t="s">
        <v>5206</v>
      </c>
      <c r="J193" s="4" t="s">
        <v>5207</v>
      </c>
      <c r="K193" s="4" t="s">
        <v>332</v>
      </c>
    </row>
    <row r="194" spans="1:11" ht="15.75" customHeight="1">
      <c r="A194" s="4">
        <v>17205485</v>
      </c>
      <c r="B194" s="4" t="s">
        <v>6131</v>
      </c>
      <c r="C194" s="4" t="s">
        <v>6132</v>
      </c>
      <c r="D194" s="4" t="s">
        <v>6133</v>
      </c>
      <c r="E194" s="4" t="s">
        <v>2085</v>
      </c>
      <c r="F194" s="4" t="s">
        <v>4992</v>
      </c>
      <c r="G194" s="4">
        <v>2007</v>
      </c>
      <c r="H194" s="25">
        <v>39088</v>
      </c>
      <c r="K194" s="4" t="s">
        <v>2086</v>
      </c>
    </row>
    <row r="195" spans="1:11" ht="15.75" customHeight="1">
      <c r="A195" s="4">
        <v>11972099</v>
      </c>
      <c r="B195" s="4" t="s">
        <v>6156</v>
      </c>
      <c r="C195" s="4" t="s">
        <v>6157</v>
      </c>
      <c r="D195" s="4" t="s">
        <v>6158</v>
      </c>
      <c r="E195" s="4" t="s">
        <v>4049</v>
      </c>
      <c r="F195" s="4" t="s">
        <v>5757</v>
      </c>
      <c r="G195" s="4">
        <v>2002</v>
      </c>
      <c r="H195" s="25">
        <v>37371</v>
      </c>
      <c r="K195" s="4" t="s">
        <v>4050</v>
      </c>
    </row>
    <row r="196" spans="1:11" ht="15.75" customHeight="1">
      <c r="A196" s="4">
        <v>35389547</v>
      </c>
      <c r="B196" s="4" t="s">
        <v>5164</v>
      </c>
      <c r="C196" s="4" t="s">
        <v>5165</v>
      </c>
      <c r="D196" s="4" t="s">
        <v>5166</v>
      </c>
      <c r="E196" s="4" t="s">
        <v>488</v>
      </c>
      <c r="F196" s="4" t="s">
        <v>4974</v>
      </c>
      <c r="G196" s="4">
        <v>2022</v>
      </c>
      <c r="H196" s="25">
        <v>44658</v>
      </c>
      <c r="K196" s="4" t="s">
        <v>489</v>
      </c>
    </row>
    <row r="197" spans="1:11" ht="15.75" customHeight="1">
      <c r="A197" s="4">
        <v>21543487</v>
      </c>
      <c r="B197" s="4" t="s">
        <v>5822</v>
      </c>
      <c r="C197" s="4" t="s">
        <v>5823</v>
      </c>
      <c r="D197" s="4" t="s">
        <v>5824</v>
      </c>
      <c r="E197" s="4" t="s">
        <v>1463</v>
      </c>
      <c r="F197" s="4" t="s">
        <v>4891</v>
      </c>
      <c r="G197" s="4">
        <v>2011</v>
      </c>
      <c r="H197" s="25">
        <v>40669</v>
      </c>
      <c r="I197" s="4" t="s">
        <v>5825</v>
      </c>
      <c r="K197" s="4" t="s">
        <v>1464</v>
      </c>
    </row>
    <row r="198" spans="1:11" ht="15.75" customHeight="1">
      <c r="A198" s="4">
        <v>28638124</v>
      </c>
      <c r="B198" s="4" t="s">
        <v>6364</v>
      </c>
      <c r="C198" s="4" t="s">
        <v>6365</v>
      </c>
      <c r="D198" s="4" t="s">
        <v>6366</v>
      </c>
      <c r="E198" s="4" t="s">
        <v>1487</v>
      </c>
      <c r="F198" s="4" t="s">
        <v>5043</v>
      </c>
      <c r="G198" s="4">
        <v>2017</v>
      </c>
      <c r="H198" s="25">
        <v>42909</v>
      </c>
      <c r="I198" s="4" t="s">
        <v>6367</v>
      </c>
      <c r="K198" s="4" t="s">
        <v>1488</v>
      </c>
    </row>
    <row r="199" spans="1:11" ht="15.75" customHeight="1">
      <c r="A199" s="4">
        <v>1682676</v>
      </c>
      <c r="B199" s="4" t="s">
        <v>6144</v>
      </c>
      <c r="C199" s="4" t="s">
        <v>6145</v>
      </c>
      <c r="D199" s="4" t="s">
        <v>6146</v>
      </c>
      <c r="E199" s="4" t="s">
        <v>3020</v>
      </c>
      <c r="F199" s="4" t="s">
        <v>6147</v>
      </c>
      <c r="G199" s="4">
        <v>1991</v>
      </c>
      <c r="H199" s="25">
        <v>33558</v>
      </c>
      <c r="K199" s="4" t="s">
        <v>3021</v>
      </c>
    </row>
    <row r="200" spans="1:11" ht="15.75" customHeight="1">
      <c r="A200" s="4">
        <v>23408849</v>
      </c>
      <c r="B200" s="4" t="s">
        <v>6137</v>
      </c>
      <c r="C200" s="4" t="s">
        <v>6138</v>
      </c>
      <c r="D200" s="4" t="s">
        <v>6139</v>
      </c>
      <c r="E200" s="4" t="s">
        <v>2206</v>
      </c>
      <c r="F200" s="4" t="s">
        <v>4992</v>
      </c>
      <c r="G200" s="4">
        <v>2013</v>
      </c>
      <c r="H200" s="25">
        <v>41320</v>
      </c>
      <c r="K200" s="4" t="s">
        <v>2207</v>
      </c>
    </row>
    <row r="201" spans="1:11" ht="15.75" customHeight="1">
      <c r="A201" s="4">
        <v>27145489</v>
      </c>
      <c r="B201" s="4" t="s">
        <v>5614</v>
      </c>
      <c r="C201" s="4" t="s">
        <v>5615</v>
      </c>
      <c r="D201" s="4" t="s">
        <v>5616</v>
      </c>
      <c r="E201" s="4" t="s">
        <v>1905</v>
      </c>
      <c r="F201" s="4" t="s">
        <v>4974</v>
      </c>
      <c r="G201" s="4">
        <v>2016</v>
      </c>
      <c r="H201" s="25">
        <v>42495</v>
      </c>
      <c r="K201" s="4" t="s">
        <v>1908</v>
      </c>
    </row>
    <row r="202" spans="1:11" ht="15.75" customHeight="1">
      <c r="A202" s="4">
        <v>12966551</v>
      </c>
      <c r="B202" s="4" t="s">
        <v>6383</v>
      </c>
      <c r="C202" s="4" t="s">
        <v>6384</v>
      </c>
      <c r="D202" s="4" t="s">
        <v>6385</v>
      </c>
      <c r="E202" s="4" t="s">
        <v>3837</v>
      </c>
      <c r="F202" s="4" t="s">
        <v>4923</v>
      </c>
      <c r="G202" s="4">
        <v>2003</v>
      </c>
      <c r="H202" s="25">
        <v>37875</v>
      </c>
      <c r="K202" s="4" t="s">
        <v>3838</v>
      </c>
    </row>
    <row r="203" spans="1:11" ht="15.75" customHeight="1">
      <c r="A203" s="4">
        <v>8268822</v>
      </c>
      <c r="B203" s="4" t="s">
        <v>5950</v>
      </c>
      <c r="C203" s="4" t="s">
        <v>5951</v>
      </c>
      <c r="D203" s="4" t="s">
        <v>5952</v>
      </c>
      <c r="E203" s="4" t="s">
        <v>2961</v>
      </c>
      <c r="F203" s="4" t="s">
        <v>5953</v>
      </c>
      <c r="G203" s="4">
        <v>1993</v>
      </c>
      <c r="H203" s="25">
        <v>34151</v>
      </c>
    </row>
    <row r="204" spans="1:11" ht="15.75" customHeight="1">
      <c r="A204" s="4">
        <v>8384028</v>
      </c>
      <c r="B204" s="4" t="s">
        <v>6119</v>
      </c>
      <c r="C204" s="4" t="s">
        <v>6120</v>
      </c>
      <c r="D204" s="4" t="s">
        <v>6121</v>
      </c>
      <c r="E204" s="4" t="s">
        <v>1459</v>
      </c>
      <c r="F204" s="4" t="s">
        <v>5343</v>
      </c>
      <c r="G204" s="4">
        <v>1993</v>
      </c>
      <c r="H204" s="25">
        <v>34043</v>
      </c>
    </row>
    <row r="205" spans="1:11" ht="15.75" customHeight="1">
      <c r="A205" s="4">
        <v>34111575</v>
      </c>
      <c r="B205" s="4" t="s">
        <v>5279</v>
      </c>
      <c r="C205" s="4" t="s">
        <v>5280</v>
      </c>
      <c r="D205" s="4" t="s">
        <v>5281</v>
      </c>
      <c r="E205" s="4" t="s">
        <v>619</v>
      </c>
      <c r="F205" s="4" t="s">
        <v>4876</v>
      </c>
      <c r="G205" s="4">
        <v>2021</v>
      </c>
      <c r="H205" s="25">
        <v>44357</v>
      </c>
      <c r="I205" s="4" t="s">
        <v>5282</v>
      </c>
      <c r="J205" s="4" t="s">
        <v>5283</v>
      </c>
      <c r="K205" s="4" t="s">
        <v>620</v>
      </c>
    </row>
    <row r="206" spans="1:11" ht="15.75" customHeight="1">
      <c r="A206" s="4">
        <v>31521763</v>
      </c>
      <c r="B206" s="4" t="s">
        <v>5119</v>
      </c>
      <c r="C206" s="4" t="s">
        <v>5120</v>
      </c>
      <c r="D206" s="4" t="s">
        <v>5121</v>
      </c>
      <c r="E206" s="4" t="s">
        <v>3795</v>
      </c>
      <c r="F206" s="4" t="s">
        <v>5122</v>
      </c>
      <c r="G206" s="4">
        <v>2019</v>
      </c>
      <c r="H206" s="25">
        <v>43724</v>
      </c>
      <c r="K206" s="4" t="s">
        <v>3798</v>
      </c>
    </row>
    <row r="207" spans="1:11" ht="15.75" customHeight="1">
      <c r="A207" s="4">
        <v>11391342</v>
      </c>
      <c r="B207" s="4" t="s">
        <v>5914</v>
      </c>
      <c r="C207" s="4" t="s">
        <v>5915</v>
      </c>
      <c r="D207" s="4" t="s">
        <v>5916</v>
      </c>
      <c r="E207" s="4" t="s">
        <v>195</v>
      </c>
      <c r="F207" s="4" t="s">
        <v>4880</v>
      </c>
      <c r="G207" s="4">
        <v>2001</v>
      </c>
      <c r="H207" s="25">
        <v>37050</v>
      </c>
      <c r="K207" s="4" t="s">
        <v>4638</v>
      </c>
    </row>
    <row r="208" spans="1:11" ht="15.75" customHeight="1">
      <c r="A208" s="4">
        <v>16518751</v>
      </c>
      <c r="B208" s="4" t="s">
        <v>5807</v>
      </c>
      <c r="C208" s="4" t="s">
        <v>5808</v>
      </c>
      <c r="D208" s="4" t="s">
        <v>5809</v>
      </c>
      <c r="E208" s="4" t="s">
        <v>1664</v>
      </c>
      <c r="F208" s="4" t="s">
        <v>4992</v>
      </c>
      <c r="G208" s="4">
        <v>2006</v>
      </c>
      <c r="H208" s="25">
        <v>38783</v>
      </c>
      <c r="K208" s="4" t="s">
        <v>1671</v>
      </c>
    </row>
    <row r="209" spans="1:11" ht="15.75" customHeight="1">
      <c r="A209" s="4">
        <v>12068008</v>
      </c>
      <c r="B209" s="4" t="s">
        <v>6003</v>
      </c>
      <c r="C209" s="4" t="s">
        <v>6004</v>
      </c>
      <c r="D209" s="4" t="s">
        <v>6005</v>
      </c>
      <c r="E209" s="4" t="s">
        <v>2545</v>
      </c>
      <c r="F209" s="4" t="s">
        <v>6006</v>
      </c>
      <c r="G209" s="4">
        <v>2002</v>
      </c>
      <c r="H209" s="25">
        <v>37425</v>
      </c>
      <c r="K209" s="4" t="s">
        <v>2546</v>
      </c>
    </row>
    <row r="210" spans="1:11" ht="15.75" customHeight="1">
      <c r="A210" s="4">
        <v>28081700</v>
      </c>
      <c r="B210" s="4" t="s">
        <v>5179</v>
      </c>
      <c r="C210" s="4" t="s">
        <v>5180</v>
      </c>
      <c r="D210" s="4" t="s">
        <v>5181</v>
      </c>
      <c r="E210" s="4" t="s">
        <v>1533</v>
      </c>
      <c r="F210" s="4" t="s">
        <v>4867</v>
      </c>
      <c r="G210" s="4">
        <v>2017</v>
      </c>
      <c r="H210" s="25">
        <v>42749</v>
      </c>
      <c r="I210" s="4" t="s">
        <v>5182</v>
      </c>
      <c r="K210" s="4" t="s">
        <v>1535</v>
      </c>
    </row>
    <row r="211" spans="1:11" ht="15.75" customHeight="1">
      <c r="A211" s="4">
        <v>20872717</v>
      </c>
      <c r="B211" s="4" t="s">
        <v>5879</v>
      </c>
      <c r="C211" s="4" t="s">
        <v>5880</v>
      </c>
      <c r="D211" s="4" t="s">
        <v>5881</v>
      </c>
      <c r="E211" s="4" t="s">
        <v>1063</v>
      </c>
      <c r="F211" s="4" t="s">
        <v>4923</v>
      </c>
      <c r="G211" s="4">
        <v>2010</v>
      </c>
      <c r="H211" s="25">
        <v>40449</v>
      </c>
      <c r="K211" s="4" t="s">
        <v>1067</v>
      </c>
    </row>
    <row r="212" spans="1:11" ht="15.75" customHeight="1">
      <c r="A212" s="4">
        <v>35802798</v>
      </c>
      <c r="B212" s="4" t="s">
        <v>6649</v>
      </c>
      <c r="C212" s="4" t="s">
        <v>6650</v>
      </c>
      <c r="D212" s="4" t="s">
        <v>6651</v>
      </c>
      <c r="E212" s="4" t="s">
        <v>1499</v>
      </c>
      <c r="F212" s="4" t="s">
        <v>5291</v>
      </c>
      <c r="G212" s="4">
        <v>2022</v>
      </c>
      <c r="H212" s="25">
        <v>44750</v>
      </c>
      <c r="I212" s="4" t="s">
        <v>6652</v>
      </c>
      <c r="K212" s="4" t="s">
        <v>1500</v>
      </c>
    </row>
    <row r="213" spans="1:11" ht="15.75" customHeight="1">
      <c r="A213" s="4">
        <v>34083146</v>
      </c>
      <c r="B213" s="4" t="s">
        <v>5302</v>
      </c>
      <c r="C213" s="4" t="s">
        <v>5303</v>
      </c>
      <c r="D213" s="4" t="s">
        <v>5304</v>
      </c>
      <c r="E213" s="4" t="s">
        <v>2629</v>
      </c>
      <c r="F213" s="4" t="s">
        <v>5305</v>
      </c>
      <c r="G213" s="4">
        <v>2021</v>
      </c>
      <c r="H213" s="25">
        <v>44351</v>
      </c>
      <c r="K213" s="4" t="s">
        <v>2630</v>
      </c>
    </row>
    <row r="214" spans="1:11" ht="15.75" customHeight="1">
      <c r="A214" s="4">
        <v>18712834</v>
      </c>
      <c r="B214" s="4" t="s">
        <v>5743</v>
      </c>
      <c r="C214" s="4" t="s">
        <v>5744</v>
      </c>
      <c r="D214" s="4" t="s">
        <v>5745</v>
      </c>
      <c r="E214" s="4" t="s">
        <v>2858</v>
      </c>
      <c r="F214" s="4" t="s">
        <v>4923</v>
      </c>
      <c r="G214" s="4">
        <v>2008</v>
      </c>
      <c r="H214" s="25">
        <v>39681</v>
      </c>
      <c r="K214" s="4" t="s">
        <v>2859</v>
      </c>
    </row>
    <row r="215" spans="1:11" ht="15.75" customHeight="1">
      <c r="A215" s="4">
        <v>16477222</v>
      </c>
      <c r="B215" s="4" t="s">
        <v>5893</v>
      </c>
      <c r="C215" s="4" t="s">
        <v>5894</v>
      </c>
      <c r="D215" s="4" t="s">
        <v>5895</v>
      </c>
      <c r="E215" s="4" t="s">
        <v>2294</v>
      </c>
      <c r="F215" s="4" t="s">
        <v>5445</v>
      </c>
      <c r="G215" s="4">
        <v>2006</v>
      </c>
      <c r="H215" s="25">
        <v>38764</v>
      </c>
      <c r="K215" s="4" t="s">
        <v>2297</v>
      </c>
    </row>
    <row r="216" spans="1:11" ht="15.75" customHeight="1">
      <c r="A216" s="4">
        <v>1693942</v>
      </c>
      <c r="B216" s="4" t="s">
        <v>6347</v>
      </c>
      <c r="C216" s="4" t="s">
        <v>6348</v>
      </c>
      <c r="D216" s="4" t="s">
        <v>6349</v>
      </c>
      <c r="E216" s="4" t="s">
        <v>2700</v>
      </c>
      <c r="F216" s="4" t="s">
        <v>4992</v>
      </c>
      <c r="G216" s="4">
        <v>1990</v>
      </c>
      <c r="H216" s="25">
        <v>33055</v>
      </c>
      <c r="K216" s="4" t="s">
        <v>2701</v>
      </c>
    </row>
    <row r="217" spans="1:11" ht="15.75" customHeight="1">
      <c r="A217" s="4">
        <v>8738179</v>
      </c>
      <c r="B217" s="4" t="s">
        <v>6214</v>
      </c>
      <c r="C217" s="4" t="s">
        <v>6215</v>
      </c>
      <c r="D217" s="4" t="s">
        <v>6216</v>
      </c>
      <c r="E217" s="4" t="s">
        <v>4169</v>
      </c>
      <c r="F217" s="4" t="s">
        <v>5122</v>
      </c>
      <c r="G217" s="4">
        <v>1996</v>
      </c>
      <c r="H217" s="25">
        <v>35156</v>
      </c>
      <c r="K217" s="4" t="s">
        <v>4170</v>
      </c>
    </row>
    <row r="218" spans="1:11" ht="15.75" customHeight="1">
      <c r="A218" s="4">
        <v>16300835</v>
      </c>
      <c r="B218" s="4" t="s">
        <v>6193</v>
      </c>
      <c r="C218" s="4" t="s">
        <v>6194</v>
      </c>
      <c r="D218" s="4" t="s">
        <v>6195</v>
      </c>
      <c r="E218" s="4" t="s">
        <v>826</v>
      </c>
      <c r="F218" s="4" t="s">
        <v>5267</v>
      </c>
      <c r="G218" s="4">
        <v>2006</v>
      </c>
      <c r="H218" s="25">
        <v>38679</v>
      </c>
      <c r="K218" s="4" t="s">
        <v>827</v>
      </c>
    </row>
    <row r="219" spans="1:11" ht="15.75" customHeight="1">
      <c r="A219" s="4">
        <v>23055929</v>
      </c>
      <c r="B219" s="4" t="s">
        <v>5150</v>
      </c>
      <c r="C219" s="4" t="s">
        <v>5151</v>
      </c>
      <c r="D219" s="4" t="s">
        <v>5152</v>
      </c>
      <c r="E219" s="4" t="s">
        <v>1533</v>
      </c>
      <c r="F219" s="4" t="s">
        <v>5059</v>
      </c>
      <c r="G219" s="4">
        <v>2012</v>
      </c>
      <c r="H219" s="25">
        <v>41194</v>
      </c>
      <c r="I219" s="4" t="s">
        <v>5153</v>
      </c>
      <c r="K219" s="4" t="s">
        <v>1537</v>
      </c>
    </row>
    <row r="220" spans="1:11" ht="15.75" customHeight="1">
      <c r="A220" s="4">
        <v>27244446</v>
      </c>
      <c r="B220" s="4" t="s">
        <v>5172</v>
      </c>
      <c r="C220" s="4" t="s">
        <v>5173</v>
      </c>
      <c r="D220" s="4" t="s">
        <v>5174</v>
      </c>
      <c r="E220" s="4" t="s">
        <v>4401</v>
      </c>
      <c r="F220" s="4" t="s">
        <v>5059</v>
      </c>
      <c r="G220" s="4">
        <v>2016</v>
      </c>
      <c r="H220" s="25">
        <v>42522</v>
      </c>
      <c r="I220" s="4" t="s">
        <v>5175</v>
      </c>
      <c r="K220" s="4" t="s">
        <v>4402</v>
      </c>
    </row>
    <row r="221" spans="1:11" ht="15.75" customHeight="1">
      <c r="A221" s="4">
        <v>32439137</v>
      </c>
      <c r="B221" s="4" t="s">
        <v>6251</v>
      </c>
      <c r="C221" s="4" t="s">
        <v>6252</v>
      </c>
      <c r="D221" s="4" t="s">
        <v>6253</v>
      </c>
      <c r="E221" s="4" t="s">
        <v>3073</v>
      </c>
      <c r="F221" s="4" t="s">
        <v>6254</v>
      </c>
      <c r="G221" s="4">
        <v>2021</v>
      </c>
      <c r="H221" s="25">
        <v>43974</v>
      </c>
      <c r="K221" s="4" t="s">
        <v>3074</v>
      </c>
    </row>
    <row r="222" spans="1:11" ht="15.75" customHeight="1">
      <c r="A222" s="4">
        <v>19100443</v>
      </c>
      <c r="B222" s="4" t="s">
        <v>6605</v>
      </c>
      <c r="C222" s="4" t="s">
        <v>6606</v>
      </c>
      <c r="D222" s="4" t="s">
        <v>6607</v>
      </c>
      <c r="E222" s="4" t="s">
        <v>3481</v>
      </c>
      <c r="F222" s="4" t="s">
        <v>5696</v>
      </c>
      <c r="G222" s="4">
        <v>2008</v>
      </c>
      <c r="H222" s="25">
        <v>39805</v>
      </c>
      <c r="K222" s="4" t="s">
        <v>3482</v>
      </c>
    </row>
    <row r="223" spans="1:11" ht="15.75" customHeight="1">
      <c r="A223" s="4">
        <v>7687301</v>
      </c>
      <c r="B223" s="4" t="s">
        <v>6199</v>
      </c>
      <c r="C223" s="4" t="s">
        <v>6200</v>
      </c>
      <c r="D223" s="4" t="s">
        <v>6201</v>
      </c>
      <c r="E223" s="4" t="s">
        <v>3581</v>
      </c>
      <c r="F223" s="4" t="s">
        <v>4891</v>
      </c>
      <c r="G223" s="4">
        <v>1993</v>
      </c>
      <c r="H223" s="25">
        <v>34182</v>
      </c>
      <c r="I223" s="4" t="s">
        <v>6202</v>
      </c>
      <c r="K223" s="4" t="s">
        <v>3582</v>
      </c>
    </row>
    <row r="224" spans="1:11" ht="15.75" customHeight="1">
      <c r="A224" s="4">
        <v>33713461</v>
      </c>
      <c r="B224" s="4" t="s">
        <v>5333</v>
      </c>
      <c r="C224" s="4" t="s">
        <v>5334</v>
      </c>
      <c r="D224" s="4" t="s">
        <v>5335</v>
      </c>
      <c r="E224" s="4" t="s">
        <v>214</v>
      </c>
      <c r="F224" s="4" t="s">
        <v>5336</v>
      </c>
      <c r="G224" s="4">
        <v>2021</v>
      </c>
      <c r="H224" s="25">
        <v>44268</v>
      </c>
      <c r="K224" s="4" t="s">
        <v>336</v>
      </c>
    </row>
    <row r="225" spans="1:11" ht="15.75" customHeight="1">
      <c r="A225" s="4">
        <v>19920774</v>
      </c>
      <c r="B225" s="4" t="s">
        <v>6294</v>
      </c>
      <c r="C225" s="4" t="s">
        <v>6295</v>
      </c>
      <c r="D225" s="4" t="s">
        <v>6296</v>
      </c>
      <c r="E225" s="4" t="s">
        <v>3603</v>
      </c>
      <c r="F225" s="4" t="s">
        <v>5445</v>
      </c>
      <c r="G225" s="4">
        <v>2009</v>
      </c>
      <c r="H225" s="25">
        <v>40136</v>
      </c>
      <c r="K225" s="4" t="s">
        <v>3604</v>
      </c>
    </row>
    <row r="226" spans="1:11" ht="15.75" customHeight="1">
      <c r="A226" s="4">
        <v>1677024</v>
      </c>
      <c r="B226" s="4" t="s">
        <v>6290</v>
      </c>
      <c r="C226" s="4" t="s">
        <v>6291</v>
      </c>
      <c r="D226" s="4" t="s">
        <v>6292</v>
      </c>
      <c r="E226" s="4" t="s">
        <v>3041</v>
      </c>
      <c r="F226" s="4" t="s">
        <v>6293</v>
      </c>
      <c r="G226" s="4">
        <v>1991</v>
      </c>
      <c r="H226" s="25">
        <v>33434</v>
      </c>
    </row>
    <row r="227" spans="1:11" ht="15.75" customHeight="1">
      <c r="A227" s="4">
        <v>8750269</v>
      </c>
      <c r="B227" s="4" t="s">
        <v>6211</v>
      </c>
      <c r="C227" s="4" t="s">
        <v>6212</v>
      </c>
      <c r="D227" s="4" t="s">
        <v>6213</v>
      </c>
      <c r="E227" s="4" t="s">
        <v>461</v>
      </c>
      <c r="F227" s="4" t="s">
        <v>4863</v>
      </c>
      <c r="G227" s="4">
        <v>1995</v>
      </c>
      <c r="H227" s="25">
        <v>35034</v>
      </c>
    </row>
    <row r="228" spans="1:11" ht="15.75" customHeight="1">
      <c r="A228" s="4">
        <v>30842329</v>
      </c>
      <c r="B228" s="4" t="s">
        <v>5481</v>
      </c>
      <c r="C228" s="4" t="s">
        <v>5482</v>
      </c>
      <c r="D228" s="4" t="s">
        <v>5483</v>
      </c>
      <c r="E228" s="4" t="s">
        <v>4407</v>
      </c>
      <c r="F228" s="4" t="s">
        <v>4891</v>
      </c>
      <c r="G228" s="4">
        <v>2019</v>
      </c>
      <c r="H228" s="25">
        <v>43532</v>
      </c>
      <c r="I228" s="4" t="s">
        <v>5484</v>
      </c>
      <c r="K228" s="4" t="s">
        <v>4408</v>
      </c>
    </row>
    <row r="229" spans="1:11" ht="15.75" customHeight="1">
      <c r="A229" s="4">
        <v>30060604</v>
      </c>
      <c r="B229" s="4" t="s">
        <v>5345</v>
      </c>
      <c r="C229" s="4" t="s">
        <v>5346</v>
      </c>
      <c r="D229" s="4" t="s">
        <v>5347</v>
      </c>
      <c r="E229" s="4" t="s">
        <v>3882</v>
      </c>
      <c r="F229" s="4" t="s">
        <v>4842</v>
      </c>
      <c r="G229" s="4">
        <v>2018</v>
      </c>
      <c r="H229" s="25">
        <v>43313</v>
      </c>
      <c r="I229" s="4" t="s">
        <v>5348</v>
      </c>
      <c r="K229" s="4" t="s">
        <v>3883</v>
      </c>
    </row>
    <row r="230" spans="1:11" ht="15.75" customHeight="1">
      <c r="A230" s="4">
        <v>24006442</v>
      </c>
      <c r="B230" s="4" t="s">
        <v>5393</v>
      </c>
      <c r="C230" s="4" t="s">
        <v>5394</v>
      </c>
      <c r="D230" s="4" t="s">
        <v>5395</v>
      </c>
      <c r="E230" s="4" t="s">
        <v>4207</v>
      </c>
      <c r="F230" s="4" t="s">
        <v>4891</v>
      </c>
      <c r="G230" s="4">
        <v>2013</v>
      </c>
      <c r="H230" s="25">
        <v>41523</v>
      </c>
      <c r="I230" s="4" t="s">
        <v>5396</v>
      </c>
      <c r="K230" s="4" t="s">
        <v>4208</v>
      </c>
    </row>
    <row r="231" spans="1:11" ht="15.75" customHeight="1">
      <c r="A231" s="4">
        <v>16417932</v>
      </c>
      <c r="B231" s="4" t="s">
        <v>6437</v>
      </c>
      <c r="C231" s="4" t="s">
        <v>6438</v>
      </c>
      <c r="D231" s="4" t="s">
        <v>6439</v>
      </c>
      <c r="E231" s="4" t="s">
        <v>826</v>
      </c>
      <c r="F231" s="4" t="s">
        <v>5267</v>
      </c>
      <c r="G231" s="4">
        <v>2006</v>
      </c>
      <c r="H231" s="25">
        <v>38736</v>
      </c>
      <c r="K231" s="4" t="s">
        <v>829</v>
      </c>
    </row>
    <row r="232" spans="1:11" ht="15.75" customHeight="1">
      <c r="A232" s="4">
        <v>18433408</v>
      </c>
      <c r="B232" s="4" t="s">
        <v>6047</v>
      </c>
      <c r="C232" s="4" t="s">
        <v>6048</v>
      </c>
      <c r="D232" s="4" t="s">
        <v>6049</v>
      </c>
      <c r="E232" s="4" t="s">
        <v>3134</v>
      </c>
      <c r="F232" s="4" t="s">
        <v>5543</v>
      </c>
      <c r="G232" s="4">
        <v>2008</v>
      </c>
      <c r="H232" s="25">
        <v>39563</v>
      </c>
      <c r="K232" s="4" t="s">
        <v>3135</v>
      </c>
    </row>
    <row r="233" spans="1:11" ht="15.75" customHeight="1">
      <c r="A233" s="4">
        <v>15196082</v>
      </c>
      <c r="B233" s="4" t="s">
        <v>6044</v>
      </c>
      <c r="C233" s="4" t="s">
        <v>6045</v>
      </c>
      <c r="D233" s="4" t="s">
        <v>6046</v>
      </c>
      <c r="E233" s="4" t="s">
        <v>1303</v>
      </c>
      <c r="F233" s="4" t="s">
        <v>5726</v>
      </c>
      <c r="G233" s="4">
        <v>2004</v>
      </c>
      <c r="H233" s="25">
        <v>38154</v>
      </c>
      <c r="K233" s="4" t="s">
        <v>1306</v>
      </c>
    </row>
    <row r="234" spans="1:11" ht="15.75" customHeight="1">
      <c r="A234" s="4">
        <v>12580952</v>
      </c>
      <c r="B234" s="4" t="s">
        <v>6470</v>
      </c>
      <c r="C234" s="4" t="s">
        <v>6471</v>
      </c>
      <c r="D234" s="4" t="s">
        <v>6472</v>
      </c>
      <c r="E234" s="4" t="s">
        <v>1664</v>
      </c>
      <c r="F234" s="4" t="s">
        <v>5211</v>
      </c>
      <c r="G234" s="4">
        <v>2003</v>
      </c>
      <c r="H234" s="25">
        <v>37665</v>
      </c>
      <c r="K234" s="4" t="s">
        <v>1673</v>
      </c>
    </row>
    <row r="235" spans="1:11" ht="15.75" customHeight="1">
      <c r="A235" s="4">
        <v>30418598</v>
      </c>
      <c r="B235" s="4" t="s">
        <v>5299</v>
      </c>
      <c r="C235" s="4" t="s">
        <v>5300</v>
      </c>
      <c r="D235" s="4" t="s">
        <v>5301</v>
      </c>
      <c r="E235" s="4" t="s">
        <v>4556</v>
      </c>
      <c r="F235" s="4" t="s">
        <v>4992</v>
      </c>
      <c r="G235" s="4">
        <v>2019</v>
      </c>
      <c r="H235" s="25">
        <v>43417</v>
      </c>
      <c r="K235" s="4" t="s">
        <v>4557</v>
      </c>
    </row>
    <row r="236" spans="1:11" ht="15.75" customHeight="1">
      <c r="A236" s="4">
        <v>1649319</v>
      </c>
      <c r="B236" s="4" t="s">
        <v>5899</v>
      </c>
      <c r="C236" s="4" t="s">
        <v>5900</v>
      </c>
      <c r="D236" s="4" t="s">
        <v>5901</v>
      </c>
      <c r="E236" s="4" t="s">
        <v>2061</v>
      </c>
      <c r="F236" s="4" t="s">
        <v>4891</v>
      </c>
      <c r="G236" s="4">
        <v>1991</v>
      </c>
      <c r="H236" s="25">
        <v>33451</v>
      </c>
      <c r="I236" s="4" t="s">
        <v>5902</v>
      </c>
      <c r="K236" s="4" t="s">
        <v>2062</v>
      </c>
    </row>
    <row r="237" spans="1:11" ht="15.75" customHeight="1">
      <c r="A237" s="4">
        <v>21064150</v>
      </c>
      <c r="B237" s="4" t="s">
        <v>6268</v>
      </c>
      <c r="C237" s="4" t="s">
        <v>6269</v>
      </c>
      <c r="D237" s="4" t="s">
        <v>6270</v>
      </c>
      <c r="E237" s="4" t="s">
        <v>4101</v>
      </c>
      <c r="F237" s="4" t="s">
        <v>5652</v>
      </c>
      <c r="G237" s="4">
        <v>2011</v>
      </c>
      <c r="H237" s="25">
        <v>40493</v>
      </c>
      <c r="K237" s="4" t="s">
        <v>4102</v>
      </c>
    </row>
    <row r="238" spans="1:11" ht="15.75" customHeight="1">
      <c r="A238" s="4">
        <v>22886850</v>
      </c>
      <c r="B238" s="4" t="s">
        <v>5564</v>
      </c>
      <c r="C238" s="4" t="s">
        <v>5565</v>
      </c>
      <c r="D238" s="4" t="s">
        <v>5566</v>
      </c>
      <c r="E238" s="4" t="s">
        <v>723</v>
      </c>
      <c r="F238" s="4" t="s">
        <v>5567</v>
      </c>
      <c r="G238" s="4">
        <v>2012</v>
      </c>
      <c r="H238" s="25">
        <v>41135</v>
      </c>
      <c r="K238" s="4" t="s">
        <v>3137</v>
      </c>
    </row>
    <row r="239" spans="1:11" ht="15.75" customHeight="1">
      <c r="A239" s="4">
        <v>10377191</v>
      </c>
      <c r="B239" s="4" t="s">
        <v>5167</v>
      </c>
      <c r="C239" s="4" t="s">
        <v>5168</v>
      </c>
      <c r="D239" s="4" t="s">
        <v>5169</v>
      </c>
      <c r="E239" s="4" t="s">
        <v>2169</v>
      </c>
      <c r="F239" s="4" t="s">
        <v>5170</v>
      </c>
      <c r="G239" s="4">
        <v>1999</v>
      </c>
      <c r="H239" s="25">
        <v>36333</v>
      </c>
      <c r="I239" s="4" t="s">
        <v>5171</v>
      </c>
      <c r="K239" s="4" t="s">
        <v>2170</v>
      </c>
    </row>
    <row r="240" spans="1:11" ht="15.75" customHeight="1">
      <c r="A240" s="4">
        <v>25122795</v>
      </c>
      <c r="B240" s="4" t="s">
        <v>6166</v>
      </c>
      <c r="C240" s="4" t="s">
        <v>6167</v>
      </c>
      <c r="D240" s="4" t="s">
        <v>6168</v>
      </c>
      <c r="E240" s="4" t="s">
        <v>2471</v>
      </c>
      <c r="F240" s="4" t="s">
        <v>4891</v>
      </c>
      <c r="G240" s="4">
        <v>2014</v>
      </c>
      <c r="H240" s="25">
        <v>41866</v>
      </c>
      <c r="I240" s="4" t="s">
        <v>6169</v>
      </c>
      <c r="K240" s="4" t="s">
        <v>2472</v>
      </c>
    </row>
    <row r="241" spans="1:11" ht="15.75" customHeight="1">
      <c r="A241" s="4">
        <v>34973500</v>
      </c>
      <c r="B241" s="4" t="s">
        <v>5416</v>
      </c>
      <c r="C241" s="4" t="s">
        <v>5417</v>
      </c>
      <c r="D241" s="4" t="s">
        <v>5418</v>
      </c>
      <c r="E241" s="4" t="s">
        <v>4522</v>
      </c>
      <c r="F241" s="4" t="s">
        <v>5419</v>
      </c>
      <c r="G241" s="4">
        <v>2022</v>
      </c>
      <c r="H241" s="25">
        <v>44562</v>
      </c>
      <c r="K241" s="4" t="s">
        <v>4523</v>
      </c>
    </row>
    <row r="242" spans="1:11" ht="15.75" customHeight="1">
      <c r="A242" s="4">
        <v>27076241</v>
      </c>
      <c r="B242" s="4" t="s">
        <v>5235</v>
      </c>
      <c r="C242" s="4" t="s">
        <v>4968</v>
      </c>
      <c r="D242" s="4" t="s">
        <v>5236</v>
      </c>
      <c r="E242" s="4" t="s">
        <v>151</v>
      </c>
      <c r="F242" s="4" t="s">
        <v>5047</v>
      </c>
      <c r="G242" s="4">
        <v>2016</v>
      </c>
      <c r="H242" s="25">
        <v>42475</v>
      </c>
      <c r="K242" s="4" t="s">
        <v>3420</v>
      </c>
    </row>
    <row r="243" spans="1:11" ht="15.75" customHeight="1">
      <c r="A243" s="4">
        <v>17376932</v>
      </c>
      <c r="B243" s="4" t="s">
        <v>6360</v>
      </c>
      <c r="C243" s="4" t="s">
        <v>6361</v>
      </c>
      <c r="D243" s="4" t="s">
        <v>6362</v>
      </c>
      <c r="E243" s="4" t="s">
        <v>2561</v>
      </c>
      <c r="F243" s="4" t="s">
        <v>4891</v>
      </c>
      <c r="G243" s="4">
        <v>2007</v>
      </c>
      <c r="H243" s="25">
        <v>39164</v>
      </c>
      <c r="I243" s="4" t="s">
        <v>6363</v>
      </c>
      <c r="K243" s="4" t="s">
        <v>2562</v>
      </c>
    </row>
    <row r="244" spans="1:11" ht="15.75" customHeight="1">
      <c r="A244" s="4">
        <v>9060695</v>
      </c>
      <c r="B244" s="4" t="s">
        <v>6402</v>
      </c>
      <c r="C244" s="4" t="s">
        <v>6403</v>
      </c>
      <c r="D244" s="4" t="s">
        <v>6404</v>
      </c>
      <c r="E244" s="4" t="s">
        <v>4338</v>
      </c>
      <c r="F244" s="4" t="s">
        <v>4891</v>
      </c>
      <c r="G244" s="4">
        <v>1997</v>
      </c>
      <c r="H244" s="25">
        <v>35521</v>
      </c>
      <c r="I244" s="4" t="s">
        <v>6405</v>
      </c>
      <c r="K244" s="4" t="s">
        <v>4339</v>
      </c>
    </row>
    <row r="245" spans="1:11" ht="15.75" customHeight="1">
      <c r="A245" s="4">
        <v>23152545</v>
      </c>
      <c r="B245" s="4" t="s">
        <v>5340</v>
      </c>
      <c r="C245" s="4" t="s">
        <v>5341</v>
      </c>
      <c r="D245" s="4" t="s">
        <v>5342</v>
      </c>
      <c r="E245" s="4" t="s">
        <v>601</v>
      </c>
      <c r="F245" s="4" t="s">
        <v>5343</v>
      </c>
      <c r="G245" s="4">
        <v>2013</v>
      </c>
      <c r="H245" s="25">
        <v>41229</v>
      </c>
      <c r="I245" s="4" t="s">
        <v>5344</v>
      </c>
      <c r="K245" s="4" t="s">
        <v>602</v>
      </c>
    </row>
    <row r="246" spans="1:11" ht="15.75" customHeight="1">
      <c r="A246" s="4">
        <v>7681936</v>
      </c>
      <c r="B246" s="4" t="s">
        <v>5522</v>
      </c>
      <c r="C246" s="4" t="s">
        <v>5523</v>
      </c>
      <c r="D246" s="4" t="s">
        <v>5524</v>
      </c>
      <c r="E246" s="4" t="s">
        <v>3041</v>
      </c>
      <c r="F246" s="4" t="s">
        <v>4813</v>
      </c>
      <c r="G246" s="4">
        <v>1993</v>
      </c>
      <c r="H246" s="25">
        <v>34060</v>
      </c>
      <c r="K246" s="4" t="s">
        <v>3049</v>
      </c>
    </row>
    <row r="247" spans="1:11" ht="15.75" customHeight="1">
      <c r="A247" s="4">
        <v>24013234</v>
      </c>
      <c r="B247" s="4" t="s">
        <v>5183</v>
      </c>
      <c r="C247" s="4" t="s">
        <v>5184</v>
      </c>
      <c r="D247" s="4" t="s">
        <v>5185</v>
      </c>
      <c r="E247" s="4" t="s">
        <v>2944</v>
      </c>
      <c r="F247" s="4" t="s">
        <v>5186</v>
      </c>
      <c r="G247" s="4">
        <v>2014</v>
      </c>
      <c r="H247" s="25">
        <v>41527</v>
      </c>
      <c r="I247" s="4" t="s">
        <v>5187</v>
      </c>
      <c r="K247" s="4" t="s">
        <v>2945</v>
      </c>
    </row>
    <row r="248" spans="1:11" ht="15.75" customHeight="1">
      <c r="A248" s="4">
        <v>8601223</v>
      </c>
      <c r="B248" s="4" t="s">
        <v>6113</v>
      </c>
      <c r="C248" s="4" t="s">
        <v>6073</v>
      </c>
      <c r="D248" s="4" t="s">
        <v>6114</v>
      </c>
      <c r="E248" s="4" t="s">
        <v>2724</v>
      </c>
      <c r="F248" s="4" t="s">
        <v>6115</v>
      </c>
      <c r="G248" s="4">
        <v>1996</v>
      </c>
      <c r="H248" s="25">
        <v>35156</v>
      </c>
      <c r="K248" s="4" t="s">
        <v>2727</v>
      </c>
    </row>
    <row r="249" spans="1:11" ht="15.75" customHeight="1">
      <c r="A249" s="4">
        <v>30844089</v>
      </c>
      <c r="B249" s="4" t="s">
        <v>5240</v>
      </c>
      <c r="C249" s="4" t="s">
        <v>5241</v>
      </c>
      <c r="D249" s="4" t="s">
        <v>5242</v>
      </c>
      <c r="E249" s="4" t="s">
        <v>3552</v>
      </c>
      <c r="F249" s="4" t="s">
        <v>5243</v>
      </c>
      <c r="G249" s="4">
        <v>2019</v>
      </c>
      <c r="H249" s="25">
        <v>43532</v>
      </c>
      <c r="K249" s="4" t="s">
        <v>3553</v>
      </c>
    </row>
    <row r="250" spans="1:11" ht="15.75" customHeight="1">
      <c r="A250" s="4">
        <v>25971271</v>
      </c>
      <c r="B250" s="4" t="s">
        <v>6328</v>
      </c>
      <c r="C250" s="4" t="s">
        <v>6329</v>
      </c>
      <c r="D250" s="4" t="s">
        <v>6330</v>
      </c>
      <c r="E250" s="4" t="s">
        <v>3894</v>
      </c>
      <c r="F250" s="4" t="s">
        <v>5047</v>
      </c>
      <c r="G250" s="4">
        <v>2015</v>
      </c>
      <c r="H250" s="25">
        <v>42139</v>
      </c>
      <c r="K250" s="4" t="s">
        <v>3895</v>
      </c>
    </row>
    <row r="251" spans="1:11" ht="15.75" customHeight="1">
      <c r="A251" s="4">
        <v>26458456</v>
      </c>
      <c r="B251" s="4" t="s">
        <v>5516</v>
      </c>
      <c r="C251" s="4" t="s">
        <v>4968</v>
      </c>
      <c r="D251" s="4" t="s">
        <v>5517</v>
      </c>
      <c r="E251" s="4" t="s">
        <v>151</v>
      </c>
      <c r="F251" s="4" t="s">
        <v>5047</v>
      </c>
      <c r="G251" s="4">
        <v>2015</v>
      </c>
      <c r="H251" s="25">
        <v>42291</v>
      </c>
      <c r="K251" s="4" t="s">
        <v>3422</v>
      </c>
    </row>
    <row r="252" spans="1:11" ht="15.75" customHeight="1">
      <c r="A252" s="4">
        <v>9603340</v>
      </c>
      <c r="B252" s="4" t="s">
        <v>6434</v>
      </c>
      <c r="C252" s="4" t="s">
        <v>6435</v>
      </c>
      <c r="D252" s="4" t="s">
        <v>6436</v>
      </c>
      <c r="E252" s="4" t="s">
        <v>4494</v>
      </c>
      <c r="F252" s="4" t="s">
        <v>4966</v>
      </c>
      <c r="G252" s="4">
        <v>1998</v>
      </c>
      <c r="H252" s="25">
        <v>35944</v>
      </c>
      <c r="K252" s="4" t="s">
        <v>4495</v>
      </c>
    </row>
    <row r="253" spans="1:11" ht="15.75" customHeight="1">
      <c r="A253" s="4">
        <v>14744020</v>
      </c>
      <c r="B253" s="4" t="s">
        <v>5231</v>
      </c>
      <c r="C253" s="4" t="s">
        <v>5232</v>
      </c>
      <c r="D253" s="4" t="s">
        <v>5233</v>
      </c>
      <c r="E253" s="4" t="s">
        <v>243</v>
      </c>
      <c r="F253" s="4" t="s">
        <v>5234</v>
      </c>
      <c r="G253" s="4">
        <v>2003</v>
      </c>
      <c r="H253" s="25">
        <v>38014</v>
      </c>
    </row>
    <row r="254" spans="1:11" ht="15.75" customHeight="1">
      <c r="A254" s="4">
        <v>17516391</v>
      </c>
      <c r="B254" s="4" t="s">
        <v>6196</v>
      </c>
      <c r="C254" s="4" t="s">
        <v>6197</v>
      </c>
      <c r="D254" s="4" t="s">
        <v>6198</v>
      </c>
      <c r="E254" s="4" t="s">
        <v>3624</v>
      </c>
      <c r="F254" s="4" t="s">
        <v>5080</v>
      </c>
      <c r="G254" s="4">
        <v>2007</v>
      </c>
      <c r="H254" s="25">
        <v>39225</v>
      </c>
      <c r="K254" s="4" t="s">
        <v>3625</v>
      </c>
    </row>
    <row r="255" spans="1:11" ht="15.75" customHeight="1">
      <c r="A255" s="4">
        <v>26121112</v>
      </c>
      <c r="B255" s="4" t="s">
        <v>5320</v>
      </c>
      <c r="C255" s="4" t="s">
        <v>5321</v>
      </c>
      <c r="D255" s="4" t="s">
        <v>5322</v>
      </c>
      <c r="E255" s="4" t="s">
        <v>221</v>
      </c>
      <c r="F255" s="4" t="s">
        <v>4863</v>
      </c>
      <c r="G255" s="4">
        <v>2015</v>
      </c>
      <c r="H255" s="25">
        <v>42185</v>
      </c>
      <c r="I255" s="4" t="s">
        <v>5323</v>
      </c>
      <c r="J255" s="4" t="s">
        <v>5324</v>
      </c>
      <c r="K255" s="4" t="s">
        <v>624</v>
      </c>
    </row>
    <row r="256" spans="1:11" ht="15.75" customHeight="1">
      <c r="A256" s="4">
        <v>7645258</v>
      </c>
      <c r="B256" s="4" t="s">
        <v>6419</v>
      </c>
      <c r="C256" s="4" t="s">
        <v>6420</v>
      </c>
      <c r="D256" s="4" t="s">
        <v>6421</v>
      </c>
      <c r="E256" s="4" t="s">
        <v>4003</v>
      </c>
      <c r="F256" s="4" t="s">
        <v>4950</v>
      </c>
      <c r="G256" s="4">
        <v>1995</v>
      </c>
      <c r="H256" s="25">
        <v>34931</v>
      </c>
      <c r="K256" s="4" t="s">
        <v>4004</v>
      </c>
    </row>
    <row r="257" spans="1:11" ht="15.75" customHeight="1">
      <c r="A257" s="4">
        <v>7626174</v>
      </c>
      <c r="B257" s="4" t="s">
        <v>6425</v>
      </c>
      <c r="C257" s="4" t="s">
        <v>6426</v>
      </c>
      <c r="D257" s="4" t="s">
        <v>6427</v>
      </c>
      <c r="E257" s="4" t="s">
        <v>2422</v>
      </c>
      <c r="F257" s="4" t="s">
        <v>4900</v>
      </c>
      <c r="G257" s="4">
        <v>1995</v>
      </c>
      <c r="H257" s="25">
        <v>34700</v>
      </c>
      <c r="K257" s="4" t="s">
        <v>2423</v>
      </c>
    </row>
    <row r="258" spans="1:11" ht="15.75" customHeight="1">
      <c r="A258" s="4">
        <v>19898212</v>
      </c>
      <c r="B258" s="4" t="s">
        <v>6344</v>
      </c>
      <c r="C258" s="4" t="s">
        <v>6345</v>
      </c>
      <c r="D258" s="4" t="s">
        <v>6346</v>
      </c>
      <c r="E258" s="4" t="s">
        <v>233</v>
      </c>
      <c r="F258" s="4" t="s">
        <v>5445</v>
      </c>
      <c r="G258" s="4">
        <v>2009</v>
      </c>
      <c r="H258" s="25">
        <v>40127</v>
      </c>
      <c r="K258" s="4" t="s">
        <v>2569</v>
      </c>
    </row>
    <row r="259" spans="1:11" ht="15.75" customHeight="1">
      <c r="A259" s="4">
        <v>7638436</v>
      </c>
      <c r="B259" s="4" t="s">
        <v>6446</v>
      </c>
      <c r="C259" s="4" t="s">
        <v>6447</v>
      </c>
      <c r="D259" s="4" t="s">
        <v>6448</v>
      </c>
      <c r="E259" s="4" t="s">
        <v>1651</v>
      </c>
      <c r="F259" s="4" t="s">
        <v>6093</v>
      </c>
      <c r="G259" s="4">
        <v>1995</v>
      </c>
      <c r="H259" s="25">
        <v>34759</v>
      </c>
      <c r="K259" s="4" t="s">
        <v>1652</v>
      </c>
    </row>
    <row r="260" spans="1:11" ht="15.75" customHeight="1">
      <c r="A260" s="4">
        <v>17172120</v>
      </c>
      <c r="B260" s="4" t="s">
        <v>6432</v>
      </c>
      <c r="C260" s="4" t="s">
        <v>6149</v>
      </c>
      <c r="D260" s="4" t="s">
        <v>6433</v>
      </c>
      <c r="E260" s="4" t="s">
        <v>177</v>
      </c>
      <c r="F260" s="4" t="s">
        <v>5874</v>
      </c>
      <c r="G260" s="4">
        <v>2006</v>
      </c>
      <c r="H260" s="25">
        <v>39070</v>
      </c>
    </row>
    <row r="261" spans="1:11" ht="15.75" customHeight="1">
      <c r="A261" s="4">
        <v>29491155</v>
      </c>
      <c r="B261" s="4" t="s">
        <v>5272</v>
      </c>
      <c r="C261" s="4" t="s">
        <v>5273</v>
      </c>
      <c r="D261" s="4" t="s">
        <v>5274</v>
      </c>
      <c r="E261" s="4" t="s">
        <v>2211</v>
      </c>
      <c r="F261" s="4" t="s">
        <v>4891</v>
      </c>
      <c r="G261" s="4">
        <v>2018</v>
      </c>
      <c r="H261" s="25">
        <v>43161</v>
      </c>
      <c r="I261" s="4" t="s">
        <v>5275</v>
      </c>
      <c r="K261" s="4" t="s">
        <v>2212</v>
      </c>
    </row>
    <row r="262" spans="1:11" ht="15.75" customHeight="1">
      <c r="A262" s="4">
        <v>12951217</v>
      </c>
      <c r="B262" s="4" t="s">
        <v>5264</v>
      </c>
      <c r="C262" s="4" t="s">
        <v>5265</v>
      </c>
      <c r="D262" s="4" t="s">
        <v>5266</v>
      </c>
      <c r="E262" s="4" t="s">
        <v>3837</v>
      </c>
      <c r="F262" s="4" t="s">
        <v>5267</v>
      </c>
      <c r="G262" s="4">
        <v>2003</v>
      </c>
      <c r="H262" s="25">
        <v>37867</v>
      </c>
      <c r="K262" s="4" t="s">
        <v>3840</v>
      </c>
    </row>
    <row r="263" spans="1:11" ht="15.75" customHeight="1">
      <c r="A263" s="4">
        <v>25346365</v>
      </c>
      <c r="B263" s="4" t="s">
        <v>5628</v>
      </c>
      <c r="C263" s="4" t="s">
        <v>5629</v>
      </c>
      <c r="D263" s="4" t="s">
        <v>5630</v>
      </c>
      <c r="E263" s="4" t="s">
        <v>2558</v>
      </c>
      <c r="F263" s="4" t="s">
        <v>5163</v>
      </c>
      <c r="G263" s="4">
        <v>2015</v>
      </c>
      <c r="H263" s="25">
        <v>41940</v>
      </c>
      <c r="K263" s="4" t="s">
        <v>2559</v>
      </c>
    </row>
    <row r="264" spans="1:11" ht="15.75" customHeight="1">
      <c r="A264" s="4">
        <v>22701693</v>
      </c>
      <c r="B264" s="4" t="s">
        <v>5403</v>
      </c>
      <c r="C264" s="4" t="s">
        <v>5404</v>
      </c>
      <c r="D264" s="4" t="s">
        <v>5405</v>
      </c>
      <c r="E264" s="4" t="s">
        <v>3402</v>
      </c>
      <c r="F264" s="4" t="s">
        <v>4978</v>
      </c>
      <c r="G264" s="4">
        <v>2012</v>
      </c>
      <c r="H264" s="25">
        <v>41076</v>
      </c>
      <c r="I264" s="4" t="s">
        <v>5406</v>
      </c>
      <c r="K264" s="4" t="s">
        <v>3403</v>
      </c>
    </row>
    <row r="265" spans="1:11" ht="15.75" customHeight="1">
      <c r="A265" s="4">
        <v>18952495</v>
      </c>
      <c r="B265" s="4" t="s">
        <v>6357</v>
      </c>
      <c r="C265" s="4" t="s">
        <v>6358</v>
      </c>
      <c r="D265" s="4" t="s">
        <v>6359</v>
      </c>
      <c r="E265" s="4" t="s">
        <v>2507</v>
      </c>
      <c r="F265" s="4" t="s">
        <v>4896</v>
      </c>
      <c r="G265" s="4">
        <v>2009</v>
      </c>
      <c r="H265" s="25">
        <v>39749</v>
      </c>
      <c r="K265" s="4" t="s">
        <v>2508</v>
      </c>
    </row>
    <row r="266" spans="1:11" ht="15.75" customHeight="1">
      <c r="A266" s="4">
        <v>20211581</v>
      </c>
      <c r="B266" s="4" t="s">
        <v>5306</v>
      </c>
      <c r="C266" s="4" t="s">
        <v>5307</v>
      </c>
      <c r="D266" s="4" t="s">
        <v>5308</v>
      </c>
      <c r="E266" s="4" t="s">
        <v>1543</v>
      </c>
      <c r="F266" s="4" t="s">
        <v>4896</v>
      </c>
      <c r="G266" s="4">
        <v>2010</v>
      </c>
      <c r="H266" s="25">
        <v>40247</v>
      </c>
      <c r="I266" s="4" t="s">
        <v>5309</v>
      </c>
      <c r="J266" s="4" t="s">
        <v>5310</v>
      </c>
      <c r="K266" s="4" t="s">
        <v>1546</v>
      </c>
    </row>
    <row r="267" spans="1:11" ht="15.75" customHeight="1">
      <c r="A267" s="4">
        <v>15164383</v>
      </c>
      <c r="B267" s="4" t="s">
        <v>6389</v>
      </c>
      <c r="C267" s="4" t="s">
        <v>6390</v>
      </c>
      <c r="D267" s="4" t="s">
        <v>6391</v>
      </c>
      <c r="E267" s="4" t="s">
        <v>1300</v>
      </c>
      <c r="F267" s="4" t="s">
        <v>5291</v>
      </c>
      <c r="G267" s="4">
        <v>2004</v>
      </c>
      <c r="H267" s="25">
        <v>38135</v>
      </c>
      <c r="K267" s="4" t="s">
        <v>1301</v>
      </c>
    </row>
    <row r="268" spans="1:11" ht="15.75" customHeight="1">
      <c r="A268" s="4">
        <v>18489054</v>
      </c>
      <c r="B268" s="4" t="s">
        <v>6392</v>
      </c>
      <c r="C268" s="4" t="s">
        <v>6393</v>
      </c>
      <c r="D268" s="4" t="s">
        <v>6394</v>
      </c>
      <c r="E268" s="4" t="s">
        <v>1905</v>
      </c>
      <c r="F268" s="4" t="s">
        <v>6395</v>
      </c>
      <c r="G268" s="4">
        <v>2008</v>
      </c>
      <c r="H268" s="25">
        <v>39613</v>
      </c>
      <c r="K268" s="4" t="s">
        <v>1910</v>
      </c>
    </row>
    <row r="269" spans="1:11" ht="15.75" customHeight="1">
      <c r="A269" s="4">
        <v>30067953</v>
      </c>
      <c r="B269" s="4" t="s">
        <v>5457</v>
      </c>
      <c r="C269" s="4" t="s">
        <v>5458</v>
      </c>
      <c r="D269" s="4" t="s">
        <v>5459</v>
      </c>
      <c r="E269" s="4" t="s">
        <v>271</v>
      </c>
      <c r="F269" s="4" t="s">
        <v>5076</v>
      </c>
      <c r="G269" s="4">
        <v>2018</v>
      </c>
      <c r="H269" s="25">
        <v>43314</v>
      </c>
      <c r="K269" s="4" t="s">
        <v>402</v>
      </c>
    </row>
    <row r="270" spans="1:11" ht="15.75" customHeight="1">
      <c r="A270" s="4">
        <v>23526966</v>
      </c>
      <c r="B270" s="4" t="s">
        <v>4975</v>
      </c>
      <c r="C270" s="4" t="s">
        <v>4976</v>
      </c>
      <c r="D270" s="4" t="s">
        <v>4977</v>
      </c>
      <c r="E270" s="4" t="s">
        <v>2249</v>
      </c>
      <c r="F270" s="4" t="s">
        <v>4978</v>
      </c>
      <c r="G270" s="4">
        <v>2013</v>
      </c>
      <c r="H270" s="25">
        <v>41359</v>
      </c>
      <c r="I270" s="4" t="s">
        <v>4979</v>
      </c>
      <c r="K270" s="4" t="s">
        <v>2250</v>
      </c>
    </row>
    <row r="271" spans="1:11" ht="15.75" customHeight="1">
      <c r="A271" s="4">
        <v>26945690</v>
      </c>
      <c r="B271" s="4" t="s">
        <v>5427</v>
      </c>
      <c r="C271" s="4" t="s">
        <v>5428</v>
      </c>
      <c r="D271" s="4" t="s">
        <v>5429</v>
      </c>
      <c r="E271" s="4" t="s">
        <v>654</v>
      </c>
      <c r="F271" s="4" t="s">
        <v>4923</v>
      </c>
      <c r="G271" s="4">
        <v>2016</v>
      </c>
      <c r="H271" s="25">
        <v>42436</v>
      </c>
      <c r="K271" s="4" t="s">
        <v>2481</v>
      </c>
    </row>
    <row r="272" spans="1:11" ht="15.75" customHeight="1">
      <c r="A272" s="4">
        <v>2161152</v>
      </c>
      <c r="B272" s="4" t="s">
        <v>5382</v>
      </c>
      <c r="C272" s="4" t="s">
        <v>5383</v>
      </c>
      <c r="D272" s="4" t="s">
        <v>5384</v>
      </c>
      <c r="E272" s="4" t="s">
        <v>3466</v>
      </c>
      <c r="F272" s="4" t="s">
        <v>4950</v>
      </c>
      <c r="G272" s="4">
        <v>1990</v>
      </c>
      <c r="H272" s="25">
        <v>33025</v>
      </c>
      <c r="K272" s="4" t="s">
        <v>3467</v>
      </c>
    </row>
    <row r="273" spans="1:11" ht="15.75" customHeight="1">
      <c r="A273" s="4">
        <v>9746806</v>
      </c>
      <c r="B273" s="4" t="s">
        <v>6350</v>
      </c>
      <c r="C273" s="4" t="s">
        <v>6351</v>
      </c>
      <c r="D273" s="4" t="s">
        <v>6352</v>
      </c>
      <c r="E273" s="4" t="s">
        <v>195</v>
      </c>
      <c r="F273" s="4" t="s">
        <v>5343</v>
      </c>
      <c r="G273" s="4">
        <v>1998</v>
      </c>
      <c r="H273" s="25">
        <v>36063</v>
      </c>
    </row>
    <row r="274" spans="1:11" ht="15.75" customHeight="1">
      <c r="A274" s="4">
        <v>15815044</v>
      </c>
      <c r="B274" s="4" t="s">
        <v>6321</v>
      </c>
      <c r="C274" s="4" t="s">
        <v>6322</v>
      </c>
      <c r="D274" s="4" t="s">
        <v>6323</v>
      </c>
      <c r="E274" s="4" t="s">
        <v>1693</v>
      </c>
      <c r="F274" s="4" t="s">
        <v>5331</v>
      </c>
      <c r="G274" s="4">
        <v>2005</v>
      </c>
      <c r="H274" s="25">
        <v>38451</v>
      </c>
      <c r="I274" s="4" t="s">
        <v>6324</v>
      </c>
      <c r="K274" s="4" t="s">
        <v>1694</v>
      </c>
    </row>
    <row r="275" spans="1:11" ht="15.75" customHeight="1">
      <c r="A275" s="4">
        <v>21538037</v>
      </c>
      <c r="B275" s="4" t="s">
        <v>5268</v>
      </c>
      <c r="C275" s="4" t="s">
        <v>5269</v>
      </c>
      <c r="D275" s="4" t="s">
        <v>5270</v>
      </c>
      <c r="E275" s="4" t="s">
        <v>714</v>
      </c>
      <c r="F275" s="4" t="s">
        <v>5271</v>
      </c>
      <c r="G275" s="4">
        <v>2011</v>
      </c>
      <c r="H275" s="25">
        <v>40667</v>
      </c>
      <c r="K275" s="4" t="s">
        <v>715</v>
      </c>
    </row>
    <row r="276" spans="1:11" ht="15.75" customHeight="1">
      <c r="A276" s="4">
        <v>2573513</v>
      </c>
      <c r="B276" s="4" t="s">
        <v>6456</v>
      </c>
      <c r="C276" s="4" t="s">
        <v>6457</v>
      </c>
      <c r="D276" s="4" t="s">
        <v>6458</v>
      </c>
      <c r="E276" s="4" t="s">
        <v>1975</v>
      </c>
      <c r="F276" s="4" t="s">
        <v>6459</v>
      </c>
      <c r="G276" s="4">
        <v>1989</v>
      </c>
      <c r="H276" s="25">
        <v>32782</v>
      </c>
      <c r="I276" s="4" t="s">
        <v>6460</v>
      </c>
      <c r="K276" s="4" t="s">
        <v>1976</v>
      </c>
    </row>
    <row r="277" spans="1:11" ht="15.75" customHeight="1">
      <c r="A277" s="4">
        <v>26761397</v>
      </c>
      <c r="B277" s="4" t="s">
        <v>5528</v>
      </c>
      <c r="C277" s="4" t="s">
        <v>5529</v>
      </c>
      <c r="D277" s="4" t="s">
        <v>5530</v>
      </c>
      <c r="E277" s="4" t="s">
        <v>3094</v>
      </c>
      <c r="F277" s="4" t="s">
        <v>4950</v>
      </c>
      <c r="G277" s="4">
        <v>2016</v>
      </c>
      <c r="H277" s="25">
        <v>42383</v>
      </c>
      <c r="K277" s="4" t="s">
        <v>3095</v>
      </c>
    </row>
    <row r="278" spans="1:11" ht="15.75" customHeight="1">
      <c r="A278" s="4">
        <v>37559456</v>
      </c>
      <c r="B278" s="4" t="s">
        <v>5259</v>
      </c>
      <c r="C278" s="4" t="s">
        <v>5260</v>
      </c>
      <c r="D278" s="4" t="s">
        <v>10979</v>
      </c>
      <c r="E278" s="4" t="s">
        <v>4505</v>
      </c>
      <c r="F278" s="4" t="s">
        <v>5262</v>
      </c>
      <c r="G278" s="4">
        <v>2023</v>
      </c>
      <c r="H278" s="25">
        <v>45148</v>
      </c>
      <c r="I278" s="4" t="s">
        <v>5263</v>
      </c>
      <c r="K278" s="4" t="s">
        <v>4506</v>
      </c>
    </row>
    <row r="279" spans="1:11" ht="15.75" customHeight="1">
      <c r="A279" s="4">
        <v>10482553</v>
      </c>
      <c r="B279" s="4" t="s">
        <v>5370</v>
      </c>
      <c r="C279" s="4" t="s">
        <v>5371</v>
      </c>
      <c r="D279" s="4" t="s">
        <v>5372</v>
      </c>
      <c r="E279" s="4" t="s">
        <v>1893</v>
      </c>
      <c r="F279" s="4" t="s">
        <v>4891</v>
      </c>
      <c r="G279" s="4">
        <v>1999</v>
      </c>
      <c r="H279" s="25">
        <v>36414</v>
      </c>
      <c r="I279" s="4" t="s">
        <v>5373</v>
      </c>
      <c r="K279" s="4" t="s">
        <v>1894</v>
      </c>
    </row>
    <row r="280" spans="1:11" ht="15.75" customHeight="1">
      <c r="A280" s="4">
        <v>10836387</v>
      </c>
      <c r="B280" s="4" t="s">
        <v>5454</v>
      </c>
      <c r="C280" s="4" t="s">
        <v>5455</v>
      </c>
      <c r="D280" s="4" t="s">
        <v>5456</v>
      </c>
      <c r="E280" s="4" t="s">
        <v>596</v>
      </c>
      <c r="F280" s="4" t="s">
        <v>5445</v>
      </c>
      <c r="G280" s="4">
        <v>2000</v>
      </c>
      <c r="H280" s="25">
        <v>36680</v>
      </c>
      <c r="K280" s="4" t="s">
        <v>599</v>
      </c>
    </row>
    <row r="281" spans="1:11" ht="15.75" customHeight="1">
      <c r="A281" s="4">
        <v>1661364</v>
      </c>
      <c r="B281" s="4" t="s">
        <v>5497</v>
      </c>
      <c r="C281" s="4" t="s">
        <v>5498</v>
      </c>
      <c r="D281" s="4" t="s">
        <v>5499</v>
      </c>
      <c r="E281" s="4" t="s">
        <v>4514</v>
      </c>
      <c r="F281" s="4" t="s">
        <v>5163</v>
      </c>
      <c r="G281" s="4">
        <v>1991</v>
      </c>
      <c r="H281" s="25">
        <v>33239</v>
      </c>
      <c r="K281" s="4" t="s">
        <v>4515</v>
      </c>
    </row>
    <row r="282" spans="1:11" ht="15.75" customHeight="1">
      <c r="A282" s="4">
        <v>11753554</v>
      </c>
      <c r="B282" s="4" t="s">
        <v>6464</v>
      </c>
      <c r="C282" s="4" t="s">
        <v>6465</v>
      </c>
      <c r="D282" s="4" t="s">
        <v>6466</v>
      </c>
      <c r="E282" s="4" t="s">
        <v>1205</v>
      </c>
      <c r="F282" s="4" t="s">
        <v>4863</v>
      </c>
      <c r="G282" s="4">
        <v>2001</v>
      </c>
      <c r="H282" s="25">
        <v>37251</v>
      </c>
      <c r="K282" s="4" t="s">
        <v>1206</v>
      </c>
    </row>
    <row r="283" spans="1:11" ht="15.75" customHeight="1">
      <c r="A283" s="4">
        <v>16541415</v>
      </c>
      <c r="B283" s="4" t="s">
        <v>5355</v>
      </c>
      <c r="C283" s="4" t="s">
        <v>5356</v>
      </c>
      <c r="D283" s="4" t="s">
        <v>5357</v>
      </c>
      <c r="E283" s="4" t="s">
        <v>4566</v>
      </c>
      <c r="F283" s="4" t="s">
        <v>5358</v>
      </c>
      <c r="G283" s="4">
        <v>2006</v>
      </c>
      <c r="H283" s="25">
        <v>38793</v>
      </c>
      <c r="K283" s="4" t="s">
        <v>4567</v>
      </c>
    </row>
    <row r="284" spans="1:11" ht="15.75" customHeight="1">
      <c r="A284" s="4">
        <v>8815100</v>
      </c>
      <c r="B284" s="4" t="s">
        <v>5328</v>
      </c>
      <c r="C284" s="4" t="s">
        <v>5329</v>
      </c>
      <c r="D284" s="4" t="s">
        <v>5330</v>
      </c>
      <c r="E284" s="4" t="s">
        <v>539</v>
      </c>
      <c r="F284" s="4" t="s">
        <v>5331</v>
      </c>
      <c r="G284" s="4">
        <v>1996</v>
      </c>
      <c r="H284" s="25">
        <v>35156</v>
      </c>
      <c r="I284" s="4" t="s">
        <v>5332</v>
      </c>
      <c r="K284" s="4" t="s">
        <v>540</v>
      </c>
    </row>
    <row r="285" spans="1:11" ht="15.75" customHeight="1">
      <c r="A285" s="4">
        <v>9645656</v>
      </c>
      <c r="B285" s="4" t="s">
        <v>6452</v>
      </c>
      <c r="C285" s="4" t="s">
        <v>6453</v>
      </c>
      <c r="D285" s="4" t="s">
        <v>6454</v>
      </c>
      <c r="E285" s="4" t="s">
        <v>2891</v>
      </c>
      <c r="F285" s="4" t="s">
        <v>6455</v>
      </c>
      <c r="G285" s="4">
        <v>1998</v>
      </c>
      <c r="H285" s="25">
        <v>35976</v>
      </c>
      <c r="K285" s="4" t="s">
        <v>2892</v>
      </c>
    </row>
    <row r="286" spans="1:11" ht="15.75" customHeight="1">
      <c r="A286" s="4">
        <v>17147913</v>
      </c>
      <c r="B286" s="4" t="s">
        <v>5720</v>
      </c>
      <c r="C286" s="4" t="s">
        <v>5721</v>
      </c>
      <c r="D286" s="4" t="s">
        <v>5722</v>
      </c>
      <c r="E286" s="4" t="s">
        <v>2755</v>
      </c>
      <c r="F286" s="4" t="s">
        <v>5449</v>
      </c>
      <c r="G286" s="4">
        <v>2006</v>
      </c>
      <c r="H286" s="25">
        <v>39058</v>
      </c>
    </row>
    <row r="287" spans="1:11" ht="15.75" customHeight="1">
      <c r="A287" s="4">
        <v>9365899</v>
      </c>
      <c r="B287" s="4" t="s">
        <v>5525</v>
      </c>
      <c r="C287" s="4" t="s">
        <v>5526</v>
      </c>
      <c r="D287" s="4" t="s">
        <v>5527</v>
      </c>
      <c r="E287" s="4" t="s">
        <v>108</v>
      </c>
      <c r="F287" s="4" t="s">
        <v>4923</v>
      </c>
      <c r="G287" s="4">
        <v>1997</v>
      </c>
      <c r="H287" s="25">
        <v>35754</v>
      </c>
      <c r="K287" s="4" t="s">
        <v>312</v>
      </c>
    </row>
    <row r="288" spans="1:11" ht="15.75" customHeight="1">
      <c r="A288" s="4">
        <v>31063196</v>
      </c>
      <c r="B288" s="4" t="s">
        <v>5488</v>
      </c>
      <c r="C288" s="4" t="s">
        <v>5489</v>
      </c>
      <c r="D288" s="4" t="s">
        <v>5490</v>
      </c>
      <c r="E288" s="4" t="s">
        <v>775</v>
      </c>
      <c r="F288" s="4" t="s">
        <v>4992</v>
      </c>
      <c r="G288" s="4">
        <v>2019</v>
      </c>
      <c r="H288" s="25">
        <v>43593</v>
      </c>
      <c r="K288" s="4" t="s">
        <v>778</v>
      </c>
    </row>
    <row r="289" spans="1:11" ht="15.75" customHeight="1">
      <c r="A289" s="4">
        <v>9639435</v>
      </c>
      <c r="B289" s="4" t="s">
        <v>6379</v>
      </c>
      <c r="C289" s="4" t="s">
        <v>6380</v>
      </c>
      <c r="D289" s="4" t="s">
        <v>6381</v>
      </c>
      <c r="E289" s="4" t="s">
        <v>4706</v>
      </c>
      <c r="F289" s="4" t="s">
        <v>6382</v>
      </c>
      <c r="G289" s="4">
        <v>1998</v>
      </c>
      <c r="H289" s="25">
        <v>35971</v>
      </c>
      <c r="K289" s="4" t="s">
        <v>4707</v>
      </c>
    </row>
    <row r="290" spans="1:11" ht="15.75" customHeight="1">
      <c r="A290" s="4">
        <v>20863544</v>
      </c>
      <c r="B290" s="4" t="s">
        <v>5600</v>
      </c>
      <c r="C290" s="4" t="s">
        <v>5601</v>
      </c>
      <c r="D290" s="4" t="s">
        <v>5602</v>
      </c>
      <c r="E290" s="4" t="s">
        <v>4191</v>
      </c>
      <c r="F290" s="4" t="s">
        <v>4950</v>
      </c>
      <c r="G290" s="4">
        <v>2010</v>
      </c>
      <c r="H290" s="25">
        <v>40446</v>
      </c>
      <c r="K290" s="4" t="s">
        <v>4198</v>
      </c>
    </row>
    <row r="291" spans="1:11" ht="15.75" customHeight="1">
      <c r="A291" s="4">
        <v>9770435</v>
      </c>
      <c r="B291" s="4" t="s">
        <v>6217</v>
      </c>
      <c r="C291" s="4" t="s">
        <v>6218</v>
      </c>
      <c r="D291" s="4" t="s">
        <v>6219</v>
      </c>
      <c r="E291" s="4" t="s">
        <v>2955</v>
      </c>
      <c r="F291" s="4" t="s">
        <v>4950</v>
      </c>
      <c r="G291" s="4">
        <v>1998</v>
      </c>
      <c r="H291" s="25">
        <v>36083</v>
      </c>
      <c r="K291" s="4" t="s">
        <v>2956</v>
      </c>
    </row>
    <row r="292" spans="1:11" ht="15.75" customHeight="1">
      <c r="A292" s="4">
        <v>9920848</v>
      </c>
      <c r="B292" s="4" t="s">
        <v>5858</v>
      </c>
      <c r="C292" s="4" t="s">
        <v>5859</v>
      </c>
      <c r="D292" s="4" t="s">
        <v>5860</v>
      </c>
      <c r="E292" s="4" t="s">
        <v>4579</v>
      </c>
      <c r="F292" s="4" t="s">
        <v>5343</v>
      </c>
      <c r="G292" s="4">
        <v>1999</v>
      </c>
      <c r="H292" s="25">
        <v>36188</v>
      </c>
    </row>
    <row r="293" spans="1:11" ht="15.75" customHeight="1">
      <c r="A293" s="4">
        <v>35062266</v>
      </c>
      <c r="B293" s="4" t="s">
        <v>5638</v>
      </c>
      <c r="C293" s="4" t="s">
        <v>5639</v>
      </c>
      <c r="D293" s="4" t="s">
        <v>5640</v>
      </c>
      <c r="E293" s="4" t="s">
        <v>2529</v>
      </c>
      <c r="F293" s="4" t="s">
        <v>4842</v>
      </c>
      <c r="G293" s="4">
        <v>2021</v>
      </c>
      <c r="H293" s="25">
        <v>44583</v>
      </c>
      <c r="I293" s="4" t="s">
        <v>5641</v>
      </c>
      <c r="K293" s="4" t="s">
        <v>2530</v>
      </c>
    </row>
    <row r="294" spans="1:11" ht="15.75" customHeight="1">
      <c r="A294" s="4">
        <v>15543581</v>
      </c>
      <c r="B294" s="4" t="s">
        <v>5400</v>
      </c>
      <c r="C294" s="4" t="s">
        <v>5401</v>
      </c>
      <c r="D294" s="4" t="s">
        <v>5402</v>
      </c>
      <c r="E294" s="4" t="s">
        <v>1788</v>
      </c>
      <c r="F294" s="4" t="s">
        <v>4923</v>
      </c>
      <c r="G294" s="4">
        <v>2005</v>
      </c>
      <c r="H294" s="25">
        <v>38307</v>
      </c>
      <c r="K294" s="4" t="s">
        <v>1791</v>
      </c>
    </row>
    <row r="295" spans="1:11" ht="15.75" customHeight="1">
      <c r="A295" s="4">
        <v>1337259</v>
      </c>
      <c r="B295" s="4" t="s">
        <v>5430</v>
      </c>
      <c r="C295" s="4" t="s">
        <v>5431</v>
      </c>
      <c r="D295" s="4" t="s">
        <v>5432</v>
      </c>
      <c r="E295" s="4" t="s">
        <v>1654</v>
      </c>
      <c r="F295" s="4" t="s">
        <v>5433</v>
      </c>
      <c r="G295" s="4">
        <v>1992</v>
      </c>
      <c r="H295" s="25">
        <v>33939</v>
      </c>
      <c r="K295" s="4" t="s">
        <v>1657</v>
      </c>
    </row>
    <row r="296" spans="1:11" ht="15.75" customHeight="1">
      <c r="A296" s="4">
        <v>20459723</v>
      </c>
      <c r="B296" s="4" t="s">
        <v>5664</v>
      </c>
      <c r="C296" s="4" t="s">
        <v>5665</v>
      </c>
      <c r="D296" s="4" t="s">
        <v>5666</v>
      </c>
      <c r="E296" s="4" t="s">
        <v>3313</v>
      </c>
      <c r="F296" s="4" t="s">
        <v>4867</v>
      </c>
      <c r="G296" s="4">
        <v>2010</v>
      </c>
      <c r="H296" s="25">
        <v>40311</v>
      </c>
      <c r="I296" s="4" t="s">
        <v>5667</v>
      </c>
      <c r="K296" s="4" t="s">
        <v>3314</v>
      </c>
    </row>
    <row r="297" spans="1:11" ht="15.75" customHeight="1">
      <c r="A297" s="4">
        <v>8390614</v>
      </c>
      <c r="B297" s="4" t="s">
        <v>5374</v>
      </c>
      <c r="C297" s="4" t="s">
        <v>5375</v>
      </c>
      <c r="D297" s="4" t="s">
        <v>5376</v>
      </c>
      <c r="E297" s="4" t="s">
        <v>539</v>
      </c>
      <c r="F297" s="4" t="s">
        <v>5377</v>
      </c>
      <c r="G297" s="4">
        <v>1993</v>
      </c>
      <c r="H297" s="25">
        <v>34165</v>
      </c>
      <c r="K297" s="4" t="s">
        <v>1701</v>
      </c>
    </row>
    <row r="298" spans="1:11" ht="15.75" customHeight="1">
      <c r="A298" s="4">
        <v>27367597</v>
      </c>
      <c r="B298" s="4" t="s">
        <v>5713</v>
      </c>
      <c r="C298" s="4" t="s">
        <v>5714</v>
      </c>
      <c r="D298" s="4" t="s">
        <v>5715</v>
      </c>
      <c r="E298" s="4" t="s">
        <v>3128</v>
      </c>
      <c r="F298" s="4" t="s">
        <v>4978</v>
      </c>
      <c r="G298" s="4">
        <v>2016</v>
      </c>
      <c r="H298" s="25">
        <v>42553</v>
      </c>
      <c r="I298" s="4" t="s">
        <v>5716</v>
      </c>
      <c r="K298" s="4" t="s">
        <v>3129</v>
      </c>
    </row>
    <row r="299" spans="1:11" ht="15.75" customHeight="1">
      <c r="A299" s="4">
        <v>1654446</v>
      </c>
      <c r="B299" s="4" t="s">
        <v>6483</v>
      </c>
      <c r="C299" s="4" t="s">
        <v>6484</v>
      </c>
      <c r="D299" s="4" t="s">
        <v>6485</v>
      </c>
      <c r="E299" s="4" t="s">
        <v>3139</v>
      </c>
      <c r="F299" s="4" t="s">
        <v>4891</v>
      </c>
      <c r="G299" s="4">
        <v>1991</v>
      </c>
      <c r="H299" s="25">
        <v>33512</v>
      </c>
      <c r="I299" s="4" t="s">
        <v>6486</v>
      </c>
      <c r="K299" s="4" t="s">
        <v>3140</v>
      </c>
    </row>
    <row r="300" spans="1:11" ht="15.75" customHeight="1">
      <c r="A300" s="4">
        <v>19856545</v>
      </c>
      <c r="B300" s="4" t="s">
        <v>5446</v>
      </c>
      <c r="C300" s="4" t="s">
        <v>5447</v>
      </c>
      <c r="D300" s="4" t="s">
        <v>5448</v>
      </c>
      <c r="E300" s="4" t="s">
        <v>1664</v>
      </c>
      <c r="F300" s="4" t="s">
        <v>5449</v>
      </c>
      <c r="G300" s="4">
        <v>2008</v>
      </c>
      <c r="H300" s="25">
        <v>40114</v>
      </c>
    </row>
    <row r="301" spans="1:11" ht="15.75" customHeight="1">
      <c r="A301" s="4">
        <v>27344170</v>
      </c>
      <c r="B301" s="4" t="s">
        <v>5799</v>
      </c>
      <c r="C301" s="4" t="s">
        <v>5800</v>
      </c>
      <c r="D301" s="4" t="s">
        <v>5801</v>
      </c>
      <c r="E301" s="4" t="s">
        <v>3967</v>
      </c>
      <c r="F301" s="4" t="s">
        <v>5802</v>
      </c>
      <c r="G301" s="4">
        <v>2016</v>
      </c>
      <c r="H301" s="25">
        <v>42548</v>
      </c>
      <c r="I301" s="4" t="s">
        <v>5803</v>
      </c>
      <c r="K301" s="4" t="s">
        <v>3968</v>
      </c>
    </row>
    <row r="302" spans="1:11" ht="15.75" customHeight="1">
      <c r="A302" s="4">
        <v>33910132</v>
      </c>
      <c r="B302" s="4" t="s">
        <v>5500</v>
      </c>
      <c r="C302" s="4" t="s">
        <v>5501</v>
      </c>
      <c r="D302" s="4" t="s">
        <v>5502</v>
      </c>
      <c r="E302" s="4" t="s">
        <v>3566</v>
      </c>
      <c r="F302" s="4" t="s">
        <v>4896</v>
      </c>
      <c r="G302" s="4">
        <v>2021</v>
      </c>
      <c r="H302" s="25">
        <v>44314</v>
      </c>
      <c r="K302" s="4" t="s">
        <v>3567</v>
      </c>
    </row>
    <row r="303" spans="1:11" ht="15.75" customHeight="1">
      <c r="A303" s="4">
        <v>29684567</v>
      </c>
      <c r="B303" s="4" t="s">
        <v>5617</v>
      </c>
      <c r="C303" s="4" t="s">
        <v>5618</v>
      </c>
      <c r="D303" s="4" t="s">
        <v>5619</v>
      </c>
      <c r="E303" s="4" t="s">
        <v>3590</v>
      </c>
      <c r="F303" s="4" t="s">
        <v>5076</v>
      </c>
      <c r="G303" s="4">
        <v>2018</v>
      </c>
      <c r="H303" s="25">
        <v>43214</v>
      </c>
      <c r="I303" s="4" t="s">
        <v>5620</v>
      </c>
      <c r="J303" s="4" t="s">
        <v>5621</v>
      </c>
      <c r="K303" s="4" t="s">
        <v>3595</v>
      </c>
    </row>
    <row r="304" spans="1:11" ht="15.75" customHeight="1">
      <c r="A304" s="4">
        <v>10568761</v>
      </c>
      <c r="B304" s="4" t="s">
        <v>5531</v>
      </c>
      <c r="C304" s="4" t="s">
        <v>5532</v>
      </c>
      <c r="D304" s="4" t="s">
        <v>5533</v>
      </c>
      <c r="E304" s="4" t="s">
        <v>760</v>
      </c>
      <c r="F304" s="4" t="s">
        <v>4923</v>
      </c>
      <c r="G304" s="4">
        <v>2000</v>
      </c>
      <c r="H304" s="25">
        <v>36488</v>
      </c>
    </row>
    <row r="305" spans="1:11" ht="15.75" customHeight="1">
      <c r="A305" s="4">
        <v>7803806</v>
      </c>
      <c r="B305" s="4" t="s">
        <v>5967</v>
      </c>
      <c r="C305" s="4" t="s">
        <v>5968</v>
      </c>
      <c r="D305" s="4" t="s">
        <v>5969</v>
      </c>
      <c r="E305" s="4" t="s">
        <v>513</v>
      </c>
      <c r="F305" s="4" t="s">
        <v>5343</v>
      </c>
      <c r="G305" s="4">
        <v>1995</v>
      </c>
      <c r="H305" s="25">
        <v>34700</v>
      </c>
    </row>
    <row r="306" spans="1:11" ht="15.75" customHeight="1">
      <c r="A306" s="4">
        <v>25744043</v>
      </c>
      <c r="B306" s="4" t="s">
        <v>6422</v>
      </c>
      <c r="C306" s="4" t="s">
        <v>6423</v>
      </c>
      <c r="D306" s="4" t="s">
        <v>6424</v>
      </c>
      <c r="E306" s="4" t="s">
        <v>2794</v>
      </c>
      <c r="F306" s="4" t="s">
        <v>5047</v>
      </c>
      <c r="G306" s="4">
        <v>2014</v>
      </c>
      <c r="H306" s="25">
        <v>42070</v>
      </c>
      <c r="K306" s="4" t="s">
        <v>2795</v>
      </c>
    </row>
    <row r="307" spans="1:11" ht="15.75" customHeight="1">
      <c r="A307" s="4">
        <v>29212944</v>
      </c>
      <c r="B307" s="4" t="s">
        <v>5996</v>
      </c>
      <c r="C307" s="4" t="s">
        <v>5997</v>
      </c>
      <c r="D307" s="4" t="s">
        <v>5998</v>
      </c>
      <c r="E307" s="4" t="s">
        <v>4398</v>
      </c>
      <c r="F307" s="4" t="s">
        <v>4891</v>
      </c>
      <c r="G307" s="4">
        <v>2018</v>
      </c>
      <c r="H307" s="25">
        <v>43077</v>
      </c>
      <c r="I307" s="4" t="s">
        <v>5999</v>
      </c>
      <c r="K307" s="4" t="s">
        <v>4399</v>
      </c>
    </row>
    <row r="308" spans="1:11" ht="15.75" customHeight="1">
      <c r="A308" s="4">
        <v>1695370</v>
      </c>
      <c r="B308" s="4" t="s">
        <v>6428</v>
      </c>
      <c r="C308" s="4" t="s">
        <v>6429</v>
      </c>
      <c r="D308" s="4" t="s">
        <v>6430</v>
      </c>
      <c r="E308" s="4" t="s">
        <v>1728</v>
      </c>
      <c r="F308" s="4" t="s">
        <v>6431</v>
      </c>
      <c r="G308" s="4">
        <v>1990</v>
      </c>
      <c r="H308" s="25">
        <v>32874</v>
      </c>
      <c r="K308" s="4" t="s">
        <v>1729</v>
      </c>
    </row>
    <row r="309" spans="1:11" ht="15.75" customHeight="1">
      <c r="A309" s="4">
        <v>26815906</v>
      </c>
      <c r="B309" s="4" t="s">
        <v>5104</v>
      </c>
      <c r="C309" s="4" t="s">
        <v>5105</v>
      </c>
      <c r="D309" s="4" t="s">
        <v>5106</v>
      </c>
      <c r="E309" s="4" t="s">
        <v>2180</v>
      </c>
      <c r="F309" s="4" t="s">
        <v>4923</v>
      </c>
      <c r="G309" s="4">
        <v>2016</v>
      </c>
      <c r="H309" s="25">
        <v>42397</v>
      </c>
      <c r="K309" s="4" t="s">
        <v>2181</v>
      </c>
    </row>
    <row r="310" spans="1:11" ht="15.75" customHeight="1">
      <c r="A310" s="4">
        <v>18687640</v>
      </c>
      <c r="B310" s="4" t="s">
        <v>5420</v>
      </c>
      <c r="C310" s="4" t="s">
        <v>5421</v>
      </c>
      <c r="D310" s="4" t="s">
        <v>5422</v>
      </c>
      <c r="E310" s="4" t="s">
        <v>273</v>
      </c>
      <c r="F310" s="4" t="s">
        <v>5377</v>
      </c>
      <c r="G310" s="4">
        <v>2008</v>
      </c>
      <c r="H310" s="25">
        <v>39669</v>
      </c>
      <c r="K310" s="4" t="s">
        <v>3636</v>
      </c>
    </row>
    <row r="311" spans="1:11" ht="15.75" customHeight="1">
      <c r="A311" s="4">
        <v>30031939</v>
      </c>
      <c r="B311" s="4" t="s">
        <v>5561</v>
      </c>
      <c r="C311" s="4" t="s">
        <v>5562</v>
      </c>
      <c r="D311" s="4" t="s">
        <v>5563</v>
      </c>
      <c r="E311" s="4" t="s">
        <v>284</v>
      </c>
      <c r="F311" s="4" t="s">
        <v>5076</v>
      </c>
      <c r="G311" s="4">
        <v>2018</v>
      </c>
      <c r="H311" s="25">
        <v>43304</v>
      </c>
      <c r="K311" s="4" t="s">
        <v>415</v>
      </c>
    </row>
    <row r="312" spans="1:11" ht="15.75" customHeight="1">
      <c r="A312" s="4">
        <v>8943744</v>
      </c>
      <c r="B312" s="4" t="s">
        <v>6306</v>
      </c>
      <c r="C312" s="4" t="s">
        <v>6307</v>
      </c>
      <c r="D312" s="4" t="s">
        <v>6308</v>
      </c>
      <c r="E312" s="4" t="s">
        <v>2273</v>
      </c>
      <c r="F312" s="4" t="s">
        <v>6277</v>
      </c>
      <c r="G312" s="4">
        <v>1996</v>
      </c>
      <c r="H312" s="25">
        <v>35339</v>
      </c>
      <c r="I312" s="4" t="s">
        <v>6309</v>
      </c>
      <c r="K312" s="4" t="s">
        <v>2274</v>
      </c>
    </row>
    <row r="313" spans="1:11" ht="15.75" customHeight="1">
      <c r="A313" s="4">
        <v>2574324</v>
      </c>
      <c r="B313" s="4" t="s">
        <v>6534</v>
      </c>
      <c r="C313" s="4" t="s">
        <v>6535</v>
      </c>
      <c r="D313" s="4" t="s">
        <v>6536</v>
      </c>
      <c r="E313" s="4" t="s">
        <v>465</v>
      </c>
      <c r="F313" s="4" t="s">
        <v>6147</v>
      </c>
      <c r="G313" s="4">
        <v>1989</v>
      </c>
      <c r="H313" s="25">
        <v>32851</v>
      </c>
      <c r="K313" s="4" t="s">
        <v>1219</v>
      </c>
    </row>
    <row r="314" spans="1:11" ht="15.75" customHeight="1">
      <c r="A314" s="4">
        <v>18855654</v>
      </c>
      <c r="B314" s="4" t="s">
        <v>5547</v>
      </c>
      <c r="C314" s="4" t="s">
        <v>5548</v>
      </c>
      <c r="D314" s="4" t="s">
        <v>5549</v>
      </c>
      <c r="E314" s="4" t="s">
        <v>1751</v>
      </c>
      <c r="F314" s="4" t="s">
        <v>5550</v>
      </c>
      <c r="G314" s="4">
        <v>2008</v>
      </c>
      <c r="H314" s="25">
        <v>39737</v>
      </c>
      <c r="K314" s="4" t="s">
        <v>1752</v>
      </c>
    </row>
    <row r="315" spans="1:11" ht="15.75" customHeight="1">
      <c r="A315" s="4">
        <v>9847383</v>
      </c>
      <c r="B315" s="4" t="s">
        <v>5551</v>
      </c>
      <c r="C315" s="4" t="s">
        <v>5552</v>
      </c>
      <c r="D315" s="4" t="s">
        <v>5553</v>
      </c>
      <c r="E315" s="4" t="s">
        <v>3036</v>
      </c>
      <c r="F315" s="4" t="s">
        <v>4891</v>
      </c>
      <c r="G315" s="4">
        <v>1999</v>
      </c>
      <c r="H315" s="25">
        <v>36145</v>
      </c>
      <c r="I315" s="4" t="s">
        <v>5554</v>
      </c>
      <c r="K315" s="4" t="s">
        <v>3037</v>
      </c>
    </row>
    <row r="316" spans="1:11" ht="15.75" customHeight="1">
      <c r="A316" s="4">
        <v>7831214</v>
      </c>
      <c r="B316" s="4" t="s">
        <v>6261</v>
      </c>
      <c r="C316" s="4" t="s">
        <v>6262</v>
      </c>
      <c r="D316" s="4" t="s">
        <v>6263</v>
      </c>
      <c r="E316" s="4" t="s">
        <v>3769</v>
      </c>
      <c r="F316" s="4" t="s">
        <v>6192</v>
      </c>
      <c r="G316" s="4">
        <v>1994</v>
      </c>
      <c r="H316" s="25">
        <v>34580</v>
      </c>
    </row>
    <row r="317" spans="1:11" ht="15.75" customHeight="1">
      <c r="A317" s="4">
        <v>25255164</v>
      </c>
      <c r="B317" s="4" t="s">
        <v>5470</v>
      </c>
      <c r="C317" s="4" t="s">
        <v>5471</v>
      </c>
      <c r="D317" s="4" t="s">
        <v>5472</v>
      </c>
      <c r="E317" s="4" t="s">
        <v>221</v>
      </c>
      <c r="F317" s="4" t="s">
        <v>5076</v>
      </c>
      <c r="G317" s="4">
        <v>2015</v>
      </c>
      <c r="H317" s="25">
        <v>41908</v>
      </c>
      <c r="I317" s="4" t="s">
        <v>5473</v>
      </c>
      <c r="J317" s="4" t="s">
        <v>5474</v>
      </c>
      <c r="K317" s="4" t="s">
        <v>627</v>
      </c>
    </row>
    <row r="318" spans="1:11" ht="15.75" customHeight="1">
      <c r="A318" s="4">
        <v>12097571</v>
      </c>
      <c r="B318" s="4" t="s">
        <v>5518</v>
      </c>
      <c r="C318" s="4" t="s">
        <v>5519</v>
      </c>
      <c r="D318" s="4" t="s">
        <v>5520</v>
      </c>
      <c r="E318" s="4" t="s">
        <v>3492</v>
      </c>
      <c r="F318" s="4" t="s">
        <v>4891</v>
      </c>
      <c r="G318" s="4">
        <v>2002</v>
      </c>
      <c r="H318" s="25">
        <v>37442</v>
      </c>
      <c r="I318" s="4" t="s">
        <v>5521</v>
      </c>
      <c r="K318" s="4" t="s">
        <v>3495</v>
      </c>
    </row>
    <row r="319" spans="1:11" ht="15.75" customHeight="1">
      <c r="A319" s="4">
        <v>22537811</v>
      </c>
      <c r="B319" s="4" t="s">
        <v>5397</v>
      </c>
      <c r="C319" s="4" t="s">
        <v>5398</v>
      </c>
      <c r="D319" s="4" t="s">
        <v>5399</v>
      </c>
      <c r="E319" s="4" t="s">
        <v>2642</v>
      </c>
      <c r="F319" s="4" t="s">
        <v>4950</v>
      </c>
      <c r="G319" s="4">
        <v>2012</v>
      </c>
      <c r="H319" s="25">
        <v>41027</v>
      </c>
      <c r="K319" s="4" t="s">
        <v>2643</v>
      </c>
    </row>
    <row r="320" spans="1:11" ht="15.75" customHeight="1">
      <c r="A320" s="4">
        <v>31579937</v>
      </c>
      <c r="B320" s="4" t="s">
        <v>5767</v>
      </c>
      <c r="C320" s="4" t="s">
        <v>5768</v>
      </c>
      <c r="D320" s="4" t="s">
        <v>5769</v>
      </c>
      <c r="E320" s="4" t="s">
        <v>1372</v>
      </c>
      <c r="F320" s="4" t="s">
        <v>4923</v>
      </c>
      <c r="G320" s="4">
        <v>2020</v>
      </c>
      <c r="H320" s="25">
        <v>43742</v>
      </c>
      <c r="K320" s="4" t="s">
        <v>1373</v>
      </c>
    </row>
    <row r="321" spans="1:11" ht="15.75" customHeight="1">
      <c r="A321" s="4">
        <v>2169499</v>
      </c>
      <c r="B321" s="4" t="s">
        <v>5494</v>
      </c>
      <c r="C321" s="4" t="s">
        <v>5495</v>
      </c>
      <c r="D321" s="4" t="s">
        <v>5496</v>
      </c>
      <c r="E321" s="4" t="s">
        <v>4500</v>
      </c>
      <c r="F321" s="4" t="s">
        <v>4992</v>
      </c>
      <c r="G321" s="4">
        <v>1990</v>
      </c>
      <c r="H321" s="25">
        <v>33147</v>
      </c>
      <c r="K321" s="4" t="s">
        <v>4503</v>
      </c>
    </row>
    <row r="322" spans="1:11" ht="15.75" customHeight="1">
      <c r="A322" s="4">
        <v>10935989</v>
      </c>
      <c r="B322" s="4" t="s">
        <v>6050</v>
      </c>
      <c r="C322" s="4" t="s">
        <v>6051</v>
      </c>
      <c r="D322" s="4" t="s">
        <v>6052</v>
      </c>
      <c r="E322" s="4" t="s">
        <v>195</v>
      </c>
      <c r="F322" s="4" t="s">
        <v>4923</v>
      </c>
      <c r="G322" s="4">
        <v>2000</v>
      </c>
      <c r="H322" s="25">
        <v>36748</v>
      </c>
    </row>
    <row r="323" spans="1:11" ht="15.75" customHeight="1">
      <c r="A323" s="4">
        <v>1851812</v>
      </c>
      <c r="B323" s="4" t="s">
        <v>6334</v>
      </c>
      <c r="C323" s="4" t="s">
        <v>6335</v>
      </c>
      <c r="D323" s="4" t="s">
        <v>6336</v>
      </c>
      <c r="E323" s="4" t="s">
        <v>1490</v>
      </c>
      <c r="F323" s="4" t="s">
        <v>4966</v>
      </c>
      <c r="G323" s="4">
        <v>1991</v>
      </c>
      <c r="H323" s="25">
        <v>33359</v>
      </c>
      <c r="K323" s="4" t="s">
        <v>1491</v>
      </c>
    </row>
    <row r="324" spans="1:11" ht="15.75" customHeight="1">
      <c r="A324" s="4">
        <v>23391825</v>
      </c>
      <c r="B324" s="4" t="s">
        <v>5509</v>
      </c>
      <c r="C324" s="4" t="s">
        <v>5510</v>
      </c>
      <c r="D324" s="4" t="s">
        <v>5511</v>
      </c>
      <c r="E324" s="4" t="s">
        <v>1559</v>
      </c>
      <c r="F324" s="4" t="s">
        <v>5267</v>
      </c>
      <c r="G324" s="4">
        <v>2013</v>
      </c>
      <c r="H324" s="25">
        <v>41314</v>
      </c>
      <c r="K324" s="4" t="s">
        <v>1560</v>
      </c>
    </row>
    <row r="325" spans="1:11" ht="15.75" customHeight="1">
      <c r="A325" s="4">
        <v>20404187</v>
      </c>
      <c r="B325" s="4" t="s">
        <v>5780</v>
      </c>
      <c r="C325" s="4" t="s">
        <v>5781</v>
      </c>
      <c r="D325" s="4" t="s">
        <v>5782</v>
      </c>
      <c r="E325" s="4" t="s">
        <v>2561</v>
      </c>
      <c r="F325" s="4" t="s">
        <v>5783</v>
      </c>
      <c r="G325" s="4">
        <v>2010</v>
      </c>
      <c r="H325" s="25">
        <v>40289</v>
      </c>
      <c r="I325" s="4" t="s">
        <v>5784</v>
      </c>
      <c r="K325" s="4" t="s">
        <v>2564</v>
      </c>
    </row>
    <row r="326" spans="1:11" ht="15.75" customHeight="1">
      <c r="A326" s="4">
        <v>1963027</v>
      </c>
      <c r="B326" s="4" t="s">
        <v>6519</v>
      </c>
      <c r="C326" s="4" t="s">
        <v>6520</v>
      </c>
      <c r="D326" s="4" t="s">
        <v>6521</v>
      </c>
      <c r="E326" s="4" t="s">
        <v>2094</v>
      </c>
      <c r="F326" s="4" t="s">
        <v>6522</v>
      </c>
      <c r="G326" s="4">
        <v>1990</v>
      </c>
      <c r="H326" s="25">
        <v>32874</v>
      </c>
      <c r="K326" s="4" t="s">
        <v>2096</v>
      </c>
    </row>
    <row r="327" spans="1:11" ht="15.75" customHeight="1">
      <c r="A327" s="4">
        <v>32428994</v>
      </c>
      <c r="B327" s="4" t="s">
        <v>5774</v>
      </c>
      <c r="C327" s="4" t="s">
        <v>5775</v>
      </c>
      <c r="D327" s="4" t="s">
        <v>5776</v>
      </c>
      <c r="E327" s="4" t="s">
        <v>3575</v>
      </c>
      <c r="F327" s="4" t="s">
        <v>5726</v>
      </c>
      <c r="G327" s="4">
        <v>2020</v>
      </c>
      <c r="H327" s="25">
        <v>43971</v>
      </c>
      <c r="K327" s="4" t="s">
        <v>3576</v>
      </c>
    </row>
    <row r="328" spans="1:11" ht="15.75" customHeight="1">
      <c r="A328" s="4">
        <v>18762768</v>
      </c>
      <c r="B328" s="4" t="s">
        <v>6487</v>
      </c>
      <c r="C328" s="4" t="s">
        <v>6488</v>
      </c>
      <c r="D328" s="4" t="s">
        <v>6489</v>
      </c>
      <c r="E328" s="4" t="s">
        <v>780</v>
      </c>
      <c r="F328" s="4" t="s">
        <v>4863</v>
      </c>
      <c r="G328" s="4">
        <v>2009</v>
      </c>
      <c r="H328" s="25">
        <v>39694</v>
      </c>
      <c r="K328" s="4" t="s">
        <v>3362</v>
      </c>
    </row>
    <row r="329" spans="1:11" ht="15.75" customHeight="1">
      <c r="A329" s="4">
        <v>26518057</v>
      </c>
      <c r="B329" s="4" t="s">
        <v>5653</v>
      </c>
      <c r="C329" s="4" t="s">
        <v>5654</v>
      </c>
      <c r="D329" s="4" t="s">
        <v>5655</v>
      </c>
      <c r="E329" s="4" t="s">
        <v>191</v>
      </c>
      <c r="F329" s="4" t="s">
        <v>5051</v>
      </c>
      <c r="G329" s="4">
        <v>2016</v>
      </c>
      <c r="H329" s="25">
        <v>42309</v>
      </c>
      <c r="K329" s="4" t="s">
        <v>405</v>
      </c>
    </row>
    <row r="330" spans="1:11" ht="15.75" customHeight="1">
      <c r="A330" s="4">
        <v>26802210</v>
      </c>
      <c r="B330" s="4" t="s">
        <v>5970</v>
      </c>
      <c r="C330" s="4" t="s">
        <v>5971</v>
      </c>
      <c r="D330" s="4" t="s">
        <v>5972</v>
      </c>
      <c r="E330" s="4" t="s">
        <v>3094</v>
      </c>
      <c r="F330" s="4" t="s">
        <v>4950</v>
      </c>
      <c r="G330" s="4">
        <v>2016</v>
      </c>
      <c r="H330" s="25">
        <v>42393</v>
      </c>
      <c r="K330" s="4" t="s">
        <v>3097</v>
      </c>
    </row>
    <row r="331" spans="1:11" ht="15.75" customHeight="1">
      <c r="A331" s="4">
        <v>12552442</v>
      </c>
      <c r="B331" s="4" t="s">
        <v>5568</v>
      </c>
      <c r="C331" s="4" t="s">
        <v>5569</v>
      </c>
      <c r="D331" s="4" t="s">
        <v>5570</v>
      </c>
      <c r="E331" s="4" t="s">
        <v>501</v>
      </c>
      <c r="F331" s="4" t="s">
        <v>4992</v>
      </c>
      <c r="G331" s="4">
        <v>2003</v>
      </c>
      <c r="H331" s="25">
        <v>37650</v>
      </c>
      <c r="K331" s="4" t="s">
        <v>502</v>
      </c>
    </row>
    <row r="332" spans="1:11" ht="15.75" customHeight="1">
      <c r="A332" s="4">
        <v>8180402</v>
      </c>
      <c r="B332" s="4" t="s">
        <v>5622</v>
      </c>
      <c r="C332" s="4" t="s">
        <v>5623</v>
      </c>
      <c r="D332" s="4" t="s">
        <v>5624</v>
      </c>
      <c r="E332" s="4" t="s">
        <v>979</v>
      </c>
      <c r="F332" s="4" t="s">
        <v>5343</v>
      </c>
      <c r="G332" s="4">
        <v>1994</v>
      </c>
      <c r="H332" s="25">
        <v>34469</v>
      </c>
    </row>
    <row r="333" spans="1:11" ht="15.75" customHeight="1">
      <c r="A333" s="4">
        <v>11774077</v>
      </c>
      <c r="B333" s="4" t="s">
        <v>5503</v>
      </c>
      <c r="C333" s="4" t="s">
        <v>5504</v>
      </c>
      <c r="D333" s="4" t="s">
        <v>5505</v>
      </c>
      <c r="E333" s="4" t="s">
        <v>197</v>
      </c>
      <c r="F333" s="4" t="s">
        <v>5080</v>
      </c>
      <c r="G333" s="4">
        <v>2002</v>
      </c>
      <c r="H333" s="25">
        <v>37261</v>
      </c>
      <c r="K333" s="4" t="s">
        <v>1012</v>
      </c>
    </row>
    <row r="334" spans="1:11" ht="15.75" customHeight="1">
      <c r="A334" s="4">
        <v>17276360</v>
      </c>
      <c r="B334" s="4" t="s">
        <v>5537</v>
      </c>
      <c r="C334" s="4" t="s">
        <v>5538</v>
      </c>
      <c r="D334" s="4" t="s">
        <v>5539</v>
      </c>
      <c r="E334" s="4" t="s">
        <v>2133</v>
      </c>
      <c r="F334" s="4" t="s">
        <v>4896</v>
      </c>
      <c r="G334" s="4">
        <v>2006</v>
      </c>
      <c r="H334" s="25">
        <v>39119</v>
      </c>
      <c r="K334" s="4" t="s">
        <v>2134</v>
      </c>
    </row>
    <row r="335" spans="1:11" ht="15.75" customHeight="1">
      <c r="A335" s="4">
        <v>24596281</v>
      </c>
      <c r="B335" s="4" t="s">
        <v>5917</v>
      </c>
      <c r="C335" s="4" t="s">
        <v>5918</v>
      </c>
      <c r="D335" s="4" t="s">
        <v>5919</v>
      </c>
      <c r="E335" s="4" t="s">
        <v>228</v>
      </c>
      <c r="F335" s="4" t="s">
        <v>4992</v>
      </c>
      <c r="G335" s="4">
        <v>2014</v>
      </c>
      <c r="H335" s="25">
        <v>41704</v>
      </c>
      <c r="K335" s="4" t="s">
        <v>360</v>
      </c>
    </row>
    <row r="336" spans="1:11" ht="15.75" customHeight="1">
      <c r="A336" s="4">
        <v>8388898</v>
      </c>
      <c r="B336" s="4" t="s">
        <v>5785</v>
      </c>
      <c r="C336" s="4" t="s">
        <v>5786</v>
      </c>
      <c r="D336" s="4" t="s">
        <v>5787</v>
      </c>
      <c r="E336" s="4" t="s">
        <v>2412</v>
      </c>
      <c r="F336" s="4" t="s">
        <v>4992</v>
      </c>
      <c r="G336" s="4">
        <v>1993</v>
      </c>
      <c r="H336" s="25">
        <v>34121</v>
      </c>
      <c r="K336" s="4" t="s">
        <v>2413</v>
      </c>
    </row>
    <row r="337" spans="1:11" ht="15.75" customHeight="1">
      <c r="A337" s="4">
        <v>26888901</v>
      </c>
      <c r="B337" s="4" t="s">
        <v>5656</v>
      </c>
      <c r="C337" s="4" t="s">
        <v>5657</v>
      </c>
      <c r="D337" s="4" t="s">
        <v>5658</v>
      </c>
      <c r="E337" s="4" t="s">
        <v>3946</v>
      </c>
      <c r="F337" s="4" t="s">
        <v>5331</v>
      </c>
      <c r="G337" s="4">
        <v>2016</v>
      </c>
      <c r="H337" s="25">
        <v>42419</v>
      </c>
      <c r="I337" s="4" t="s">
        <v>5659</v>
      </c>
      <c r="K337" s="4" t="s">
        <v>3949</v>
      </c>
    </row>
    <row r="338" spans="1:11" ht="15.75" customHeight="1">
      <c r="A338" s="4">
        <v>29898877</v>
      </c>
      <c r="B338" s="4" t="s">
        <v>6523</v>
      </c>
      <c r="C338" s="4" t="s">
        <v>6524</v>
      </c>
      <c r="D338" s="4" t="s">
        <v>6525</v>
      </c>
      <c r="E338" s="4" t="s">
        <v>3627</v>
      </c>
      <c r="F338" s="4" t="s">
        <v>4833</v>
      </c>
      <c r="G338" s="4">
        <v>2018</v>
      </c>
      <c r="H338" s="25">
        <v>43266</v>
      </c>
      <c r="I338" s="4" t="s">
        <v>6526</v>
      </c>
      <c r="K338" s="4" t="s">
        <v>3628</v>
      </c>
    </row>
    <row r="339" spans="1:11" ht="15.75" customHeight="1">
      <c r="A339" s="4">
        <v>23454489</v>
      </c>
      <c r="B339" s="4" t="s">
        <v>5463</v>
      </c>
      <c r="C339" s="4" t="s">
        <v>5464</v>
      </c>
      <c r="D339" s="4" t="s">
        <v>5465</v>
      </c>
      <c r="E339" s="4" t="s">
        <v>2174</v>
      </c>
      <c r="F339" s="4" t="s">
        <v>5122</v>
      </c>
      <c r="G339" s="4">
        <v>2013</v>
      </c>
      <c r="H339" s="25">
        <v>41338</v>
      </c>
      <c r="K339" s="4" t="s">
        <v>2175</v>
      </c>
    </row>
    <row r="340" spans="1:11" ht="15.75" customHeight="1">
      <c r="A340" s="4">
        <v>11049765</v>
      </c>
      <c r="B340" s="4" t="s">
        <v>5730</v>
      </c>
      <c r="C340" s="4" t="s">
        <v>5731</v>
      </c>
      <c r="D340" s="4" t="s">
        <v>5732</v>
      </c>
      <c r="E340" s="4" t="s">
        <v>231</v>
      </c>
      <c r="F340" s="4" t="s">
        <v>5080</v>
      </c>
      <c r="G340" s="4">
        <v>2000</v>
      </c>
      <c r="H340" s="25">
        <v>36825</v>
      </c>
      <c r="K340" s="4" t="s">
        <v>363</v>
      </c>
    </row>
    <row r="341" spans="1:11" ht="15.75" customHeight="1">
      <c r="A341" s="4">
        <v>16615518</v>
      </c>
      <c r="B341" s="4" t="s">
        <v>6497</v>
      </c>
      <c r="C341" s="4" t="s">
        <v>6498</v>
      </c>
      <c r="D341" s="4" t="s">
        <v>6499</v>
      </c>
      <c r="E341" s="4" t="s">
        <v>4264</v>
      </c>
      <c r="F341" s="4" t="s">
        <v>5031</v>
      </c>
      <c r="G341" s="4">
        <v>2006</v>
      </c>
      <c r="H341" s="25">
        <v>38825</v>
      </c>
    </row>
    <row r="342" spans="1:11" ht="15.75" customHeight="1">
      <c r="A342" s="4">
        <v>17334385</v>
      </c>
      <c r="B342" s="4" t="s">
        <v>5558</v>
      </c>
      <c r="C342" s="4" t="s">
        <v>5559</v>
      </c>
      <c r="D342" s="4" t="s">
        <v>5560</v>
      </c>
      <c r="E342" s="4" t="s">
        <v>249</v>
      </c>
      <c r="F342" s="4" t="s">
        <v>4863</v>
      </c>
      <c r="G342" s="4">
        <v>2007</v>
      </c>
      <c r="H342" s="25">
        <v>39147</v>
      </c>
      <c r="K342" s="4" t="s">
        <v>707</v>
      </c>
    </row>
    <row r="343" spans="1:11" ht="15.75" customHeight="1">
      <c r="A343" s="4">
        <v>21287317</v>
      </c>
      <c r="B343" s="4" t="s">
        <v>5606</v>
      </c>
      <c r="C343" s="4" t="s">
        <v>5607</v>
      </c>
      <c r="D343" s="4" t="s">
        <v>5608</v>
      </c>
      <c r="E343" s="4" t="s">
        <v>1262</v>
      </c>
      <c r="F343" s="4" t="s">
        <v>4961</v>
      </c>
      <c r="G343" s="4">
        <v>2011</v>
      </c>
      <c r="H343" s="25">
        <v>40577</v>
      </c>
      <c r="K343" s="4" t="s">
        <v>1263</v>
      </c>
    </row>
    <row r="344" spans="1:11" ht="15.75" customHeight="1">
      <c r="A344" s="4">
        <v>12525662</v>
      </c>
      <c r="B344" s="4" t="s">
        <v>6537</v>
      </c>
      <c r="C344" s="4" t="s">
        <v>6538</v>
      </c>
      <c r="D344" s="4" t="s">
        <v>6539</v>
      </c>
      <c r="E344" s="4" t="s">
        <v>2758</v>
      </c>
      <c r="F344" s="4" t="s">
        <v>4891</v>
      </c>
      <c r="G344" s="4">
        <v>2003</v>
      </c>
      <c r="H344" s="25">
        <v>37636</v>
      </c>
      <c r="I344" s="4" t="s">
        <v>6540</v>
      </c>
      <c r="K344" s="4" t="s">
        <v>2761</v>
      </c>
    </row>
    <row r="345" spans="1:11" ht="15.75" customHeight="1">
      <c r="A345" s="4">
        <v>29316259</v>
      </c>
      <c r="B345" s="4" t="s">
        <v>5723</v>
      </c>
      <c r="C345" s="4" t="s">
        <v>5724</v>
      </c>
      <c r="D345" s="4" t="s">
        <v>5725</v>
      </c>
      <c r="E345" s="4" t="s">
        <v>1372</v>
      </c>
      <c r="F345" s="4" t="s">
        <v>5726</v>
      </c>
      <c r="G345" s="4">
        <v>2018</v>
      </c>
      <c r="H345" s="25">
        <v>43110</v>
      </c>
      <c r="K345" s="4" t="s">
        <v>1375</v>
      </c>
    </row>
    <row r="346" spans="1:11" ht="15.75" customHeight="1">
      <c r="A346" s="4">
        <v>15483248</v>
      </c>
      <c r="B346" s="4" t="s">
        <v>5571</v>
      </c>
      <c r="C346" s="4" t="s">
        <v>5572</v>
      </c>
      <c r="D346" s="4" t="s">
        <v>5573</v>
      </c>
      <c r="E346" s="4" t="s">
        <v>1178</v>
      </c>
      <c r="F346" s="4" t="s">
        <v>4966</v>
      </c>
      <c r="G346" s="4">
        <v>2004</v>
      </c>
      <c r="H346" s="25">
        <v>38276</v>
      </c>
      <c r="K346" s="4" t="s">
        <v>1179</v>
      </c>
    </row>
    <row r="347" spans="1:11" ht="15.75" customHeight="1">
      <c r="A347" s="4">
        <v>25694589</v>
      </c>
      <c r="B347" s="4" t="s">
        <v>5006</v>
      </c>
      <c r="C347" s="4" t="s">
        <v>5007</v>
      </c>
      <c r="D347" s="4" t="s">
        <v>5008</v>
      </c>
      <c r="E347" s="4" t="s">
        <v>4191</v>
      </c>
      <c r="F347" s="4" t="s">
        <v>4891</v>
      </c>
      <c r="G347" s="4">
        <v>2015</v>
      </c>
      <c r="H347" s="25">
        <v>42055</v>
      </c>
      <c r="I347" s="4" t="s">
        <v>5009</v>
      </c>
      <c r="K347" s="4" t="s">
        <v>4200</v>
      </c>
    </row>
    <row r="348" spans="1:11" ht="15.75" customHeight="1">
      <c r="A348" s="4">
        <v>11512080</v>
      </c>
      <c r="B348" s="4" t="s">
        <v>5710</v>
      </c>
      <c r="C348" s="4" t="s">
        <v>5711</v>
      </c>
      <c r="D348" s="4" t="s">
        <v>5712</v>
      </c>
      <c r="E348" s="4" t="s">
        <v>197</v>
      </c>
      <c r="F348" s="4" t="s">
        <v>5080</v>
      </c>
      <c r="G348" s="4">
        <v>2001</v>
      </c>
      <c r="H348" s="25">
        <v>37124</v>
      </c>
      <c r="K348" s="4" t="s">
        <v>1014</v>
      </c>
    </row>
    <row r="349" spans="1:11" ht="15.75" customHeight="1">
      <c r="A349" s="4">
        <v>22576078</v>
      </c>
      <c r="B349" s="4" t="s">
        <v>5690</v>
      </c>
      <c r="C349" s="4" t="s">
        <v>5691</v>
      </c>
      <c r="D349" s="4" t="s">
        <v>5692</v>
      </c>
      <c r="E349" s="4" t="s">
        <v>3819</v>
      </c>
      <c r="F349" s="4" t="s">
        <v>5693</v>
      </c>
      <c r="G349" s="4">
        <v>2012</v>
      </c>
      <c r="H349" s="25">
        <v>41041</v>
      </c>
      <c r="K349" s="4" t="s">
        <v>3820</v>
      </c>
    </row>
    <row r="350" spans="1:11" ht="15.75" customHeight="1">
      <c r="A350" s="4">
        <v>16162481</v>
      </c>
      <c r="B350" s="4" t="s">
        <v>5642</v>
      </c>
      <c r="C350" s="4" t="s">
        <v>5643</v>
      </c>
      <c r="D350" s="4" t="s">
        <v>5644</v>
      </c>
      <c r="E350" s="4" t="s">
        <v>1132</v>
      </c>
      <c r="F350" s="4" t="s">
        <v>4961</v>
      </c>
      <c r="G350" s="4">
        <v>2005</v>
      </c>
      <c r="H350" s="25">
        <v>38611</v>
      </c>
      <c r="I350" s="4" t="s">
        <v>5645</v>
      </c>
      <c r="K350" s="4" t="s">
        <v>1133</v>
      </c>
    </row>
    <row r="351" spans="1:11" ht="15.75" customHeight="1">
      <c r="A351" s="4">
        <v>20053335</v>
      </c>
      <c r="B351" s="4" t="s">
        <v>6562</v>
      </c>
      <c r="C351" s="4" t="s">
        <v>6563</v>
      </c>
      <c r="D351" s="4" t="s">
        <v>6564</v>
      </c>
      <c r="E351" s="4" t="s">
        <v>554</v>
      </c>
      <c r="F351" s="4" t="s">
        <v>5076</v>
      </c>
      <c r="G351" s="4">
        <v>2010</v>
      </c>
      <c r="H351" s="25">
        <v>40186</v>
      </c>
      <c r="K351" s="4" t="s">
        <v>1812</v>
      </c>
    </row>
    <row r="352" spans="1:11" ht="15.75" customHeight="1">
      <c r="A352" s="4">
        <v>22055432</v>
      </c>
      <c r="B352" s="4" t="s">
        <v>5983</v>
      </c>
      <c r="C352" s="4" t="s">
        <v>5984</v>
      </c>
      <c r="D352" s="4" t="s">
        <v>5985</v>
      </c>
      <c r="E352" s="4" t="s">
        <v>1622</v>
      </c>
      <c r="F352" s="4" t="s">
        <v>4950</v>
      </c>
      <c r="G352" s="4">
        <v>2012</v>
      </c>
      <c r="H352" s="25">
        <v>40855</v>
      </c>
      <c r="K352" s="4" t="s">
        <v>1623</v>
      </c>
    </row>
    <row r="353" spans="1:11" ht="15.75" customHeight="1">
      <c r="A353" s="4">
        <v>1657544</v>
      </c>
      <c r="B353" s="4" t="s">
        <v>5385</v>
      </c>
      <c r="C353" s="4" t="s">
        <v>5386</v>
      </c>
      <c r="D353" s="4" t="s">
        <v>5387</v>
      </c>
      <c r="E353" s="4" t="s">
        <v>1609</v>
      </c>
      <c r="F353" s="4" t="s">
        <v>5388</v>
      </c>
      <c r="G353" s="4">
        <v>1991</v>
      </c>
      <c r="H353" s="25">
        <v>33270</v>
      </c>
    </row>
    <row r="354" spans="1:11" ht="15.75" customHeight="1">
      <c r="A354" s="4">
        <v>16183328</v>
      </c>
      <c r="B354" s="4" t="s">
        <v>5594</v>
      </c>
      <c r="C354" s="4" t="s">
        <v>5595</v>
      </c>
      <c r="D354" s="4" t="s">
        <v>5596</v>
      </c>
      <c r="E354" s="4" t="s">
        <v>501</v>
      </c>
      <c r="F354" s="4" t="s">
        <v>4896</v>
      </c>
      <c r="G354" s="4">
        <v>2006</v>
      </c>
      <c r="H354" s="25">
        <v>38622</v>
      </c>
      <c r="K354" s="4" t="s">
        <v>1399</v>
      </c>
    </row>
    <row r="355" spans="1:11" ht="15.75" customHeight="1">
      <c r="A355" s="4">
        <v>10558965</v>
      </c>
      <c r="B355" s="4" t="s">
        <v>5903</v>
      </c>
      <c r="C355" s="4" t="s">
        <v>5904</v>
      </c>
      <c r="D355" s="4" t="s">
        <v>5905</v>
      </c>
      <c r="E355" s="4" t="s">
        <v>1761</v>
      </c>
      <c r="F355" s="4" t="s">
        <v>4992</v>
      </c>
      <c r="G355" s="4">
        <v>1999</v>
      </c>
      <c r="H355" s="25">
        <v>36488</v>
      </c>
      <c r="K355" s="4" t="s">
        <v>1762</v>
      </c>
    </row>
    <row r="356" spans="1:11" ht="15.75" customHeight="1">
      <c r="A356" s="4">
        <v>17067909</v>
      </c>
      <c r="B356" s="4" t="s">
        <v>6019</v>
      </c>
      <c r="C356" s="4" t="s">
        <v>6020</v>
      </c>
      <c r="D356" s="4" t="s">
        <v>6021</v>
      </c>
      <c r="E356" s="4" t="s">
        <v>177</v>
      </c>
      <c r="F356" s="4" t="s">
        <v>5076</v>
      </c>
      <c r="G356" s="4">
        <v>2006</v>
      </c>
      <c r="H356" s="25">
        <v>39018</v>
      </c>
      <c r="K356" s="4" t="s">
        <v>430</v>
      </c>
    </row>
    <row r="357" spans="1:11" ht="15.75" customHeight="1">
      <c r="A357" s="4">
        <v>16615527</v>
      </c>
      <c r="B357" s="4" t="s">
        <v>6504</v>
      </c>
      <c r="C357" s="4" t="s">
        <v>6505</v>
      </c>
      <c r="D357" s="4" t="s">
        <v>6506</v>
      </c>
      <c r="E357" s="4" t="s">
        <v>2758</v>
      </c>
      <c r="F357" s="4" t="s">
        <v>5031</v>
      </c>
      <c r="G357" s="4">
        <v>2006</v>
      </c>
      <c r="H357" s="25">
        <v>38825</v>
      </c>
    </row>
    <row r="358" spans="1:11" ht="15.75" customHeight="1">
      <c r="A358" s="4">
        <v>23769070</v>
      </c>
      <c r="B358" s="4" t="s">
        <v>5694</v>
      </c>
      <c r="C358" s="4" t="s">
        <v>5443</v>
      </c>
      <c r="D358" s="4" t="s">
        <v>5695</v>
      </c>
      <c r="E358" s="4" t="s">
        <v>2294</v>
      </c>
      <c r="F358" s="4" t="s">
        <v>5696</v>
      </c>
      <c r="G358" s="4">
        <v>2013</v>
      </c>
      <c r="H358" s="25">
        <v>41443</v>
      </c>
      <c r="K358" s="4" t="s">
        <v>2299</v>
      </c>
    </row>
    <row r="359" spans="1:11" ht="15.75" customHeight="1">
      <c r="A359" s="4">
        <v>15327521</v>
      </c>
      <c r="B359" s="4" t="s">
        <v>5796</v>
      </c>
      <c r="C359" s="4" t="s">
        <v>5797</v>
      </c>
      <c r="D359" s="4" t="s">
        <v>5798</v>
      </c>
      <c r="E359" s="4" t="s">
        <v>294</v>
      </c>
      <c r="F359" s="4" t="s">
        <v>5211</v>
      </c>
      <c r="G359" s="4">
        <v>2004</v>
      </c>
      <c r="H359" s="25">
        <v>38225</v>
      </c>
      <c r="K359" s="4" t="s">
        <v>423</v>
      </c>
    </row>
    <row r="360" spans="1:11" ht="15.75" customHeight="1">
      <c r="A360" s="4">
        <v>17637686</v>
      </c>
      <c r="B360" s="4" t="s">
        <v>5717</v>
      </c>
      <c r="C360" s="4" t="s">
        <v>5718</v>
      </c>
      <c r="D360" s="4" t="s">
        <v>5719</v>
      </c>
      <c r="E360" s="4" t="s">
        <v>2600</v>
      </c>
      <c r="F360" s="4" t="s">
        <v>4863</v>
      </c>
      <c r="G360" s="4">
        <v>2007</v>
      </c>
      <c r="H360" s="25">
        <v>39283</v>
      </c>
      <c r="K360" s="4" t="s">
        <v>2601</v>
      </c>
    </row>
    <row r="361" spans="1:11" ht="15.75" customHeight="1">
      <c r="A361" s="4">
        <v>23674671</v>
      </c>
      <c r="B361" s="4" t="s">
        <v>5885</v>
      </c>
      <c r="C361" s="4" t="s">
        <v>5886</v>
      </c>
      <c r="D361" s="4" t="s">
        <v>5887</v>
      </c>
      <c r="E361" s="4" t="s">
        <v>4191</v>
      </c>
      <c r="F361" s="4" t="s">
        <v>5783</v>
      </c>
      <c r="G361" s="4">
        <v>2013</v>
      </c>
      <c r="H361" s="25">
        <v>41410</v>
      </c>
      <c r="I361" s="4" t="s">
        <v>5888</v>
      </c>
      <c r="K361" s="4" t="s">
        <v>4202</v>
      </c>
    </row>
    <row r="362" spans="1:11" ht="15.75" customHeight="1">
      <c r="A362" s="4">
        <v>9864048</v>
      </c>
      <c r="B362" s="4" t="s">
        <v>5466</v>
      </c>
      <c r="C362" s="4" t="s">
        <v>5467</v>
      </c>
      <c r="D362" s="4" t="s">
        <v>5468</v>
      </c>
      <c r="E362" s="4" t="s">
        <v>4621</v>
      </c>
      <c r="F362" s="4" t="s">
        <v>5469</v>
      </c>
      <c r="G362" s="4">
        <v>1998</v>
      </c>
      <c r="H362" s="25">
        <v>36153</v>
      </c>
      <c r="K362" s="4" t="s">
        <v>4624</v>
      </c>
    </row>
    <row r="363" spans="1:11" ht="15.75" customHeight="1">
      <c r="A363" s="4">
        <v>19582481</v>
      </c>
      <c r="B363" s="4" t="s">
        <v>6068</v>
      </c>
      <c r="C363" s="4" t="s">
        <v>6069</v>
      </c>
      <c r="D363" s="4" t="s">
        <v>6070</v>
      </c>
      <c r="E363" s="4" t="s">
        <v>2785</v>
      </c>
      <c r="F363" s="4" t="s">
        <v>6071</v>
      </c>
      <c r="G363" s="4">
        <v>2009</v>
      </c>
      <c r="H363" s="25">
        <v>40002</v>
      </c>
      <c r="K363" s="4" t="s">
        <v>2786</v>
      </c>
    </row>
    <row r="364" spans="1:11" ht="15.75" customHeight="1">
      <c r="A364" s="4">
        <v>11979309</v>
      </c>
      <c r="B364" s="4" t="s">
        <v>5740</v>
      </c>
      <c r="C364" s="4" t="s">
        <v>5741</v>
      </c>
      <c r="D364" s="4" t="s">
        <v>5742</v>
      </c>
      <c r="E364" s="4" t="s">
        <v>921</v>
      </c>
      <c r="F364" s="4" t="s">
        <v>4863</v>
      </c>
      <c r="G364" s="4">
        <v>2002</v>
      </c>
      <c r="H364" s="25">
        <v>37376</v>
      </c>
      <c r="K364" s="4" t="s">
        <v>922</v>
      </c>
    </row>
    <row r="365" spans="1:11" ht="15.75" customHeight="1">
      <c r="A365" s="4">
        <v>9697740</v>
      </c>
      <c r="B365" s="4" t="s">
        <v>6013</v>
      </c>
      <c r="C365" s="4" t="s">
        <v>6014</v>
      </c>
      <c r="D365" s="4" t="s">
        <v>6015</v>
      </c>
      <c r="E365" s="4" t="s">
        <v>1095</v>
      </c>
      <c r="F365" s="4" t="s">
        <v>4992</v>
      </c>
      <c r="G365" s="4">
        <v>1998</v>
      </c>
      <c r="H365" s="25">
        <v>36018</v>
      </c>
      <c r="K365" s="4" t="s">
        <v>1096</v>
      </c>
    </row>
    <row r="366" spans="1:11" ht="15.75" customHeight="1">
      <c r="A366" s="4">
        <v>10400183</v>
      </c>
      <c r="B366" s="4" t="s">
        <v>5841</v>
      </c>
      <c r="C366" s="4" t="s">
        <v>5842</v>
      </c>
      <c r="D366" s="4" t="s">
        <v>5843</v>
      </c>
      <c r="E366" s="4" t="s">
        <v>155</v>
      </c>
      <c r="F366" s="4" t="s">
        <v>5844</v>
      </c>
      <c r="G366" s="4">
        <v>1999</v>
      </c>
      <c r="H366" s="25">
        <v>36351</v>
      </c>
      <c r="K366" s="4" t="s">
        <v>3452</v>
      </c>
    </row>
    <row r="367" spans="1:11" ht="15.75" customHeight="1">
      <c r="A367" s="4">
        <v>10675403</v>
      </c>
      <c r="B367" s="4" t="s">
        <v>5989</v>
      </c>
      <c r="C367" s="4" t="s">
        <v>5990</v>
      </c>
      <c r="D367" s="4" t="s">
        <v>5991</v>
      </c>
      <c r="E367" s="4" t="s">
        <v>2513</v>
      </c>
      <c r="F367" s="4" t="s">
        <v>4966</v>
      </c>
      <c r="G367" s="4">
        <v>2000</v>
      </c>
      <c r="H367" s="25">
        <v>36573</v>
      </c>
      <c r="K367" s="4" t="s">
        <v>2514</v>
      </c>
    </row>
    <row r="368" spans="1:11" ht="15.75" customHeight="1">
      <c r="A368" s="4">
        <v>10505318</v>
      </c>
      <c r="B368" s="4" t="s">
        <v>6337</v>
      </c>
      <c r="C368" s="4" t="s">
        <v>6338</v>
      </c>
      <c r="D368" s="4" t="s">
        <v>6339</v>
      </c>
      <c r="E368" s="4" t="s">
        <v>3197</v>
      </c>
      <c r="F368" s="4" t="s">
        <v>6340</v>
      </c>
      <c r="G368" s="4">
        <v>1999</v>
      </c>
      <c r="H368" s="25">
        <v>36436</v>
      </c>
      <c r="K368" s="4" t="s">
        <v>3198</v>
      </c>
    </row>
    <row r="369" spans="1:11" ht="15.75" customHeight="1">
      <c r="A369" s="4">
        <v>10998432</v>
      </c>
      <c r="B369" s="4" t="s">
        <v>5746</v>
      </c>
      <c r="C369" s="4" t="s">
        <v>5747</v>
      </c>
      <c r="D369" s="4" t="s">
        <v>5748</v>
      </c>
      <c r="E369" s="4" t="s">
        <v>155</v>
      </c>
      <c r="F369" s="4" t="s">
        <v>5749</v>
      </c>
      <c r="G369" s="4">
        <v>2000</v>
      </c>
      <c r="H369" s="25">
        <v>36791</v>
      </c>
      <c r="K369" s="4" t="s">
        <v>396</v>
      </c>
    </row>
    <row r="370" spans="1:11" ht="15.75" customHeight="1">
      <c r="A370" s="4">
        <v>1653487</v>
      </c>
      <c r="B370" s="4" t="s">
        <v>5933</v>
      </c>
      <c r="C370" s="4" t="s">
        <v>5934</v>
      </c>
      <c r="D370" s="4" t="s">
        <v>5935</v>
      </c>
      <c r="E370" s="4" t="s">
        <v>1063</v>
      </c>
      <c r="F370" s="4" t="s">
        <v>4950</v>
      </c>
      <c r="G370" s="4">
        <v>1991</v>
      </c>
      <c r="H370" s="25">
        <v>33512</v>
      </c>
      <c r="K370" s="4" t="s">
        <v>1069</v>
      </c>
    </row>
    <row r="371" spans="1:11" ht="15.75" customHeight="1">
      <c r="A371" s="4">
        <v>20053742</v>
      </c>
      <c r="B371" s="4" t="s">
        <v>5750</v>
      </c>
      <c r="C371" s="4" t="s">
        <v>5751</v>
      </c>
      <c r="D371" s="4" t="s">
        <v>5752</v>
      </c>
      <c r="E371" s="4" t="s">
        <v>1381</v>
      </c>
      <c r="F371" s="4" t="s">
        <v>4891</v>
      </c>
      <c r="G371" s="4">
        <v>2010</v>
      </c>
      <c r="H371" s="25">
        <v>40186</v>
      </c>
      <c r="I371" s="4" t="s">
        <v>5753</v>
      </c>
      <c r="K371" s="4" t="s">
        <v>1382</v>
      </c>
    </row>
    <row r="372" spans="1:11" ht="15.75" customHeight="1">
      <c r="A372" s="4">
        <v>15186736</v>
      </c>
      <c r="B372" s="4" t="s">
        <v>5192</v>
      </c>
      <c r="C372" s="4" t="s">
        <v>5193</v>
      </c>
      <c r="D372" s="4" t="s">
        <v>5194</v>
      </c>
      <c r="E372" s="4" t="s">
        <v>786</v>
      </c>
      <c r="F372" s="4" t="s">
        <v>5195</v>
      </c>
      <c r="G372" s="4">
        <v>2004</v>
      </c>
      <c r="H372" s="25">
        <v>38148</v>
      </c>
      <c r="K372" s="4" t="s">
        <v>3398</v>
      </c>
    </row>
    <row r="373" spans="1:11" ht="15.75" customHeight="1">
      <c r="A373" s="4">
        <v>8837229</v>
      </c>
      <c r="B373" s="4" t="s">
        <v>6090</v>
      </c>
      <c r="C373" s="4" t="s">
        <v>6091</v>
      </c>
      <c r="D373" s="4" t="s">
        <v>6092</v>
      </c>
      <c r="E373" s="4" t="s">
        <v>3769</v>
      </c>
      <c r="F373" s="4" t="s">
        <v>6093</v>
      </c>
      <c r="G373" s="4">
        <v>1996</v>
      </c>
      <c r="H373" s="25">
        <v>35247</v>
      </c>
      <c r="K373" s="4" t="s">
        <v>3771</v>
      </c>
    </row>
    <row r="374" spans="1:11" ht="15.75" customHeight="1">
      <c r="A374" s="4">
        <v>7889017</v>
      </c>
      <c r="B374" s="4" t="s">
        <v>5646</v>
      </c>
      <c r="C374" s="4" t="s">
        <v>5647</v>
      </c>
      <c r="D374" s="4" t="s">
        <v>5648</v>
      </c>
      <c r="E374" s="4" t="s">
        <v>2094</v>
      </c>
      <c r="F374" s="4" t="s">
        <v>4863</v>
      </c>
      <c r="G374" s="4">
        <v>1994</v>
      </c>
      <c r="H374" s="25">
        <v>34639</v>
      </c>
    </row>
    <row r="375" spans="1:11" ht="15.75" customHeight="1">
      <c r="A375" s="4">
        <v>8198870</v>
      </c>
      <c r="B375" s="4" t="s">
        <v>6396</v>
      </c>
      <c r="C375" s="4" t="s">
        <v>6397</v>
      </c>
      <c r="D375" s="4" t="s">
        <v>6398</v>
      </c>
      <c r="E375" s="4" t="s">
        <v>3041</v>
      </c>
      <c r="F375" s="4" t="s">
        <v>5433</v>
      </c>
      <c r="G375" s="4">
        <v>1994</v>
      </c>
      <c r="H375" s="25">
        <v>34366</v>
      </c>
      <c r="K375" s="4" t="s">
        <v>3051</v>
      </c>
    </row>
    <row r="376" spans="1:11" ht="15.75" customHeight="1">
      <c r="A376" s="4">
        <v>23871165</v>
      </c>
      <c r="B376" s="4" t="s">
        <v>6038</v>
      </c>
      <c r="C376" s="4" t="s">
        <v>6039</v>
      </c>
      <c r="D376" s="4" t="s">
        <v>6040</v>
      </c>
      <c r="E376" s="4" t="s">
        <v>1396</v>
      </c>
      <c r="F376" s="4" t="s">
        <v>4896</v>
      </c>
      <c r="G376" s="4">
        <v>2013</v>
      </c>
      <c r="H376" s="25">
        <v>41478</v>
      </c>
      <c r="K376" s="4" t="s">
        <v>1397</v>
      </c>
    </row>
    <row r="377" spans="1:11" ht="15.75" customHeight="1">
      <c r="A377" s="4">
        <v>21843348</v>
      </c>
      <c r="B377" s="4" t="s">
        <v>6220</v>
      </c>
      <c r="C377" s="4" t="s">
        <v>6221</v>
      </c>
      <c r="D377" s="4" t="s">
        <v>6222</v>
      </c>
      <c r="E377" s="4" t="s">
        <v>1742</v>
      </c>
      <c r="F377" s="4" t="s">
        <v>4867</v>
      </c>
      <c r="G377" s="4">
        <v>2011</v>
      </c>
      <c r="H377" s="25">
        <v>40772</v>
      </c>
      <c r="I377" s="4" t="s">
        <v>6223</v>
      </c>
      <c r="K377" s="4" t="s">
        <v>1743</v>
      </c>
    </row>
    <row r="378" spans="1:11" ht="15.75" customHeight="1">
      <c r="A378" s="4">
        <v>19664021</v>
      </c>
      <c r="B378" s="4" t="s">
        <v>6060</v>
      </c>
      <c r="C378" s="4" t="s">
        <v>6061</v>
      </c>
      <c r="D378" s="4" t="s">
        <v>6062</v>
      </c>
      <c r="E378" s="4" t="s">
        <v>3572</v>
      </c>
      <c r="F378" s="4" t="s">
        <v>4974</v>
      </c>
      <c r="G378" s="4">
        <v>2009</v>
      </c>
      <c r="H378" s="25">
        <v>40037</v>
      </c>
      <c r="K378" s="4" t="s">
        <v>3573</v>
      </c>
    </row>
    <row r="379" spans="1:11" ht="15.75" customHeight="1">
      <c r="A379" s="4">
        <v>10765058</v>
      </c>
      <c r="B379" s="4" t="s">
        <v>5875</v>
      </c>
      <c r="C379" s="4" t="s">
        <v>5876</v>
      </c>
      <c r="D379" s="4" t="s">
        <v>5877</v>
      </c>
      <c r="E379" s="4" t="s">
        <v>2710</v>
      </c>
      <c r="F379" s="4" t="s">
        <v>5878</v>
      </c>
      <c r="G379" s="4">
        <v>2000</v>
      </c>
      <c r="H379" s="25">
        <v>36631</v>
      </c>
      <c r="K379" s="4" t="s">
        <v>2711</v>
      </c>
    </row>
    <row r="380" spans="1:11" ht="15.75" customHeight="1">
      <c r="A380" s="4">
        <v>10449249</v>
      </c>
      <c r="B380" s="4" t="s">
        <v>6134</v>
      </c>
      <c r="C380" s="4" t="s">
        <v>6135</v>
      </c>
      <c r="D380" s="4" t="s">
        <v>6136</v>
      </c>
      <c r="E380" s="4" t="s">
        <v>4706</v>
      </c>
      <c r="F380" s="4" t="s">
        <v>5163</v>
      </c>
      <c r="G380" s="4">
        <v>1999</v>
      </c>
      <c r="H380" s="25">
        <v>36389</v>
      </c>
      <c r="K380" s="4" t="s">
        <v>4709</v>
      </c>
    </row>
    <row r="381" spans="1:11" ht="15.75" customHeight="1">
      <c r="A381" s="4">
        <v>9260689</v>
      </c>
      <c r="B381" s="4" t="s">
        <v>5973</v>
      </c>
      <c r="C381" s="4" t="s">
        <v>5974</v>
      </c>
      <c r="D381" s="4" t="s">
        <v>5975</v>
      </c>
      <c r="E381" s="4" t="s">
        <v>2513</v>
      </c>
      <c r="F381" s="4" t="s">
        <v>4923</v>
      </c>
      <c r="G381" s="4">
        <v>1997</v>
      </c>
      <c r="H381" s="25">
        <v>35643</v>
      </c>
      <c r="K381" s="4" t="s">
        <v>2516</v>
      </c>
    </row>
    <row r="382" spans="1:11" ht="15.75" customHeight="1">
      <c r="A382" s="4">
        <v>1326815</v>
      </c>
      <c r="B382" s="4" t="s">
        <v>5924</v>
      </c>
      <c r="C382" s="4" t="s">
        <v>5925</v>
      </c>
      <c r="D382" s="4" t="s">
        <v>5926</v>
      </c>
      <c r="E382" s="4" t="s">
        <v>1862</v>
      </c>
      <c r="F382" s="4" t="s">
        <v>4950</v>
      </c>
      <c r="G382" s="4">
        <v>1992</v>
      </c>
      <c r="H382" s="25">
        <v>33848</v>
      </c>
      <c r="K382" s="4" t="s">
        <v>1863</v>
      </c>
    </row>
    <row r="383" spans="1:11" ht="15.75" customHeight="1">
      <c r="A383" s="4">
        <v>8844976</v>
      </c>
      <c r="B383" s="4" t="s">
        <v>5910</v>
      </c>
      <c r="C383" s="4" t="s">
        <v>5911</v>
      </c>
      <c r="D383" s="4" t="s">
        <v>5912</v>
      </c>
      <c r="E383" s="4" t="s">
        <v>3716</v>
      </c>
      <c r="F383" s="4" t="s">
        <v>5913</v>
      </c>
      <c r="G383" s="4">
        <v>1996</v>
      </c>
      <c r="H383" s="25">
        <v>35318</v>
      </c>
      <c r="K383" s="4" t="s">
        <v>3717</v>
      </c>
    </row>
    <row r="384" spans="1:11" ht="15.75" customHeight="1">
      <c r="A384" s="4">
        <v>9752764</v>
      </c>
      <c r="B384" s="4" t="s">
        <v>6553</v>
      </c>
      <c r="C384" s="4" t="s">
        <v>5086</v>
      </c>
      <c r="D384" s="4" t="s">
        <v>6554</v>
      </c>
      <c r="E384" s="4" t="s">
        <v>4527</v>
      </c>
      <c r="F384" s="4" t="s">
        <v>5072</v>
      </c>
      <c r="G384" s="4">
        <v>1998</v>
      </c>
      <c r="H384" s="25">
        <v>36068</v>
      </c>
      <c r="K384" s="4" t="s">
        <v>4529</v>
      </c>
    </row>
    <row r="385" spans="1:11" ht="15.75" customHeight="1">
      <c r="A385" s="4">
        <v>24330265</v>
      </c>
      <c r="B385" s="4" t="s">
        <v>6035</v>
      </c>
      <c r="C385" s="4" t="s">
        <v>6036</v>
      </c>
      <c r="D385" s="4" t="s">
        <v>6037</v>
      </c>
      <c r="E385" s="4" t="s">
        <v>3497</v>
      </c>
      <c r="F385" s="4" t="s">
        <v>5163</v>
      </c>
      <c r="G385" s="4">
        <v>2014</v>
      </c>
      <c r="H385" s="25">
        <v>41625</v>
      </c>
      <c r="K385" s="4" t="s">
        <v>3498</v>
      </c>
    </row>
    <row r="386" spans="1:11" ht="15.75" customHeight="1">
      <c r="A386" s="4">
        <v>16966219</v>
      </c>
      <c r="B386" s="4" t="s">
        <v>6101</v>
      </c>
      <c r="C386" s="4" t="s">
        <v>6102</v>
      </c>
      <c r="D386" s="4" t="s">
        <v>6103</v>
      </c>
      <c r="E386" s="4" t="s">
        <v>1137</v>
      </c>
      <c r="F386" s="4" t="s">
        <v>4961</v>
      </c>
      <c r="G386" s="4">
        <v>2006</v>
      </c>
      <c r="H386" s="25">
        <v>38973</v>
      </c>
      <c r="K386" s="4" t="s">
        <v>1138</v>
      </c>
    </row>
    <row r="387" spans="1:11" ht="15.75" customHeight="1">
      <c r="A387" s="4">
        <v>11438822</v>
      </c>
      <c r="B387" s="4" t="s">
        <v>5961</v>
      </c>
      <c r="C387" s="4" t="s">
        <v>5962</v>
      </c>
      <c r="D387" s="4" t="s">
        <v>5963</v>
      </c>
      <c r="E387" s="4" t="s">
        <v>748</v>
      </c>
      <c r="F387" s="4" t="s">
        <v>4863</v>
      </c>
      <c r="G387" s="4">
        <v>2001</v>
      </c>
      <c r="H387" s="25">
        <v>37077</v>
      </c>
      <c r="K387" s="4" t="s">
        <v>749</v>
      </c>
    </row>
    <row r="388" spans="1:11" ht="15.75" customHeight="1">
      <c r="A388" s="4">
        <v>12200359</v>
      </c>
      <c r="B388" s="4" t="s">
        <v>5930</v>
      </c>
      <c r="C388" s="4" t="s">
        <v>5931</v>
      </c>
      <c r="D388" s="4" t="s">
        <v>5932</v>
      </c>
      <c r="E388" s="4" t="s">
        <v>863</v>
      </c>
      <c r="F388" s="4" t="s">
        <v>5343</v>
      </c>
      <c r="G388" s="4">
        <v>2002</v>
      </c>
      <c r="H388" s="25">
        <v>37498</v>
      </c>
    </row>
    <row r="389" spans="1:11" ht="15.75" customHeight="1">
      <c r="A389" s="4">
        <v>9603179</v>
      </c>
      <c r="B389" s="4" t="s">
        <v>6531</v>
      </c>
      <c r="C389" s="4" t="s">
        <v>6532</v>
      </c>
      <c r="D389" s="4" t="s">
        <v>6533</v>
      </c>
      <c r="E389" s="4" t="s">
        <v>195</v>
      </c>
      <c r="F389" s="4" t="s">
        <v>5445</v>
      </c>
      <c r="G389" s="4">
        <v>1998</v>
      </c>
      <c r="H389" s="25">
        <v>35944</v>
      </c>
      <c r="K389" s="4" t="s">
        <v>4641</v>
      </c>
    </row>
    <row r="390" spans="1:11" ht="15.75" customHeight="1">
      <c r="A390" s="4">
        <v>1646280</v>
      </c>
      <c r="B390" s="4" t="s">
        <v>6075</v>
      </c>
      <c r="C390" s="4" t="s">
        <v>6076</v>
      </c>
      <c r="D390" s="4" t="s">
        <v>6077</v>
      </c>
      <c r="E390" s="4" t="s">
        <v>2758</v>
      </c>
      <c r="F390" s="4" t="s">
        <v>4966</v>
      </c>
      <c r="G390" s="4">
        <v>1991</v>
      </c>
      <c r="H390" s="25">
        <v>33390</v>
      </c>
      <c r="K390" s="4" t="s">
        <v>2764</v>
      </c>
    </row>
    <row r="391" spans="1:11" ht="15.75" customHeight="1">
      <c r="A391" s="4">
        <v>8890036</v>
      </c>
      <c r="B391" s="4" t="s">
        <v>6449</v>
      </c>
      <c r="C391" s="4" t="s">
        <v>6450</v>
      </c>
      <c r="D391" s="4" t="s">
        <v>6451</v>
      </c>
      <c r="E391" s="4" t="s">
        <v>2136</v>
      </c>
      <c r="F391" s="4" t="s">
        <v>4923</v>
      </c>
      <c r="G391" s="4">
        <v>1996</v>
      </c>
      <c r="H391" s="25">
        <v>35309</v>
      </c>
      <c r="K391" s="4" t="s">
        <v>2137</v>
      </c>
    </row>
    <row r="392" spans="1:11" ht="15.75" customHeight="1">
      <c r="A392" s="4">
        <v>8790409</v>
      </c>
      <c r="B392" s="4" t="s">
        <v>6056</v>
      </c>
      <c r="C392" s="4" t="s">
        <v>6057</v>
      </c>
      <c r="D392" s="4" t="s">
        <v>6058</v>
      </c>
      <c r="E392" s="4" t="s">
        <v>2636</v>
      </c>
      <c r="F392" s="4" t="s">
        <v>5783</v>
      </c>
      <c r="G392" s="4">
        <v>1996</v>
      </c>
      <c r="H392" s="25">
        <v>35311</v>
      </c>
      <c r="I392" s="4" t="s">
        <v>6059</v>
      </c>
      <c r="K392" s="4" t="s">
        <v>2637</v>
      </c>
    </row>
    <row r="393" spans="1:11" ht="15.75" customHeight="1">
      <c r="A393" s="4">
        <v>16008754</v>
      </c>
      <c r="B393" s="4" t="s">
        <v>6409</v>
      </c>
      <c r="C393" s="4" t="s">
        <v>6410</v>
      </c>
      <c r="D393" s="4" t="s">
        <v>6411</v>
      </c>
      <c r="E393" s="4" t="s">
        <v>590</v>
      </c>
      <c r="F393" s="4" t="s">
        <v>4900</v>
      </c>
      <c r="G393" s="4">
        <v>2005</v>
      </c>
      <c r="H393" s="25">
        <v>38546</v>
      </c>
      <c r="K393" s="4" t="s">
        <v>591</v>
      </c>
    </row>
    <row r="394" spans="1:11" ht="15.75" customHeight="1">
      <c r="A394" s="4">
        <v>12181449</v>
      </c>
      <c r="B394" s="4" t="s">
        <v>6353</v>
      </c>
      <c r="C394" s="4" t="s">
        <v>6354</v>
      </c>
      <c r="D394" s="4" t="s">
        <v>6355</v>
      </c>
      <c r="E394" s="4" t="s">
        <v>1788</v>
      </c>
      <c r="F394" s="4" t="s">
        <v>6356</v>
      </c>
      <c r="G394" s="4">
        <v>2002</v>
      </c>
      <c r="H394" s="25">
        <v>37484</v>
      </c>
      <c r="K394" s="4" t="s">
        <v>1793</v>
      </c>
    </row>
    <row r="395" spans="1:11" ht="15.75" customHeight="1">
      <c r="A395" s="4">
        <v>20138915</v>
      </c>
      <c r="B395" s="4" t="s">
        <v>5845</v>
      </c>
      <c r="C395" s="4" t="s">
        <v>5846</v>
      </c>
      <c r="D395" s="4" t="s">
        <v>5847</v>
      </c>
      <c r="E395" s="4" t="s">
        <v>654</v>
      </c>
      <c r="F395" s="4" t="s">
        <v>5267</v>
      </c>
      <c r="G395" s="4">
        <v>2010</v>
      </c>
      <c r="H395" s="25">
        <v>40218</v>
      </c>
      <c r="K395" s="4" t="s">
        <v>2483</v>
      </c>
    </row>
    <row r="396" spans="1:11" ht="15.75" customHeight="1">
      <c r="A396" s="4">
        <v>12828339</v>
      </c>
      <c r="B396" s="4" t="s">
        <v>6081</v>
      </c>
      <c r="C396" s="4" t="s">
        <v>6082</v>
      </c>
      <c r="D396" s="4" t="s">
        <v>6083</v>
      </c>
      <c r="E396" s="4" t="s">
        <v>3379</v>
      </c>
      <c r="F396" s="4" t="s">
        <v>5995</v>
      </c>
      <c r="G396" s="4">
        <v>2003</v>
      </c>
      <c r="H396" s="25">
        <v>37800</v>
      </c>
    </row>
    <row r="397" spans="1:11" ht="15.75" customHeight="1">
      <c r="A397" s="4">
        <v>17913805</v>
      </c>
      <c r="B397" s="4" t="s">
        <v>5423</v>
      </c>
      <c r="C397" s="4" t="s">
        <v>5424</v>
      </c>
      <c r="D397" s="4" t="s">
        <v>5425</v>
      </c>
      <c r="E397" s="4" t="s">
        <v>3242</v>
      </c>
      <c r="F397" s="4" t="s">
        <v>4891</v>
      </c>
      <c r="G397" s="4">
        <v>2007</v>
      </c>
      <c r="H397" s="25">
        <v>39360</v>
      </c>
      <c r="I397" s="4" t="s">
        <v>5426</v>
      </c>
      <c r="K397" s="4" t="s">
        <v>3243</v>
      </c>
    </row>
    <row r="398" spans="1:11" ht="15.75" customHeight="1">
      <c r="A398" s="4">
        <v>17958914</v>
      </c>
      <c r="B398" s="4" t="s">
        <v>5889</v>
      </c>
      <c r="C398" s="4" t="s">
        <v>5890</v>
      </c>
      <c r="D398" s="4" t="s">
        <v>5891</v>
      </c>
      <c r="E398" s="4" t="s">
        <v>3854</v>
      </c>
      <c r="F398" s="4" t="s">
        <v>4867</v>
      </c>
      <c r="G398" s="4">
        <v>2007</v>
      </c>
      <c r="H398" s="25">
        <v>39381</v>
      </c>
      <c r="I398" s="4" t="s">
        <v>5892</v>
      </c>
      <c r="K398" s="4" t="s">
        <v>3855</v>
      </c>
    </row>
    <row r="399" spans="1:11" ht="15.75" customHeight="1">
      <c r="A399" s="4">
        <v>15983553</v>
      </c>
      <c r="B399" s="4" t="s">
        <v>6041</v>
      </c>
      <c r="C399" s="4" t="s">
        <v>6042</v>
      </c>
      <c r="D399" s="4" t="s">
        <v>6043</v>
      </c>
      <c r="E399" s="4" t="s">
        <v>3729</v>
      </c>
      <c r="F399" s="4" t="s">
        <v>5076</v>
      </c>
      <c r="G399" s="4">
        <v>2005</v>
      </c>
      <c r="H399" s="25">
        <v>38532</v>
      </c>
      <c r="K399" s="4" t="s">
        <v>3730</v>
      </c>
    </row>
    <row r="400" spans="1:11" ht="15.75" customHeight="1">
      <c r="A400" s="4">
        <v>1314872</v>
      </c>
      <c r="B400" s="4" t="s">
        <v>6072</v>
      </c>
      <c r="C400" s="4" t="s">
        <v>6073</v>
      </c>
      <c r="D400" s="4" t="s">
        <v>6074</v>
      </c>
      <c r="E400" s="4" t="s">
        <v>2724</v>
      </c>
      <c r="F400" s="4" t="s">
        <v>4992</v>
      </c>
      <c r="G400" s="4">
        <v>1992</v>
      </c>
      <c r="H400" s="25">
        <v>33725</v>
      </c>
      <c r="K400" s="4" t="s">
        <v>2729</v>
      </c>
    </row>
    <row r="401" spans="1:11" ht="15.75" customHeight="1">
      <c r="A401" s="4">
        <v>17063514</v>
      </c>
      <c r="B401" s="4" t="s">
        <v>6110</v>
      </c>
      <c r="C401" s="4" t="s">
        <v>6111</v>
      </c>
      <c r="D401" s="4" t="s">
        <v>6112</v>
      </c>
      <c r="E401" s="4" t="s">
        <v>1132</v>
      </c>
      <c r="F401" s="4" t="s">
        <v>4923</v>
      </c>
      <c r="G401" s="4">
        <v>2006</v>
      </c>
      <c r="H401" s="25">
        <v>39016</v>
      </c>
      <c r="K401" s="4" t="s">
        <v>1135</v>
      </c>
    </row>
    <row r="402" spans="1:11" ht="15.75" customHeight="1">
      <c r="A402" s="4">
        <v>16281938</v>
      </c>
      <c r="B402" s="4" t="s">
        <v>6010</v>
      </c>
      <c r="C402" s="4" t="s">
        <v>6011</v>
      </c>
      <c r="D402" s="4" t="s">
        <v>6012</v>
      </c>
      <c r="E402" s="4" t="s">
        <v>275</v>
      </c>
      <c r="F402" s="4" t="s">
        <v>5211</v>
      </c>
      <c r="G402" s="4">
        <v>2005</v>
      </c>
      <c r="H402" s="25">
        <v>38668</v>
      </c>
      <c r="K402" s="4" t="s">
        <v>406</v>
      </c>
    </row>
    <row r="403" spans="1:11" ht="15.75" customHeight="1">
      <c r="A403" s="4">
        <v>17913577</v>
      </c>
      <c r="B403" s="4" t="s">
        <v>6490</v>
      </c>
      <c r="C403" s="4" t="s">
        <v>6491</v>
      </c>
      <c r="D403" s="4" t="s">
        <v>6492</v>
      </c>
      <c r="E403" s="4" t="s">
        <v>2397</v>
      </c>
      <c r="F403" s="4" t="s">
        <v>4896</v>
      </c>
      <c r="G403" s="4">
        <v>2007</v>
      </c>
      <c r="H403" s="25">
        <v>39360</v>
      </c>
      <c r="K403" s="4" t="s">
        <v>2398</v>
      </c>
    </row>
    <row r="404" spans="1:11" ht="15.75" customHeight="1">
      <c r="A404" s="4">
        <v>10343615</v>
      </c>
      <c r="B404" s="4" t="s">
        <v>6274</v>
      </c>
      <c r="C404" s="4" t="s">
        <v>6275</v>
      </c>
      <c r="D404" s="4" t="s">
        <v>6276</v>
      </c>
      <c r="E404" s="4" t="s">
        <v>195</v>
      </c>
      <c r="F404" s="4" t="s">
        <v>6277</v>
      </c>
      <c r="G404" s="4">
        <v>1999</v>
      </c>
      <c r="H404" s="25">
        <v>36307</v>
      </c>
      <c r="I404" s="4" t="s">
        <v>6278</v>
      </c>
      <c r="K404" s="4" t="s">
        <v>4643</v>
      </c>
    </row>
    <row r="405" spans="1:11" ht="15.75" customHeight="1">
      <c r="A405" s="4">
        <v>21957287</v>
      </c>
      <c r="B405" s="4" t="s">
        <v>6247</v>
      </c>
      <c r="C405" s="4" t="s">
        <v>6248</v>
      </c>
      <c r="D405" s="4" t="s">
        <v>6249</v>
      </c>
      <c r="E405" s="4" t="s">
        <v>2642</v>
      </c>
      <c r="F405" s="4" t="s">
        <v>4891</v>
      </c>
      <c r="G405" s="4">
        <v>2011</v>
      </c>
      <c r="H405" s="25">
        <v>40816</v>
      </c>
      <c r="I405" s="4" t="s">
        <v>6250</v>
      </c>
      <c r="K405" s="4" t="s">
        <v>2645</v>
      </c>
    </row>
    <row r="406" spans="1:11" ht="15.75" customHeight="1">
      <c r="A406" s="4">
        <v>11876972</v>
      </c>
      <c r="B406" s="4" t="s">
        <v>5871</v>
      </c>
      <c r="C406" s="4" t="s">
        <v>5872</v>
      </c>
      <c r="D406" s="4" t="s">
        <v>5873</v>
      </c>
      <c r="E406" s="4" t="s">
        <v>3070</v>
      </c>
      <c r="F406" s="4" t="s">
        <v>5874</v>
      </c>
      <c r="G406" s="4">
        <v>2000</v>
      </c>
      <c r="H406" s="25">
        <v>37321</v>
      </c>
    </row>
    <row r="407" spans="1:11" ht="15.75" customHeight="1">
      <c r="A407" s="4">
        <v>18662831</v>
      </c>
      <c r="B407" s="4" t="s">
        <v>6053</v>
      </c>
      <c r="C407" s="4" t="s">
        <v>6054</v>
      </c>
      <c r="D407" s="4" t="s">
        <v>6055</v>
      </c>
      <c r="E407" s="4" t="s">
        <v>587</v>
      </c>
      <c r="F407" s="4" t="s">
        <v>5051</v>
      </c>
      <c r="G407" s="4">
        <v>2008</v>
      </c>
      <c r="H407" s="25">
        <v>39659</v>
      </c>
      <c r="K407" s="4" t="s">
        <v>588</v>
      </c>
    </row>
    <row r="408" spans="1:11" ht="15.75" customHeight="1">
      <c r="A408" s="4">
        <v>1849169</v>
      </c>
      <c r="B408" s="4" t="s">
        <v>6476</v>
      </c>
      <c r="C408" s="4" t="s">
        <v>6477</v>
      </c>
      <c r="D408" s="4" t="s">
        <v>6478</v>
      </c>
      <c r="E408" s="4" t="s">
        <v>2700</v>
      </c>
      <c r="F408" s="4" t="s">
        <v>4992</v>
      </c>
      <c r="G408" s="4">
        <v>1991</v>
      </c>
      <c r="H408" s="25">
        <v>33329</v>
      </c>
      <c r="K408" s="4" t="s">
        <v>2703</v>
      </c>
    </row>
    <row r="409" spans="1:11" ht="15.75" customHeight="1">
      <c r="A409" s="4">
        <v>10913395</v>
      </c>
      <c r="B409" s="4" t="s">
        <v>6314</v>
      </c>
      <c r="C409" s="4" t="s">
        <v>6315</v>
      </c>
      <c r="D409" s="4" t="s">
        <v>6316</v>
      </c>
      <c r="E409" s="4" t="s">
        <v>3732</v>
      </c>
      <c r="F409" s="4" t="s">
        <v>5080</v>
      </c>
      <c r="G409" s="4">
        <v>2000</v>
      </c>
      <c r="H409" s="25">
        <v>36736</v>
      </c>
      <c r="K409" s="4" t="s">
        <v>3733</v>
      </c>
    </row>
    <row r="410" spans="1:11" ht="15.75" customHeight="1">
      <c r="A410" s="4">
        <v>16984646</v>
      </c>
      <c r="B410" s="4" t="s">
        <v>5920</v>
      </c>
      <c r="C410" s="4" t="s">
        <v>5921</v>
      </c>
      <c r="D410" s="4" t="s">
        <v>5922</v>
      </c>
      <c r="E410" s="4" t="s">
        <v>4250</v>
      </c>
      <c r="F410" s="4" t="s">
        <v>4867</v>
      </c>
      <c r="G410" s="4">
        <v>2006</v>
      </c>
      <c r="H410" s="25">
        <v>38981</v>
      </c>
      <c r="I410" s="4" t="s">
        <v>5923</v>
      </c>
      <c r="K410" s="4" t="s">
        <v>4251</v>
      </c>
    </row>
    <row r="411" spans="1:11" ht="15.75" customHeight="1">
      <c r="A411" s="4">
        <v>26176562</v>
      </c>
      <c r="B411" s="4" t="s">
        <v>6084</v>
      </c>
      <c r="C411" s="4" t="s">
        <v>6085</v>
      </c>
      <c r="D411" s="4" t="s">
        <v>6086</v>
      </c>
      <c r="E411" s="4" t="s">
        <v>256</v>
      </c>
      <c r="F411" s="4" t="s">
        <v>4974</v>
      </c>
      <c r="G411" s="4">
        <v>2015</v>
      </c>
      <c r="H411" s="25">
        <v>42201</v>
      </c>
      <c r="K411" s="4" t="s">
        <v>3220</v>
      </c>
    </row>
    <row r="412" spans="1:11" ht="15.75" customHeight="1">
      <c r="A412" s="4">
        <v>15721266</v>
      </c>
      <c r="B412" s="4" t="s">
        <v>5942</v>
      </c>
      <c r="C412" s="4" t="s">
        <v>5943</v>
      </c>
      <c r="D412" s="4" t="s">
        <v>5944</v>
      </c>
      <c r="E412" s="4" t="s">
        <v>155</v>
      </c>
      <c r="F412" s="4" t="s">
        <v>5945</v>
      </c>
      <c r="G412" s="4">
        <v>2005</v>
      </c>
      <c r="H412" s="25">
        <v>38405</v>
      </c>
      <c r="K412" s="4" t="s">
        <v>3454</v>
      </c>
    </row>
    <row r="413" spans="1:11" ht="15.75" customHeight="1">
      <c r="A413" s="4">
        <v>12767009</v>
      </c>
      <c r="B413" s="4" t="s">
        <v>6341</v>
      </c>
      <c r="C413" s="4" t="s">
        <v>6342</v>
      </c>
      <c r="D413" s="4" t="s">
        <v>6343</v>
      </c>
      <c r="E413" s="4" t="s">
        <v>2513</v>
      </c>
      <c r="F413" s="4" t="s">
        <v>4923</v>
      </c>
      <c r="G413" s="4">
        <v>2003</v>
      </c>
      <c r="H413" s="25">
        <v>37768</v>
      </c>
      <c r="K413" s="4" t="s">
        <v>2518</v>
      </c>
    </row>
    <row r="414" spans="1:11" ht="15.75" customHeight="1">
      <c r="A414" s="4">
        <v>19321385</v>
      </c>
      <c r="B414" s="4" t="s">
        <v>6128</v>
      </c>
      <c r="C414" s="4" t="s">
        <v>6129</v>
      </c>
      <c r="D414" s="4" t="s">
        <v>6130</v>
      </c>
      <c r="E414" s="4" t="s">
        <v>233</v>
      </c>
      <c r="F414" s="4" t="s">
        <v>4896</v>
      </c>
      <c r="G414" s="4">
        <v>2009</v>
      </c>
      <c r="H414" s="25">
        <v>39899</v>
      </c>
      <c r="K414" s="4" t="s">
        <v>677</v>
      </c>
    </row>
    <row r="415" spans="1:11" ht="15.75" customHeight="1">
      <c r="A415" s="4">
        <v>8382723</v>
      </c>
      <c r="B415" s="4" t="s">
        <v>6122</v>
      </c>
      <c r="C415" s="4" t="s">
        <v>6123</v>
      </c>
      <c r="D415" s="4" t="s">
        <v>6124</v>
      </c>
      <c r="E415" s="4" t="s">
        <v>112</v>
      </c>
      <c r="F415" s="4" t="s">
        <v>4992</v>
      </c>
      <c r="G415" s="4">
        <v>1993</v>
      </c>
      <c r="H415" s="25">
        <v>34029</v>
      </c>
      <c r="K415" s="4" t="s">
        <v>324</v>
      </c>
    </row>
    <row r="416" spans="1:11" ht="15.75" customHeight="1">
      <c r="A416" s="4">
        <v>7949085</v>
      </c>
      <c r="B416" s="4" t="s">
        <v>6078</v>
      </c>
      <c r="C416" s="4" t="s">
        <v>6079</v>
      </c>
      <c r="D416" s="4" t="s">
        <v>6080</v>
      </c>
      <c r="E416" s="4" t="s">
        <v>513</v>
      </c>
      <c r="F416" s="4" t="s">
        <v>5343</v>
      </c>
      <c r="G416" s="4">
        <v>1994</v>
      </c>
      <c r="H416" s="25">
        <v>34653</v>
      </c>
    </row>
    <row r="417" spans="1:11" ht="15.75" customHeight="1">
      <c r="A417" s="4">
        <v>19153640</v>
      </c>
      <c r="B417" s="4" t="s">
        <v>5882</v>
      </c>
      <c r="C417" s="4" t="s">
        <v>5883</v>
      </c>
      <c r="D417" s="4" t="s">
        <v>5884</v>
      </c>
      <c r="E417" s="4" t="s">
        <v>4046</v>
      </c>
      <c r="F417" s="4" t="s">
        <v>5186</v>
      </c>
      <c r="G417" s="4">
        <v>2009</v>
      </c>
      <c r="H417" s="25">
        <v>39834</v>
      </c>
      <c r="K417" s="4" t="s">
        <v>4047</v>
      </c>
    </row>
    <row r="418" spans="1:11" ht="15.75" customHeight="1">
      <c r="A418" s="4">
        <v>2156005</v>
      </c>
      <c r="B418" s="4" t="s">
        <v>6373</v>
      </c>
      <c r="C418" s="4" t="s">
        <v>6374</v>
      </c>
      <c r="D418" s="4" t="s">
        <v>6375</v>
      </c>
      <c r="E418" s="4" t="s">
        <v>2305</v>
      </c>
      <c r="F418" s="4" t="s">
        <v>4923</v>
      </c>
      <c r="G418" s="4">
        <v>1990</v>
      </c>
      <c r="H418" s="25">
        <v>32905</v>
      </c>
      <c r="K418" s="4" t="s">
        <v>2306</v>
      </c>
    </row>
    <row r="419" spans="1:11" ht="15.75" customHeight="1">
      <c r="A419" s="4">
        <v>22825817</v>
      </c>
      <c r="B419" s="4" t="s">
        <v>6163</v>
      </c>
      <c r="C419" s="4" t="s">
        <v>6164</v>
      </c>
      <c r="D419" s="4" t="s">
        <v>6165</v>
      </c>
      <c r="E419" s="4" t="s">
        <v>654</v>
      </c>
      <c r="F419" s="4" t="s">
        <v>4923</v>
      </c>
      <c r="G419" s="4">
        <v>2012</v>
      </c>
      <c r="H419" s="25">
        <v>41115</v>
      </c>
      <c r="K419" s="4" t="s">
        <v>657</v>
      </c>
    </row>
    <row r="420" spans="1:11" ht="15.75" customHeight="1">
      <c r="A420" s="4">
        <v>11742650</v>
      </c>
      <c r="B420" s="4" t="s">
        <v>5958</v>
      </c>
      <c r="C420" s="4" t="s">
        <v>5959</v>
      </c>
      <c r="D420" s="4" t="s">
        <v>5960</v>
      </c>
      <c r="E420" s="4" t="s">
        <v>596</v>
      </c>
      <c r="F420" s="4" t="s">
        <v>5267</v>
      </c>
      <c r="G420" s="4">
        <v>2002</v>
      </c>
      <c r="H420" s="25">
        <v>37243</v>
      </c>
      <c r="K420" s="4" t="s">
        <v>2139</v>
      </c>
    </row>
    <row r="421" spans="1:11" ht="15.75" customHeight="1">
      <c r="A421" s="4">
        <v>9705171</v>
      </c>
      <c r="B421" s="4" t="s">
        <v>6325</v>
      </c>
      <c r="C421" s="4" t="s">
        <v>6326</v>
      </c>
      <c r="D421" s="4" t="s">
        <v>6327</v>
      </c>
      <c r="E421" s="4" t="s">
        <v>979</v>
      </c>
      <c r="F421" s="4" t="s">
        <v>5267</v>
      </c>
      <c r="G421" s="4">
        <v>1998</v>
      </c>
      <c r="H421" s="25">
        <v>36022</v>
      </c>
      <c r="K421" s="4" t="s">
        <v>4483</v>
      </c>
    </row>
    <row r="422" spans="1:11" ht="15.75" customHeight="1">
      <c r="A422" s="4">
        <v>9311701</v>
      </c>
      <c r="B422" s="4" t="s">
        <v>6116</v>
      </c>
      <c r="C422" s="4" t="s">
        <v>6117</v>
      </c>
      <c r="D422" s="4" t="s">
        <v>6118</v>
      </c>
      <c r="E422" s="4" t="s">
        <v>4017</v>
      </c>
      <c r="F422" s="4" t="s">
        <v>5445</v>
      </c>
      <c r="G422" s="4">
        <v>1997</v>
      </c>
      <c r="H422" s="25">
        <v>35709</v>
      </c>
      <c r="K422" s="4" t="s">
        <v>4020</v>
      </c>
    </row>
    <row r="423" spans="1:11" ht="15.75" customHeight="1">
      <c r="A423" s="4">
        <v>17928352</v>
      </c>
      <c r="B423" s="4" t="s">
        <v>5946</v>
      </c>
      <c r="C423" s="4" t="s">
        <v>5947</v>
      </c>
      <c r="D423" s="4" t="s">
        <v>5948</v>
      </c>
      <c r="E423" s="4" t="s">
        <v>4597</v>
      </c>
      <c r="F423" s="4" t="s">
        <v>4891</v>
      </c>
      <c r="G423" s="4">
        <v>2008</v>
      </c>
      <c r="H423" s="25">
        <v>39367</v>
      </c>
      <c r="I423" s="4" t="s">
        <v>5949</v>
      </c>
      <c r="K423" s="4" t="s">
        <v>4598</v>
      </c>
    </row>
    <row r="424" spans="1:11" ht="15.75" customHeight="1">
      <c r="A424" s="4">
        <v>16187619</v>
      </c>
      <c r="B424" s="4" t="s">
        <v>5758</v>
      </c>
      <c r="C424" s="4" t="s">
        <v>5759</v>
      </c>
      <c r="D424" s="4" t="s">
        <v>5760</v>
      </c>
      <c r="E424" s="4" t="s">
        <v>3456</v>
      </c>
      <c r="F424" s="4" t="s">
        <v>5761</v>
      </c>
      <c r="G424" s="4">
        <v>2005</v>
      </c>
      <c r="H424" s="25">
        <v>38624</v>
      </c>
    </row>
    <row r="425" spans="1:11" ht="15.75" customHeight="1">
      <c r="A425" s="4">
        <v>17276371</v>
      </c>
      <c r="B425" s="4" t="s">
        <v>5906</v>
      </c>
      <c r="C425" s="4" t="s">
        <v>5907</v>
      </c>
      <c r="D425" s="4" t="s">
        <v>5908</v>
      </c>
      <c r="E425" s="4" t="s">
        <v>4566</v>
      </c>
      <c r="F425" s="4" t="s">
        <v>4896</v>
      </c>
      <c r="G425" s="4">
        <v>2006</v>
      </c>
      <c r="H425" s="25">
        <v>39119</v>
      </c>
      <c r="I425" s="4" t="s">
        <v>5909</v>
      </c>
      <c r="K425" s="4" t="s">
        <v>4569</v>
      </c>
    </row>
    <row r="426" spans="1:11" ht="15.75" customHeight="1">
      <c r="A426" s="4">
        <v>15469723</v>
      </c>
      <c r="B426" s="4" t="s">
        <v>6243</v>
      </c>
      <c r="C426" s="4" t="s">
        <v>6244</v>
      </c>
      <c r="D426" s="4" t="s">
        <v>6245</v>
      </c>
      <c r="E426" s="4" t="s">
        <v>4615</v>
      </c>
      <c r="F426" s="4" t="s">
        <v>6246</v>
      </c>
      <c r="G426" s="4">
        <v>2004</v>
      </c>
      <c r="H426" s="25">
        <v>38268</v>
      </c>
      <c r="K426" s="4" t="s">
        <v>4616</v>
      </c>
    </row>
    <row r="427" spans="1:11" ht="15.75" customHeight="1">
      <c r="A427" s="4">
        <v>8896242</v>
      </c>
      <c r="B427" s="4" t="s">
        <v>6368</v>
      </c>
      <c r="C427" s="4" t="s">
        <v>6369</v>
      </c>
      <c r="D427" s="4" t="s">
        <v>6370</v>
      </c>
      <c r="E427" s="4" t="s">
        <v>1570</v>
      </c>
      <c r="F427" s="4" t="s">
        <v>5122</v>
      </c>
      <c r="G427" s="4">
        <v>1996</v>
      </c>
      <c r="H427" s="25">
        <v>35400</v>
      </c>
      <c r="K427" s="4" t="s">
        <v>1571</v>
      </c>
    </row>
    <row r="428" spans="1:11" ht="15.75" customHeight="1">
      <c r="A428" s="4">
        <v>14556272</v>
      </c>
      <c r="B428" s="4" t="s">
        <v>6331</v>
      </c>
      <c r="C428" s="4" t="s">
        <v>6332</v>
      </c>
      <c r="D428" s="4" t="s">
        <v>6333</v>
      </c>
      <c r="E428" s="4" t="s">
        <v>4082</v>
      </c>
      <c r="F428" s="4" t="s">
        <v>4923</v>
      </c>
      <c r="G428" s="4">
        <v>2003</v>
      </c>
      <c r="H428" s="25">
        <v>37908</v>
      </c>
      <c r="K428" s="4" t="s">
        <v>4083</v>
      </c>
    </row>
    <row r="429" spans="1:11" ht="15.75" customHeight="1">
      <c r="A429" s="4">
        <v>9391653</v>
      </c>
      <c r="B429" s="4" t="s">
        <v>5992</v>
      </c>
      <c r="C429" s="4" t="s">
        <v>5993</v>
      </c>
      <c r="D429" s="4" t="s">
        <v>5994</v>
      </c>
      <c r="E429" s="4" t="s">
        <v>4167</v>
      </c>
      <c r="F429" s="4" t="s">
        <v>5995</v>
      </c>
      <c r="G429" s="4">
        <v>1997</v>
      </c>
      <c r="H429" s="25">
        <v>35643</v>
      </c>
    </row>
    <row r="430" spans="1:11" ht="15.75" customHeight="1">
      <c r="A430" s="4">
        <v>16960791</v>
      </c>
      <c r="B430" s="4" t="s">
        <v>6559</v>
      </c>
      <c r="C430" s="4" t="s">
        <v>6560</v>
      </c>
      <c r="D430" s="4" t="s">
        <v>6561</v>
      </c>
      <c r="E430" s="4" t="s">
        <v>501</v>
      </c>
      <c r="F430" s="4" t="s">
        <v>4992</v>
      </c>
      <c r="G430" s="4">
        <v>2006</v>
      </c>
      <c r="H430" s="25">
        <v>38969</v>
      </c>
      <c r="K430" s="4" t="s">
        <v>1401</v>
      </c>
    </row>
    <row r="431" spans="1:11" ht="15.75" customHeight="1">
      <c r="A431" s="4">
        <v>10068608</v>
      </c>
      <c r="B431" s="4" t="s">
        <v>6297</v>
      </c>
      <c r="C431" s="4" t="s">
        <v>6298</v>
      </c>
      <c r="D431" s="4" t="s">
        <v>6299</v>
      </c>
      <c r="E431" s="4" t="s">
        <v>1764</v>
      </c>
      <c r="F431" s="4" t="s">
        <v>4992</v>
      </c>
      <c r="G431" s="4">
        <v>1999</v>
      </c>
      <c r="H431" s="25">
        <v>36228</v>
      </c>
      <c r="K431" s="4" t="s">
        <v>1765</v>
      </c>
    </row>
    <row r="432" spans="1:11" ht="15.75" customHeight="1">
      <c r="A432" s="4">
        <v>17939902</v>
      </c>
      <c r="B432" s="4" t="s">
        <v>6029</v>
      </c>
      <c r="C432" s="4" t="s">
        <v>6030</v>
      </c>
      <c r="D432" s="4" t="s">
        <v>6031</v>
      </c>
      <c r="E432" s="4" t="s">
        <v>1414</v>
      </c>
      <c r="F432" s="4" t="s">
        <v>5449</v>
      </c>
      <c r="G432" s="4">
        <v>2007</v>
      </c>
      <c r="H432" s="25">
        <v>39373</v>
      </c>
    </row>
    <row r="433" spans="1:11" ht="15.75" customHeight="1">
      <c r="A433" s="4">
        <v>15152048</v>
      </c>
      <c r="B433" s="4" t="s">
        <v>6181</v>
      </c>
      <c r="C433" s="4" t="s">
        <v>6182</v>
      </c>
      <c r="D433" s="4" t="s">
        <v>6183</v>
      </c>
      <c r="E433" s="4" t="s">
        <v>1876</v>
      </c>
      <c r="F433" s="4" t="s">
        <v>6184</v>
      </c>
      <c r="G433" s="4">
        <v>2004</v>
      </c>
      <c r="H433" s="25">
        <v>38128</v>
      </c>
      <c r="I433" s="4" t="s">
        <v>6185</v>
      </c>
      <c r="K433" s="4" t="s">
        <v>1877</v>
      </c>
    </row>
    <row r="434" spans="1:11" ht="15.75" customHeight="1">
      <c r="A434" s="4">
        <v>23342747</v>
      </c>
      <c r="B434" s="4" t="s">
        <v>6159</v>
      </c>
      <c r="C434" s="4" t="s">
        <v>6160</v>
      </c>
      <c r="D434" s="4" t="s">
        <v>6161</v>
      </c>
      <c r="E434" s="4" t="s">
        <v>4304</v>
      </c>
      <c r="F434" s="4" t="s">
        <v>6162</v>
      </c>
      <c r="G434" s="4">
        <v>2012</v>
      </c>
      <c r="H434" s="25">
        <v>41299</v>
      </c>
      <c r="K434" s="4" t="s">
        <v>4305</v>
      </c>
    </row>
    <row r="435" spans="1:11" ht="15.75" customHeight="1">
      <c r="A435" s="4">
        <v>8391023</v>
      </c>
      <c r="B435" s="4" t="s">
        <v>6227</v>
      </c>
      <c r="C435" s="4" t="s">
        <v>6228</v>
      </c>
      <c r="D435" s="4" t="s">
        <v>6229</v>
      </c>
      <c r="E435" s="4" t="s">
        <v>112</v>
      </c>
      <c r="F435" s="4" t="s">
        <v>5331</v>
      </c>
      <c r="G435" s="4">
        <v>1993</v>
      </c>
      <c r="H435" s="25">
        <v>34121</v>
      </c>
      <c r="I435" s="4" t="s">
        <v>6230</v>
      </c>
      <c r="K435" s="4" t="s">
        <v>1922</v>
      </c>
    </row>
    <row r="436" spans="1:11" ht="15.75" customHeight="1">
      <c r="A436" s="4">
        <v>11076708</v>
      </c>
      <c r="B436" s="4" t="s">
        <v>6231</v>
      </c>
      <c r="C436" s="4" t="s">
        <v>6232</v>
      </c>
      <c r="D436" s="4" t="s">
        <v>6233</v>
      </c>
      <c r="E436" s="4" t="s">
        <v>786</v>
      </c>
      <c r="F436" s="4" t="s">
        <v>4992</v>
      </c>
      <c r="G436" s="4">
        <v>2001</v>
      </c>
      <c r="H436" s="25">
        <v>36845</v>
      </c>
      <c r="K436" s="4" t="s">
        <v>787</v>
      </c>
    </row>
    <row r="437" spans="1:11" ht="15.75" customHeight="1">
      <c r="A437" s="4">
        <v>8385692</v>
      </c>
      <c r="B437" s="4" t="s">
        <v>6234</v>
      </c>
      <c r="C437" s="4" t="s">
        <v>6235</v>
      </c>
      <c r="D437" s="4" t="s">
        <v>6236</v>
      </c>
      <c r="E437" s="4" t="s">
        <v>2194</v>
      </c>
      <c r="F437" s="4" t="s">
        <v>4966</v>
      </c>
      <c r="G437" s="4">
        <v>1993</v>
      </c>
      <c r="H437" s="25">
        <v>34060</v>
      </c>
      <c r="K437" s="4" t="s">
        <v>2195</v>
      </c>
    </row>
    <row r="438" spans="1:11" ht="15.75" customHeight="1">
      <c r="A438" s="4">
        <v>11593320</v>
      </c>
      <c r="B438" s="4" t="s">
        <v>6237</v>
      </c>
      <c r="C438" s="4" t="s">
        <v>6238</v>
      </c>
      <c r="D438" s="4" t="s">
        <v>6239</v>
      </c>
      <c r="E438" s="4" t="s">
        <v>453</v>
      </c>
      <c r="F438" s="4" t="s">
        <v>4863</v>
      </c>
      <c r="G438" s="4">
        <v>2001</v>
      </c>
      <c r="H438" s="25">
        <v>37175</v>
      </c>
      <c r="K438" s="4" t="s">
        <v>454</v>
      </c>
    </row>
    <row r="439" spans="1:11" ht="15.75" customHeight="1">
      <c r="A439" s="4">
        <v>1846645</v>
      </c>
      <c r="B439" s="4" t="s">
        <v>6547</v>
      </c>
      <c r="C439" s="4" t="s">
        <v>6548</v>
      </c>
      <c r="D439" s="4" t="s">
        <v>6549</v>
      </c>
      <c r="E439" s="4" t="s">
        <v>3995</v>
      </c>
      <c r="F439" s="4" t="s">
        <v>4966</v>
      </c>
      <c r="G439" s="4">
        <v>1991</v>
      </c>
      <c r="H439" s="25">
        <v>33239</v>
      </c>
      <c r="K439" s="4" t="s">
        <v>3996</v>
      </c>
    </row>
    <row r="440" spans="1:11" ht="15.75" customHeight="1">
      <c r="A440" s="4">
        <v>27060193</v>
      </c>
      <c r="B440" s="4" t="s">
        <v>6173</v>
      </c>
      <c r="C440" s="4" t="s">
        <v>6174</v>
      </c>
      <c r="D440" s="4" t="s">
        <v>6175</v>
      </c>
      <c r="E440" s="4" t="s">
        <v>1600</v>
      </c>
      <c r="F440" s="4" t="s">
        <v>6176</v>
      </c>
      <c r="G440" s="4">
        <v>2016</v>
      </c>
      <c r="H440" s="25">
        <v>42470</v>
      </c>
      <c r="K440" s="4" t="s">
        <v>1601</v>
      </c>
    </row>
    <row r="441" spans="1:11" ht="15.75" customHeight="1">
      <c r="A441" s="4">
        <v>24478470</v>
      </c>
      <c r="B441" s="4" t="s">
        <v>6264</v>
      </c>
      <c r="C441" s="4" t="s">
        <v>6265</v>
      </c>
      <c r="D441" s="4" t="s">
        <v>6266</v>
      </c>
      <c r="E441" s="4" t="s">
        <v>2632</v>
      </c>
      <c r="F441" s="4" t="s">
        <v>5331</v>
      </c>
      <c r="G441" s="4">
        <v>2014</v>
      </c>
      <c r="H441" s="25">
        <v>41670</v>
      </c>
      <c r="I441" s="4" t="s">
        <v>6267</v>
      </c>
      <c r="K441" s="4" t="s">
        <v>2633</v>
      </c>
    </row>
    <row r="442" spans="1:11" ht="15.75" customHeight="1">
      <c r="A442" s="4">
        <v>9258937</v>
      </c>
      <c r="B442" s="4" t="s">
        <v>6240</v>
      </c>
      <c r="C442" s="4" t="s">
        <v>6241</v>
      </c>
      <c r="D442" s="4" t="s">
        <v>6242</v>
      </c>
      <c r="E442" s="4" t="s">
        <v>1570</v>
      </c>
      <c r="F442" s="4" t="s">
        <v>5103</v>
      </c>
      <c r="G442" s="4">
        <v>1997</v>
      </c>
      <c r="H442" s="25">
        <v>35612</v>
      </c>
    </row>
    <row r="443" spans="1:11" ht="15.75" customHeight="1">
      <c r="A443" s="4">
        <v>11454544</v>
      </c>
      <c r="B443" s="4" t="s">
        <v>6550</v>
      </c>
      <c r="C443" s="4" t="s">
        <v>6551</v>
      </c>
      <c r="D443" s="4" t="s">
        <v>6552</v>
      </c>
      <c r="E443" s="4" t="s">
        <v>593</v>
      </c>
      <c r="F443" s="4" t="s">
        <v>6289</v>
      </c>
      <c r="G443" s="4">
        <v>2001</v>
      </c>
      <c r="H443" s="25">
        <v>37089</v>
      </c>
    </row>
    <row r="444" spans="1:11" ht="15.75" customHeight="1">
      <c r="A444" s="4">
        <v>12270665</v>
      </c>
      <c r="B444" s="4" t="s">
        <v>6170</v>
      </c>
      <c r="C444" s="4" t="s">
        <v>6171</v>
      </c>
      <c r="D444" s="4" t="s">
        <v>6172</v>
      </c>
      <c r="E444" s="4" t="s">
        <v>4313</v>
      </c>
      <c r="F444" s="4" t="s">
        <v>5267</v>
      </c>
      <c r="G444" s="4">
        <v>2002</v>
      </c>
      <c r="H444" s="25">
        <v>37524</v>
      </c>
      <c r="K444" s="4" t="s">
        <v>4314</v>
      </c>
    </row>
    <row r="445" spans="1:11" ht="15.75" customHeight="1">
      <c r="A445" s="4">
        <v>20561301</v>
      </c>
      <c r="B445" s="4" t="s">
        <v>6186</v>
      </c>
      <c r="C445" s="4" t="s">
        <v>6187</v>
      </c>
      <c r="D445" s="4" t="s">
        <v>6188</v>
      </c>
      <c r="E445" s="4" t="s">
        <v>2855</v>
      </c>
      <c r="F445" s="4" t="s">
        <v>4974</v>
      </c>
      <c r="G445" s="4">
        <v>2010</v>
      </c>
      <c r="H445" s="25">
        <v>40351</v>
      </c>
      <c r="K445" s="4" t="s">
        <v>2856</v>
      </c>
    </row>
    <row r="446" spans="1:11" ht="15.75" customHeight="1">
      <c r="A446" s="4">
        <v>24380721</v>
      </c>
      <c r="B446" s="4" t="s">
        <v>6283</v>
      </c>
      <c r="C446" s="4" t="s">
        <v>6284</v>
      </c>
      <c r="D446" s="4" t="s">
        <v>6285</v>
      </c>
      <c r="E446" s="4" t="s">
        <v>1422</v>
      </c>
      <c r="F446" s="4" t="s">
        <v>4896</v>
      </c>
      <c r="G446" s="4">
        <v>2014</v>
      </c>
      <c r="H446" s="25">
        <v>41641</v>
      </c>
      <c r="K446" s="4" t="s">
        <v>1423</v>
      </c>
    </row>
    <row r="447" spans="1:11" ht="15.75" customHeight="1">
      <c r="A447" s="4">
        <v>9242553</v>
      </c>
      <c r="B447" s="4" t="s">
        <v>6087</v>
      </c>
      <c r="C447" s="4" t="s">
        <v>6088</v>
      </c>
      <c r="D447" s="4" t="s">
        <v>6089</v>
      </c>
      <c r="E447" s="4" t="s">
        <v>1268</v>
      </c>
      <c r="F447" s="4" t="s">
        <v>5343</v>
      </c>
      <c r="G447" s="4">
        <v>1997</v>
      </c>
      <c r="H447" s="25">
        <v>35643</v>
      </c>
    </row>
    <row r="448" spans="1:11" ht="15.75" customHeight="1">
      <c r="A448" s="4">
        <v>8397264</v>
      </c>
      <c r="B448" s="4" t="s">
        <v>6576</v>
      </c>
      <c r="C448" s="4" t="s">
        <v>6577</v>
      </c>
      <c r="D448" s="4" t="s">
        <v>6578</v>
      </c>
      <c r="E448" s="4" t="s">
        <v>3036</v>
      </c>
      <c r="F448" s="4" t="s">
        <v>4992</v>
      </c>
      <c r="G448" s="4">
        <v>1993</v>
      </c>
      <c r="H448" s="25">
        <v>34243</v>
      </c>
      <c r="K448" s="4" t="s">
        <v>3039</v>
      </c>
    </row>
    <row r="449" spans="1:11" ht="15.75" customHeight="1">
      <c r="A449" s="4">
        <v>21088083</v>
      </c>
      <c r="B449" s="4" t="s">
        <v>6206</v>
      </c>
      <c r="C449" s="4" t="s">
        <v>6207</v>
      </c>
      <c r="D449" s="4" t="s">
        <v>6208</v>
      </c>
      <c r="E449" s="4" t="s">
        <v>3341</v>
      </c>
      <c r="F449" s="4" t="s">
        <v>6209</v>
      </c>
      <c r="G449" s="4">
        <v>2010</v>
      </c>
      <c r="H449" s="25">
        <v>40502</v>
      </c>
      <c r="I449" s="4" t="s">
        <v>6210</v>
      </c>
      <c r="K449" s="4" t="s">
        <v>3342</v>
      </c>
    </row>
    <row r="450" spans="1:11" ht="15.75" customHeight="1">
      <c r="A450" s="4">
        <v>1311366</v>
      </c>
      <c r="B450" s="4" t="s">
        <v>6416</v>
      </c>
      <c r="C450" s="4" t="s">
        <v>6417</v>
      </c>
      <c r="D450" s="4" t="s">
        <v>6418</v>
      </c>
      <c r="E450" s="4" t="s">
        <v>3466</v>
      </c>
      <c r="F450" s="4" t="s">
        <v>4966</v>
      </c>
      <c r="G450" s="4">
        <v>1992</v>
      </c>
      <c r="H450" s="25">
        <v>33635</v>
      </c>
      <c r="K450" s="4" t="s">
        <v>3469</v>
      </c>
    </row>
    <row r="451" spans="1:11" ht="15.75" customHeight="1">
      <c r="A451" s="4">
        <v>25124787</v>
      </c>
      <c r="B451" s="4" t="s">
        <v>6152</v>
      </c>
      <c r="C451" s="4" t="s">
        <v>6153</v>
      </c>
      <c r="D451" s="4" t="s">
        <v>6154</v>
      </c>
      <c r="E451" s="4" t="s">
        <v>3657</v>
      </c>
      <c r="F451" s="4" t="s">
        <v>5343</v>
      </c>
      <c r="G451" s="4">
        <v>2014</v>
      </c>
      <c r="H451" s="25">
        <v>41867</v>
      </c>
      <c r="I451" s="4" t="s">
        <v>6155</v>
      </c>
      <c r="K451" s="4" t="s">
        <v>3658</v>
      </c>
    </row>
    <row r="452" spans="1:11" ht="15.75" customHeight="1">
      <c r="A452" s="4">
        <v>19519818</v>
      </c>
      <c r="B452" s="4" t="s">
        <v>6300</v>
      </c>
      <c r="C452" s="4" t="s">
        <v>6301</v>
      </c>
      <c r="D452" s="4" t="s">
        <v>6302</v>
      </c>
      <c r="E452" s="4" t="s">
        <v>273</v>
      </c>
      <c r="F452" s="4" t="s">
        <v>5726</v>
      </c>
      <c r="G452" s="4">
        <v>2009</v>
      </c>
      <c r="H452" s="25">
        <v>39977</v>
      </c>
      <c r="K452" s="4" t="s">
        <v>403</v>
      </c>
    </row>
    <row r="453" spans="1:11" ht="15.75" customHeight="1">
      <c r="A453" s="4">
        <v>26596368</v>
      </c>
      <c r="B453" s="4" t="s">
        <v>6555</v>
      </c>
      <c r="C453" s="4" t="s">
        <v>6556</v>
      </c>
      <c r="D453" s="4" t="s">
        <v>6557</v>
      </c>
      <c r="E453" s="4" t="s">
        <v>1208</v>
      </c>
      <c r="F453" s="4" t="s">
        <v>6558</v>
      </c>
      <c r="G453" s="4">
        <v>2016</v>
      </c>
      <c r="H453" s="25">
        <v>42333</v>
      </c>
      <c r="K453" s="4" t="s">
        <v>1209</v>
      </c>
    </row>
    <row r="454" spans="1:11" ht="15.75" customHeight="1">
      <c r="A454" s="4">
        <v>7893980</v>
      </c>
      <c r="B454" s="4" t="s">
        <v>6303</v>
      </c>
      <c r="C454" s="4" t="s">
        <v>6304</v>
      </c>
      <c r="D454" s="4" t="s">
        <v>6305</v>
      </c>
      <c r="E454" s="4" t="s">
        <v>2800</v>
      </c>
      <c r="F454" s="4" t="s">
        <v>4954</v>
      </c>
      <c r="G454" s="4">
        <v>1994</v>
      </c>
      <c r="H454" s="25">
        <v>34516</v>
      </c>
    </row>
    <row r="455" spans="1:11" ht="15.75" customHeight="1">
      <c r="A455" s="4">
        <v>7534493</v>
      </c>
      <c r="B455" s="4" t="s">
        <v>6104</v>
      </c>
      <c r="C455" s="4" t="s">
        <v>6105</v>
      </c>
      <c r="D455" s="4" t="s">
        <v>6106</v>
      </c>
      <c r="E455" s="4" t="s">
        <v>1947</v>
      </c>
      <c r="F455" s="4" t="s">
        <v>4954</v>
      </c>
      <c r="G455" s="4">
        <v>1994</v>
      </c>
      <c r="H455" s="25">
        <v>34516</v>
      </c>
    </row>
    <row r="456" spans="1:11" ht="15.75" customHeight="1">
      <c r="A456" s="4">
        <v>1647138</v>
      </c>
      <c r="B456" s="4" t="s">
        <v>6063</v>
      </c>
      <c r="C456" s="4" t="s">
        <v>6064</v>
      </c>
      <c r="D456" s="4" t="s">
        <v>6065</v>
      </c>
      <c r="E456" s="4" t="s">
        <v>3824</v>
      </c>
      <c r="F456" s="4" t="s">
        <v>6066</v>
      </c>
      <c r="G456" s="4">
        <v>1991</v>
      </c>
      <c r="H456" s="25">
        <v>33390</v>
      </c>
      <c r="I456" s="4" t="s">
        <v>6067</v>
      </c>
    </row>
    <row r="457" spans="1:11" ht="15.75" customHeight="1">
      <c r="A457" s="4">
        <v>22647694</v>
      </c>
      <c r="B457" s="4" t="s">
        <v>5830</v>
      </c>
      <c r="C457" s="4" t="s">
        <v>5831</v>
      </c>
      <c r="D457" s="4" t="s">
        <v>5832</v>
      </c>
      <c r="E457" s="4" t="s">
        <v>3503</v>
      </c>
      <c r="F457" s="4" t="s">
        <v>4891</v>
      </c>
      <c r="G457" s="4">
        <v>2012</v>
      </c>
      <c r="H457" s="25">
        <v>41061</v>
      </c>
      <c r="I457" s="4" t="s">
        <v>5833</v>
      </c>
      <c r="K457" s="4" t="s">
        <v>3504</v>
      </c>
    </row>
    <row r="458" spans="1:11" ht="15.75" customHeight="1">
      <c r="A458" s="4">
        <v>12794728</v>
      </c>
      <c r="B458" s="4" t="s">
        <v>6203</v>
      </c>
      <c r="C458" s="4" t="s">
        <v>6204</v>
      </c>
      <c r="D458" s="4" t="s">
        <v>6205</v>
      </c>
      <c r="E458" s="4" t="s">
        <v>2861</v>
      </c>
      <c r="F458" s="4" t="s">
        <v>4923</v>
      </c>
      <c r="G458" s="4">
        <v>2003</v>
      </c>
      <c r="H458" s="25">
        <v>37782</v>
      </c>
      <c r="K458" s="4" t="s">
        <v>2862</v>
      </c>
    </row>
    <row r="459" spans="1:11" ht="15.75" customHeight="1">
      <c r="A459" s="4">
        <v>18695326</v>
      </c>
      <c r="B459" s="4" t="s">
        <v>5854</v>
      </c>
      <c r="C459" s="4" t="s">
        <v>5855</v>
      </c>
      <c r="D459" s="4" t="s">
        <v>5856</v>
      </c>
      <c r="E459" s="4" t="s">
        <v>479</v>
      </c>
      <c r="F459" s="4" t="s">
        <v>5857</v>
      </c>
      <c r="G459" s="4">
        <v>2008</v>
      </c>
      <c r="H459" s="25">
        <v>39673</v>
      </c>
      <c r="K459" s="4" t="s">
        <v>480</v>
      </c>
    </row>
    <row r="460" spans="1:11" ht="15.75" customHeight="1">
      <c r="A460" s="4">
        <v>19656346</v>
      </c>
      <c r="B460" s="4" t="s">
        <v>6258</v>
      </c>
      <c r="C460" s="4" t="s">
        <v>6259</v>
      </c>
      <c r="D460" s="4" t="s">
        <v>6260</v>
      </c>
      <c r="E460" s="4" t="s">
        <v>754</v>
      </c>
      <c r="F460" s="4" t="s">
        <v>4974</v>
      </c>
      <c r="G460" s="4">
        <v>2009</v>
      </c>
      <c r="H460" s="25">
        <v>40032</v>
      </c>
      <c r="K460" s="4" t="s">
        <v>3271</v>
      </c>
    </row>
    <row r="461" spans="1:11" ht="15.75" customHeight="1">
      <c r="A461" s="4">
        <v>16030042</v>
      </c>
      <c r="B461" s="4" t="s">
        <v>6527</v>
      </c>
      <c r="C461" s="4" t="s">
        <v>6528</v>
      </c>
      <c r="D461" s="4" t="s">
        <v>6529</v>
      </c>
      <c r="E461" s="4" t="s">
        <v>1832</v>
      </c>
      <c r="F461" s="4" t="s">
        <v>6530</v>
      </c>
      <c r="G461" s="4">
        <v>2005</v>
      </c>
      <c r="H461" s="25">
        <v>38554</v>
      </c>
      <c r="K461" s="4" t="s">
        <v>1833</v>
      </c>
    </row>
    <row r="462" spans="1:11" ht="15.75" customHeight="1">
      <c r="A462" s="4">
        <v>1311135</v>
      </c>
      <c r="B462" s="4" t="s">
        <v>5861</v>
      </c>
      <c r="C462" s="4" t="s">
        <v>5862</v>
      </c>
      <c r="D462" s="4" t="s">
        <v>5863</v>
      </c>
      <c r="E462" s="4" t="s">
        <v>1341</v>
      </c>
      <c r="F462" s="4" t="s">
        <v>5122</v>
      </c>
      <c r="G462" s="4">
        <v>1992</v>
      </c>
      <c r="H462" s="25">
        <v>33604</v>
      </c>
      <c r="K462" s="4" t="s">
        <v>1342</v>
      </c>
    </row>
    <row r="463" spans="1:11" ht="15.75" customHeight="1">
      <c r="A463" s="4">
        <v>15914369</v>
      </c>
      <c r="B463" s="4" t="s">
        <v>6098</v>
      </c>
      <c r="C463" s="4" t="s">
        <v>6099</v>
      </c>
      <c r="D463" s="4" t="s">
        <v>6100</v>
      </c>
      <c r="E463" s="4" t="s">
        <v>924</v>
      </c>
      <c r="F463" s="4" t="s">
        <v>4927</v>
      </c>
      <c r="G463" s="4">
        <v>2005</v>
      </c>
      <c r="H463" s="25">
        <v>38498</v>
      </c>
      <c r="K463" s="4" t="s">
        <v>925</v>
      </c>
    </row>
    <row r="464" spans="1:11" ht="15.75" customHeight="1">
      <c r="A464" s="4">
        <v>1968216</v>
      </c>
      <c r="B464" s="4" t="s">
        <v>6386</v>
      </c>
      <c r="C464" s="4" t="s">
        <v>6387</v>
      </c>
      <c r="D464" s="4" t="s">
        <v>6388</v>
      </c>
      <c r="E464" s="4" t="s">
        <v>4491</v>
      </c>
      <c r="F464" s="4" t="s">
        <v>6147</v>
      </c>
      <c r="G464" s="4">
        <v>1990</v>
      </c>
      <c r="H464" s="25">
        <v>32928</v>
      </c>
      <c r="K464" s="4" t="s">
        <v>4492</v>
      </c>
    </row>
    <row r="465" spans="1:11" ht="15.75" customHeight="1">
      <c r="A465" s="4">
        <v>7915373</v>
      </c>
      <c r="B465" s="4" t="s">
        <v>6778</v>
      </c>
      <c r="C465" s="4" t="s">
        <v>6779</v>
      </c>
      <c r="D465" s="4" t="s">
        <v>6780</v>
      </c>
      <c r="E465" s="4" t="s">
        <v>3200</v>
      </c>
      <c r="F465" s="4" t="s">
        <v>6147</v>
      </c>
      <c r="G465" s="4">
        <v>1994</v>
      </c>
      <c r="H465" s="25">
        <v>34580</v>
      </c>
      <c r="K465" s="4" t="s">
        <v>3201</v>
      </c>
    </row>
    <row r="466" spans="1:11" ht="15.75" customHeight="1">
      <c r="A466" s="4">
        <v>11389712</v>
      </c>
      <c r="B466" s="4" t="s">
        <v>6376</v>
      </c>
      <c r="C466" s="4" t="s">
        <v>6377</v>
      </c>
      <c r="D466" s="4" t="s">
        <v>6378</v>
      </c>
      <c r="E466" s="4" t="s">
        <v>2316</v>
      </c>
      <c r="F466" s="4" t="s">
        <v>5243</v>
      </c>
      <c r="G466" s="4">
        <v>2001</v>
      </c>
      <c r="H466" s="25">
        <v>37050</v>
      </c>
      <c r="K466" s="4" t="s">
        <v>2317</v>
      </c>
    </row>
    <row r="467" spans="1:11" ht="15.75" customHeight="1">
      <c r="A467" s="4">
        <v>18550745</v>
      </c>
      <c r="B467" s="4" t="s">
        <v>6412</v>
      </c>
      <c r="C467" s="4" t="s">
        <v>6413</v>
      </c>
      <c r="D467" s="4" t="s">
        <v>6414</v>
      </c>
      <c r="E467" s="4" t="s">
        <v>2051</v>
      </c>
      <c r="F467" s="4" t="s">
        <v>5331</v>
      </c>
      <c r="G467" s="4">
        <v>2008</v>
      </c>
      <c r="H467" s="25">
        <v>39613</v>
      </c>
      <c r="I467" s="4" t="s">
        <v>6415</v>
      </c>
      <c r="K467" s="4" t="s">
        <v>2054</v>
      </c>
    </row>
    <row r="468" spans="1:11" ht="15.75" customHeight="1">
      <c r="A468" s="4">
        <v>2159541</v>
      </c>
      <c r="B468" s="4" t="s">
        <v>6310</v>
      </c>
      <c r="C468" s="4" t="s">
        <v>6311</v>
      </c>
      <c r="D468" s="4" t="s">
        <v>6312</v>
      </c>
      <c r="E468" s="4" t="s">
        <v>3041</v>
      </c>
      <c r="F468" s="4" t="s">
        <v>4891</v>
      </c>
      <c r="G468" s="4">
        <v>1990</v>
      </c>
      <c r="H468" s="25">
        <v>33025</v>
      </c>
      <c r="I468" s="4" t="s">
        <v>6313</v>
      </c>
      <c r="K468" s="4" t="s">
        <v>3053</v>
      </c>
    </row>
    <row r="469" spans="1:11" ht="15.75" customHeight="1">
      <c r="A469" s="4">
        <v>26489402</v>
      </c>
      <c r="B469" s="4" t="s">
        <v>5597</v>
      </c>
      <c r="C469" s="4" t="s">
        <v>5598</v>
      </c>
      <c r="D469" s="4" t="s">
        <v>5599</v>
      </c>
      <c r="E469" s="4" t="s">
        <v>1905</v>
      </c>
      <c r="F469" s="4" t="s">
        <v>4896</v>
      </c>
      <c r="G469" s="4">
        <v>2015</v>
      </c>
      <c r="H469" s="25">
        <v>42300</v>
      </c>
      <c r="K469" s="4" t="s">
        <v>1912</v>
      </c>
    </row>
    <row r="470" spans="1:11" ht="15.75" customHeight="1">
      <c r="A470" s="4">
        <v>14593901</v>
      </c>
      <c r="B470" s="4" t="s">
        <v>6279</v>
      </c>
      <c r="C470" s="4" t="s">
        <v>6280</v>
      </c>
      <c r="D470" s="4" t="s">
        <v>6281</v>
      </c>
      <c r="E470" s="4" t="s">
        <v>3506</v>
      </c>
      <c r="F470" s="4" t="s">
        <v>6282</v>
      </c>
      <c r="G470" s="4">
        <v>2003</v>
      </c>
      <c r="H470" s="25">
        <v>37930</v>
      </c>
    </row>
    <row r="471" spans="1:11" ht="15.75" customHeight="1">
      <c r="A471" s="4">
        <v>10423733</v>
      </c>
      <c r="B471" s="4" t="s">
        <v>6255</v>
      </c>
      <c r="C471" s="4" t="s">
        <v>6256</v>
      </c>
      <c r="D471" s="4" t="s">
        <v>6257</v>
      </c>
      <c r="E471" s="4" t="s">
        <v>1379</v>
      </c>
      <c r="F471" s="4" t="s">
        <v>5103</v>
      </c>
      <c r="G471" s="4">
        <v>1999</v>
      </c>
      <c r="H471" s="25">
        <v>36370</v>
      </c>
    </row>
    <row r="472" spans="1:11" ht="15.75" customHeight="1">
      <c r="A472" s="4">
        <v>17704794</v>
      </c>
      <c r="B472" s="4" t="s">
        <v>6586</v>
      </c>
      <c r="C472" s="4" t="s">
        <v>6587</v>
      </c>
      <c r="D472" s="4" t="s">
        <v>6588</v>
      </c>
      <c r="E472" s="4" t="s">
        <v>2437</v>
      </c>
      <c r="F472" s="4" t="s">
        <v>4863</v>
      </c>
      <c r="G472" s="4">
        <v>2007</v>
      </c>
      <c r="H472" s="25">
        <v>39315</v>
      </c>
      <c r="K472" s="4" t="s">
        <v>2438</v>
      </c>
    </row>
    <row r="473" spans="1:11" ht="15.75" customHeight="1">
      <c r="A473" s="4">
        <v>11990701</v>
      </c>
      <c r="B473" s="4" t="s">
        <v>6467</v>
      </c>
      <c r="C473" s="4" t="s">
        <v>6468</v>
      </c>
      <c r="D473" s="4" t="s">
        <v>6469</v>
      </c>
      <c r="E473" s="4" t="s">
        <v>3011</v>
      </c>
      <c r="F473" s="4" t="s">
        <v>5757</v>
      </c>
      <c r="G473" s="4">
        <v>2002</v>
      </c>
      <c r="H473" s="25">
        <v>37383</v>
      </c>
      <c r="K473" s="4" t="s">
        <v>3012</v>
      </c>
    </row>
    <row r="474" spans="1:11" ht="15.75" customHeight="1">
      <c r="A474" s="4">
        <v>2161036</v>
      </c>
      <c r="B474" s="4" t="s">
        <v>6473</v>
      </c>
      <c r="C474" s="4" t="s">
        <v>6474</v>
      </c>
      <c r="D474" s="4" t="s">
        <v>6475</v>
      </c>
      <c r="E474" s="4" t="s">
        <v>2700</v>
      </c>
      <c r="F474" s="4" t="s">
        <v>4992</v>
      </c>
      <c r="G474" s="4">
        <v>1990</v>
      </c>
      <c r="H474" s="25">
        <v>33025</v>
      </c>
      <c r="K474" s="4" t="s">
        <v>2705</v>
      </c>
    </row>
    <row r="475" spans="1:11" ht="15.75" customHeight="1">
      <c r="A475" s="4">
        <v>17204195</v>
      </c>
      <c r="B475" s="4" t="s">
        <v>6148</v>
      </c>
      <c r="C475" s="4" t="s">
        <v>6149</v>
      </c>
      <c r="D475" s="4" t="s">
        <v>6150</v>
      </c>
      <c r="E475" s="4" t="s">
        <v>177</v>
      </c>
      <c r="F475" s="4" t="s">
        <v>6151</v>
      </c>
      <c r="G475" s="4">
        <v>2006</v>
      </c>
      <c r="H475" s="25">
        <v>39088</v>
      </c>
    </row>
    <row r="476" spans="1:11" ht="15.75" customHeight="1">
      <c r="A476" s="4">
        <v>7606018</v>
      </c>
      <c r="B476" s="4" t="s">
        <v>6371</v>
      </c>
      <c r="C476" s="4" t="s">
        <v>6079</v>
      </c>
      <c r="D476" s="4" t="s">
        <v>6372</v>
      </c>
      <c r="E476" s="4" t="s">
        <v>513</v>
      </c>
      <c r="F476" s="4" t="s">
        <v>5343</v>
      </c>
      <c r="G476" s="4">
        <v>1995</v>
      </c>
      <c r="H476" s="25">
        <v>34895</v>
      </c>
    </row>
    <row r="477" spans="1:11" ht="15.75" customHeight="1">
      <c r="A477" s="4">
        <v>12491213</v>
      </c>
      <c r="B477" s="4" t="s">
        <v>6516</v>
      </c>
      <c r="C477" s="4" t="s">
        <v>6517</v>
      </c>
      <c r="D477" s="4" t="s">
        <v>6518</v>
      </c>
      <c r="E477" s="4" t="s">
        <v>1172</v>
      </c>
      <c r="F477" s="4" t="s">
        <v>5080</v>
      </c>
      <c r="G477" s="4">
        <v>2003</v>
      </c>
      <c r="H477" s="25">
        <v>37610</v>
      </c>
      <c r="K477" s="4" t="s">
        <v>1173</v>
      </c>
    </row>
    <row r="478" spans="1:11" ht="15.75" customHeight="1">
      <c r="A478" s="4">
        <v>7939295</v>
      </c>
      <c r="B478" s="4" t="s">
        <v>6572</v>
      </c>
      <c r="C478" s="4" t="s">
        <v>6573</v>
      </c>
      <c r="D478" s="4" t="s">
        <v>6574</v>
      </c>
      <c r="E478" s="4" t="s">
        <v>1118</v>
      </c>
      <c r="F478" s="4" t="s">
        <v>6575</v>
      </c>
      <c r="G478" s="4">
        <v>1994</v>
      </c>
      <c r="H478" s="25">
        <v>34425</v>
      </c>
    </row>
    <row r="479" spans="1:11" ht="15.75" customHeight="1">
      <c r="A479" s="4">
        <v>1668969</v>
      </c>
      <c r="B479" s="4" t="s">
        <v>6317</v>
      </c>
      <c r="C479" s="4" t="s">
        <v>6318</v>
      </c>
      <c r="D479" s="4" t="s">
        <v>6319</v>
      </c>
      <c r="E479" s="4" t="s">
        <v>1565</v>
      </c>
      <c r="F479" s="4" t="s">
        <v>6320</v>
      </c>
      <c r="G479" s="4">
        <v>1991</v>
      </c>
      <c r="H479" s="25">
        <v>33239</v>
      </c>
    </row>
    <row r="480" spans="1:11" ht="15.75" customHeight="1">
      <c r="A480" s="4">
        <v>7893986</v>
      </c>
      <c r="B480" s="4" t="s">
        <v>6224</v>
      </c>
      <c r="C480" s="4" t="s">
        <v>6225</v>
      </c>
      <c r="D480" s="4" t="s">
        <v>6226</v>
      </c>
      <c r="E480" s="4" t="s">
        <v>1063</v>
      </c>
      <c r="F480" s="4" t="s">
        <v>4954</v>
      </c>
      <c r="G480" s="4">
        <v>1994</v>
      </c>
      <c r="H480" s="25">
        <v>34516</v>
      </c>
    </row>
    <row r="481" spans="1:11" ht="15.75" customHeight="1">
      <c r="A481" s="4">
        <v>17254798</v>
      </c>
      <c r="B481" s="4" t="s">
        <v>6479</v>
      </c>
      <c r="C481" s="4" t="s">
        <v>6480</v>
      </c>
      <c r="D481" s="4" t="s">
        <v>6481</v>
      </c>
      <c r="E481" s="4" t="s">
        <v>2016</v>
      </c>
      <c r="F481" s="4" t="s">
        <v>6482</v>
      </c>
      <c r="G481" s="4">
        <v>2007</v>
      </c>
      <c r="H481" s="25">
        <v>39109</v>
      </c>
      <c r="K481" s="4" t="s">
        <v>2017</v>
      </c>
    </row>
    <row r="482" spans="1:11" ht="15.75" customHeight="1">
      <c r="A482" s="4">
        <v>7893985</v>
      </c>
      <c r="B482" s="4" t="s">
        <v>6565</v>
      </c>
      <c r="C482" s="4" t="s">
        <v>6566</v>
      </c>
      <c r="D482" s="4" t="s">
        <v>6567</v>
      </c>
      <c r="E482" s="4" t="s">
        <v>1063</v>
      </c>
      <c r="F482" s="4" t="s">
        <v>4954</v>
      </c>
      <c r="G482" s="4">
        <v>1994</v>
      </c>
      <c r="H482" s="25">
        <v>34516</v>
      </c>
    </row>
    <row r="483" spans="1:11" ht="15.75" customHeight="1">
      <c r="A483" s="4">
        <v>2173796</v>
      </c>
      <c r="B483" s="4" t="s">
        <v>6582</v>
      </c>
      <c r="C483" s="4" t="s">
        <v>6583</v>
      </c>
      <c r="D483" s="4" t="s">
        <v>6584</v>
      </c>
      <c r="E483" s="4" t="s">
        <v>3779</v>
      </c>
      <c r="F483" s="4" t="s">
        <v>4891</v>
      </c>
      <c r="G483" s="4">
        <v>1990</v>
      </c>
      <c r="H483" s="25">
        <v>33208</v>
      </c>
      <c r="I483" s="4" t="s">
        <v>6585</v>
      </c>
      <c r="K483" s="4" t="s">
        <v>3780</v>
      </c>
    </row>
    <row r="484" spans="1:11" ht="15.75" customHeight="1">
      <c r="A484" s="4">
        <v>18024365</v>
      </c>
      <c r="B484" s="4" t="s">
        <v>6286</v>
      </c>
      <c r="C484" s="4" t="s">
        <v>6287</v>
      </c>
      <c r="D484" s="4" t="s">
        <v>6288</v>
      </c>
      <c r="E484" s="4" t="s">
        <v>2437</v>
      </c>
      <c r="F484" s="4" t="s">
        <v>6289</v>
      </c>
      <c r="G484" s="4">
        <v>2007</v>
      </c>
      <c r="H484" s="25">
        <v>39407</v>
      </c>
      <c r="K484" s="4" t="s">
        <v>2440</v>
      </c>
    </row>
    <row r="485" spans="1:11" ht="15.75" customHeight="1">
      <c r="A485" s="4">
        <v>1322964</v>
      </c>
      <c r="B485" s="4" t="s">
        <v>6440</v>
      </c>
      <c r="C485" s="4" t="s">
        <v>6441</v>
      </c>
      <c r="D485" s="4" t="s">
        <v>6442</v>
      </c>
      <c r="E485" s="4" t="s">
        <v>1949</v>
      </c>
      <c r="F485" s="4" t="s">
        <v>4966</v>
      </c>
      <c r="G485" s="4">
        <v>1992</v>
      </c>
      <c r="H485" s="25">
        <v>33817</v>
      </c>
      <c r="K485" s="4" t="s">
        <v>1950</v>
      </c>
    </row>
    <row r="486" spans="1:11" ht="15.75" customHeight="1">
      <c r="A486" s="4">
        <v>2156361</v>
      </c>
      <c r="B486" s="4" t="s">
        <v>6271</v>
      </c>
      <c r="C486" s="4" t="s">
        <v>6272</v>
      </c>
      <c r="D486" s="4" t="s">
        <v>6273</v>
      </c>
      <c r="E486" s="4" t="s">
        <v>3466</v>
      </c>
      <c r="F486" s="4" t="s">
        <v>5445</v>
      </c>
      <c r="G486" s="4">
        <v>1990</v>
      </c>
      <c r="H486" s="25">
        <v>32933</v>
      </c>
      <c r="K486" s="4" t="s">
        <v>3471</v>
      </c>
    </row>
    <row r="487" spans="1:11" ht="15.75" customHeight="1">
      <c r="A487" s="4">
        <v>11497221</v>
      </c>
      <c r="B487" s="4" t="s">
        <v>6541</v>
      </c>
      <c r="C487" s="4" t="s">
        <v>6542</v>
      </c>
      <c r="D487" s="4" t="s">
        <v>6543</v>
      </c>
      <c r="E487" s="4" t="s">
        <v>4426</v>
      </c>
      <c r="F487" s="4" t="s">
        <v>5163</v>
      </c>
      <c r="G487" s="4">
        <v>2001</v>
      </c>
      <c r="H487" s="25">
        <v>37114</v>
      </c>
      <c r="K487" s="4" t="s">
        <v>4427</v>
      </c>
    </row>
    <row r="488" spans="1:11" ht="15.75" customHeight="1">
      <c r="A488" s="4">
        <v>24803376</v>
      </c>
      <c r="B488" s="4" t="s">
        <v>6399</v>
      </c>
      <c r="C488" s="4" t="s">
        <v>6400</v>
      </c>
      <c r="D488" s="4" t="s">
        <v>6401</v>
      </c>
      <c r="E488" s="4" t="s">
        <v>1961</v>
      </c>
      <c r="F488" s="4" t="s">
        <v>5080</v>
      </c>
      <c r="G488" s="4">
        <v>2014</v>
      </c>
      <c r="H488" s="25">
        <v>41767</v>
      </c>
      <c r="K488" s="4" t="s">
        <v>1962</v>
      </c>
    </row>
    <row r="489" spans="1:11" ht="15.75" customHeight="1">
      <c r="A489" s="4">
        <v>2156215</v>
      </c>
      <c r="B489" s="4" t="s">
        <v>6443</v>
      </c>
      <c r="C489" s="4" t="s">
        <v>6444</v>
      </c>
      <c r="D489" s="4" t="s">
        <v>6445</v>
      </c>
      <c r="E489" s="4" t="s">
        <v>4676</v>
      </c>
      <c r="F489" s="4" t="s">
        <v>5982</v>
      </c>
      <c r="G489" s="4">
        <v>1990</v>
      </c>
      <c r="H489" s="25">
        <v>32905</v>
      </c>
      <c r="K489" s="4" t="s">
        <v>4677</v>
      </c>
    </row>
    <row r="490" spans="1:11" ht="15.75" customHeight="1">
      <c r="A490" s="4">
        <v>11317413</v>
      </c>
      <c r="B490" s="4" t="s">
        <v>6544</v>
      </c>
      <c r="C490" s="4" t="s">
        <v>6079</v>
      </c>
      <c r="D490" s="4" t="s">
        <v>6545</v>
      </c>
      <c r="E490" s="4" t="s">
        <v>513</v>
      </c>
      <c r="F490" s="4" t="s">
        <v>6546</v>
      </c>
      <c r="G490" s="4">
        <v>2000</v>
      </c>
      <c r="H490" s="25">
        <v>37006</v>
      </c>
    </row>
    <row r="491" spans="1:11" ht="15.75" customHeight="1">
      <c r="A491" s="4">
        <v>12551983</v>
      </c>
      <c r="B491" s="4" t="s">
        <v>6500</v>
      </c>
      <c r="C491" s="4" t="s">
        <v>6501</v>
      </c>
      <c r="D491" s="4" t="s">
        <v>6502</v>
      </c>
      <c r="E491" s="4" t="s">
        <v>757</v>
      </c>
      <c r="F491" s="4" t="s">
        <v>4891</v>
      </c>
      <c r="G491" s="4">
        <v>2003</v>
      </c>
      <c r="H491" s="25">
        <v>37650</v>
      </c>
      <c r="I491" s="4" t="s">
        <v>6503</v>
      </c>
      <c r="K491" s="4" t="s">
        <v>3278</v>
      </c>
    </row>
    <row r="492" spans="1:11" ht="15.75" customHeight="1">
      <c r="A492" s="4">
        <v>8601789</v>
      </c>
      <c r="B492" s="4" t="s">
        <v>6507</v>
      </c>
      <c r="C492" s="4" t="s">
        <v>6508</v>
      </c>
      <c r="D492" s="4" t="s">
        <v>6509</v>
      </c>
      <c r="E492" s="4" t="s">
        <v>2061</v>
      </c>
      <c r="F492" s="4" t="s">
        <v>4966</v>
      </c>
      <c r="G492" s="4">
        <v>1996</v>
      </c>
      <c r="H492" s="25">
        <v>35125</v>
      </c>
      <c r="K492" s="4" t="s">
        <v>2064</v>
      </c>
    </row>
    <row r="493" spans="1:11" ht="15.75" customHeight="1">
      <c r="A493" s="4">
        <v>2158189</v>
      </c>
      <c r="B493" s="4" t="s">
        <v>6510</v>
      </c>
      <c r="C493" s="4" t="s">
        <v>6511</v>
      </c>
      <c r="D493" s="4" t="s">
        <v>6512</v>
      </c>
      <c r="E493" s="4" t="s">
        <v>3779</v>
      </c>
      <c r="F493" s="4" t="s">
        <v>4950</v>
      </c>
      <c r="G493" s="4">
        <v>1990</v>
      </c>
      <c r="H493" s="25">
        <v>32964</v>
      </c>
      <c r="K493" s="4" t="s">
        <v>3782</v>
      </c>
    </row>
    <row r="494" spans="1:11" ht="15.75" customHeight="1">
      <c r="A494" s="4">
        <v>7907709</v>
      </c>
      <c r="B494" s="4" t="s">
        <v>6406</v>
      </c>
      <c r="C494" s="4" t="s">
        <v>6407</v>
      </c>
      <c r="D494" s="4" t="s">
        <v>6408</v>
      </c>
      <c r="E494" s="4" t="s">
        <v>2194</v>
      </c>
      <c r="F494" s="4" t="s">
        <v>6147</v>
      </c>
      <c r="G494" s="4">
        <v>1994</v>
      </c>
      <c r="H494" s="25">
        <v>34412</v>
      </c>
      <c r="K494" s="4" t="s">
        <v>2197</v>
      </c>
    </row>
    <row r="495" spans="1:11" ht="15.75" customHeight="1">
      <c r="A495" s="4">
        <v>25571778</v>
      </c>
      <c r="B495" s="4" t="s">
        <v>6513</v>
      </c>
      <c r="C495" s="4" t="s">
        <v>6514</v>
      </c>
      <c r="D495" s="4" t="s">
        <v>6515</v>
      </c>
      <c r="E495" s="4" t="s">
        <v>4508</v>
      </c>
      <c r="F495" s="4" t="s">
        <v>4974</v>
      </c>
      <c r="G495" s="4">
        <v>2015</v>
      </c>
      <c r="H495" s="25">
        <v>42014</v>
      </c>
      <c r="K495" s="4" t="s">
        <v>4509</v>
      </c>
    </row>
    <row r="496" spans="1:11" ht="15.75" customHeight="1">
      <c r="A496" s="4">
        <v>7738149</v>
      </c>
      <c r="B496" s="4" t="s">
        <v>6461</v>
      </c>
      <c r="C496" s="4" t="s">
        <v>6462</v>
      </c>
      <c r="D496" s="4" t="s">
        <v>6463</v>
      </c>
      <c r="E496" s="4" t="s">
        <v>2061</v>
      </c>
      <c r="F496" s="4" t="s">
        <v>5267</v>
      </c>
      <c r="G496" s="4">
        <v>1995</v>
      </c>
      <c r="H496" s="25">
        <v>34731</v>
      </c>
      <c r="K496" s="4" t="s">
        <v>2066</v>
      </c>
    </row>
    <row r="497" spans="1:11" ht="15.75" customHeight="1">
      <c r="A497" s="4">
        <v>8232500</v>
      </c>
      <c r="B497" s="4" t="s">
        <v>6589</v>
      </c>
      <c r="C497" s="4" t="s">
        <v>6590</v>
      </c>
      <c r="D497" s="4" t="s">
        <v>6591</v>
      </c>
      <c r="E497" s="4" t="s">
        <v>3923</v>
      </c>
      <c r="F497" s="4" t="s">
        <v>5377</v>
      </c>
      <c r="G497" s="4">
        <v>1993</v>
      </c>
      <c r="H497" s="25">
        <v>34312</v>
      </c>
    </row>
    <row r="498" spans="1:11" ht="15.75" customHeight="1">
      <c r="A498" s="4">
        <v>19920771</v>
      </c>
      <c r="B498" s="4" t="s">
        <v>6579</v>
      </c>
      <c r="C498" s="4" t="s">
        <v>6580</v>
      </c>
      <c r="D498" s="4" t="s">
        <v>6581</v>
      </c>
      <c r="E498" s="4" t="s">
        <v>1253</v>
      </c>
      <c r="F498" s="4" t="s">
        <v>5445</v>
      </c>
      <c r="G498" s="4">
        <v>2009</v>
      </c>
      <c r="H498" s="25">
        <v>40136</v>
      </c>
      <c r="K498" s="4" t="s">
        <v>1254</v>
      </c>
    </row>
    <row r="499" spans="1:11" ht="15.75" customHeight="1">
      <c r="A499" s="4">
        <v>15619896</v>
      </c>
      <c r="B499" s="4" t="s">
        <v>6493</v>
      </c>
      <c r="C499" s="4" t="s">
        <v>6494</v>
      </c>
      <c r="D499" s="4" t="s">
        <v>6495</v>
      </c>
      <c r="E499" s="4" t="s">
        <v>2228</v>
      </c>
      <c r="F499" s="4" t="s">
        <v>6496</v>
      </c>
      <c r="G499" s="4">
        <v>1997</v>
      </c>
      <c r="H499" s="25">
        <v>35490</v>
      </c>
    </row>
    <row r="500" spans="1:11" ht="15.75" customHeight="1">
      <c r="A500" s="4">
        <v>11505524</v>
      </c>
      <c r="B500" s="4" t="s">
        <v>6592</v>
      </c>
      <c r="C500" s="4" t="s">
        <v>6593</v>
      </c>
      <c r="D500" s="4" t="s">
        <v>6594</v>
      </c>
      <c r="E500" s="4" t="s">
        <v>3450</v>
      </c>
      <c r="F500" s="4" t="s">
        <v>5047</v>
      </c>
      <c r="G500" s="4">
        <v>2001</v>
      </c>
      <c r="H500" s="25">
        <v>37120</v>
      </c>
    </row>
    <row r="501" spans="1:11" ht="15.75" customHeight="1">
      <c r="A501" s="4">
        <v>10678076</v>
      </c>
      <c r="B501" s="4" t="s">
        <v>6568</v>
      </c>
      <c r="C501" s="4" t="s">
        <v>6569</v>
      </c>
      <c r="D501" s="4" t="s">
        <v>6570</v>
      </c>
      <c r="E501" s="4" t="s">
        <v>4564</v>
      </c>
      <c r="F501" s="4" t="s">
        <v>6571</v>
      </c>
      <c r="G501" s="4">
        <v>1997</v>
      </c>
      <c r="H501" s="25">
        <v>35643</v>
      </c>
    </row>
    <row r="502" spans="1:11" ht="15.75" customHeight="1">
      <c r="A502" s="4">
        <v>1353104</v>
      </c>
      <c r="B502" s="4" t="s">
        <v>6602</v>
      </c>
      <c r="C502" s="4" t="s">
        <v>6603</v>
      </c>
      <c r="D502" s="4" t="s">
        <v>6604</v>
      </c>
      <c r="E502" s="4" t="s">
        <v>1502</v>
      </c>
      <c r="F502" s="4" t="s">
        <v>4992</v>
      </c>
      <c r="G502" s="4">
        <v>1992</v>
      </c>
      <c r="H502" s="25">
        <v>33817</v>
      </c>
      <c r="K502" s="4" t="s">
        <v>1503</v>
      </c>
    </row>
    <row r="503" spans="1:11" ht="15.75" customHeight="1">
      <c r="A503" s="4">
        <v>7742449</v>
      </c>
      <c r="B503" s="4" t="s">
        <v>6595</v>
      </c>
      <c r="C503" s="4" t="s">
        <v>6596</v>
      </c>
      <c r="D503" s="4" t="s">
        <v>6597</v>
      </c>
      <c r="E503" s="4" t="s">
        <v>2724</v>
      </c>
      <c r="F503" s="4" t="s">
        <v>5080</v>
      </c>
      <c r="G503" s="4">
        <v>1995</v>
      </c>
      <c r="H503" s="25">
        <v>34731</v>
      </c>
      <c r="K503" s="4" t="s">
        <v>2731</v>
      </c>
    </row>
    <row r="504" spans="1:11" ht="15.75" customHeight="1">
      <c r="A504" s="4">
        <v>9811708</v>
      </c>
      <c r="B504" s="4" t="s">
        <v>6598</v>
      </c>
      <c r="C504" s="4" t="s">
        <v>6599</v>
      </c>
      <c r="D504" s="4" t="s">
        <v>6600</v>
      </c>
      <c r="E504" s="4" t="s">
        <v>1508</v>
      </c>
      <c r="F504" s="4" t="s">
        <v>4891</v>
      </c>
      <c r="G504" s="4">
        <v>1998</v>
      </c>
      <c r="H504" s="25">
        <v>36112</v>
      </c>
      <c r="I504" s="4" t="s">
        <v>6601</v>
      </c>
      <c r="K504" s="4" t="s">
        <v>1509</v>
      </c>
    </row>
    <row r="505" spans="1:11" ht="15.75" customHeight="1">
      <c r="A505" s="4">
        <v>10233397</v>
      </c>
      <c r="B505" s="4" t="s">
        <v>6608</v>
      </c>
      <c r="C505" s="4" t="s">
        <v>6609</v>
      </c>
      <c r="D505" s="4" t="s">
        <v>6610</v>
      </c>
      <c r="E505" s="4" t="s">
        <v>254</v>
      </c>
      <c r="F505" s="4" t="s">
        <v>5211</v>
      </c>
      <c r="G505" s="4">
        <v>1999</v>
      </c>
      <c r="H505" s="25">
        <v>36288</v>
      </c>
    </row>
    <row r="506" spans="1:11" ht="15.75" customHeight="1">
      <c r="A506" s="4">
        <v>24099308</v>
      </c>
      <c r="B506" s="4" t="s">
        <v>6615</v>
      </c>
      <c r="C506" s="4" t="s">
        <v>6616</v>
      </c>
      <c r="D506" s="4" t="s">
        <v>6617</v>
      </c>
      <c r="E506" s="4" t="s">
        <v>2265</v>
      </c>
      <c r="F506" s="4" t="s">
        <v>6618</v>
      </c>
      <c r="G506" s="4">
        <v>2013</v>
      </c>
      <c r="H506" s="25">
        <v>41556</v>
      </c>
      <c r="K506" s="4" t="s">
        <v>2266</v>
      </c>
    </row>
    <row r="507" spans="1:11" ht="15.75" customHeight="1">
      <c r="A507" s="4">
        <v>1332051</v>
      </c>
      <c r="B507" s="4" t="s">
        <v>6611</v>
      </c>
      <c r="C507" s="4" t="s">
        <v>6612</v>
      </c>
      <c r="D507" s="4" t="s">
        <v>6613</v>
      </c>
      <c r="E507" s="4" t="s">
        <v>1314</v>
      </c>
      <c r="F507" s="4" t="s">
        <v>5783</v>
      </c>
      <c r="G507" s="4">
        <v>1992</v>
      </c>
      <c r="H507" s="25">
        <v>33919</v>
      </c>
      <c r="I507" s="4" t="s">
        <v>6614</v>
      </c>
      <c r="K507" s="4" t="s">
        <v>1315</v>
      </c>
    </row>
    <row r="508" spans="1:11" ht="15.75" customHeight="1">
      <c r="A508" s="4">
        <v>1846942</v>
      </c>
      <c r="B508" s="4" t="s">
        <v>6619</v>
      </c>
      <c r="C508" s="4" t="s">
        <v>6620</v>
      </c>
      <c r="D508" s="4" t="s">
        <v>6621</v>
      </c>
      <c r="E508" s="4" t="s">
        <v>465</v>
      </c>
      <c r="F508" s="4" t="s">
        <v>5377</v>
      </c>
      <c r="G508" s="4">
        <v>1991</v>
      </c>
      <c r="H508" s="25">
        <v>33297</v>
      </c>
      <c r="K508" s="4" t="s">
        <v>466</v>
      </c>
    </row>
    <row r="509" spans="1:11" ht="15.75" customHeight="1">
      <c r="A509" s="4">
        <v>30773083</v>
      </c>
      <c r="B509" s="4" t="s">
        <v>6622</v>
      </c>
      <c r="C509" s="4" t="s">
        <v>6623</v>
      </c>
      <c r="D509" s="4" t="s">
        <v>6624</v>
      </c>
      <c r="E509" s="4" t="s">
        <v>887</v>
      </c>
      <c r="F509" s="4" t="s">
        <v>5099</v>
      </c>
      <c r="G509" s="4">
        <v>2019</v>
      </c>
      <c r="H509" s="25">
        <v>43515</v>
      </c>
      <c r="K509" s="4" t="s">
        <v>888</v>
      </c>
    </row>
    <row r="510" spans="1:11" ht="15.75" customHeight="1">
      <c r="A510" s="4">
        <v>19496184</v>
      </c>
      <c r="B510" s="4" t="s">
        <v>6629</v>
      </c>
      <c r="C510" s="4" t="s">
        <v>6630</v>
      </c>
      <c r="D510" s="4" t="s">
        <v>6631</v>
      </c>
      <c r="E510" s="4" t="s">
        <v>1057</v>
      </c>
      <c r="F510" s="4" t="s">
        <v>6632</v>
      </c>
      <c r="G510" s="4">
        <v>2009</v>
      </c>
      <c r="H510" s="25">
        <v>39969</v>
      </c>
      <c r="I510" s="4" t="s">
        <v>6633</v>
      </c>
      <c r="K510" s="4" t="s">
        <v>1058</v>
      </c>
    </row>
    <row r="511" spans="1:11" ht="15.75" customHeight="1">
      <c r="A511" s="4">
        <v>18424026</v>
      </c>
      <c r="B511" s="4" t="s">
        <v>6625</v>
      </c>
      <c r="C511" s="4" t="s">
        <v>6626</v>
      </c>
      <c r="D511" s="4" t="s">
        <v>6627</v>
      </c>
      <c r="E511" s="4" t="s">
        <v>1167</v>
      </c>
      <c r="F511" s="4" t="s">
        <v>6628</v>
      </c>
      <c r="G511" s="4">
        <v>2008</v>
      </c>
      <c r="H511" s="25">
        <v>39560</v>
      </c>
      <c r="K511" s="4" t="s">
        <v>1168</v>
      </c>
    </row>
    <row r="512" spans="1:11" ht="15.75" customHeight="1">
      <c r="A512" s="4">
        <v>8151767</v>
      </c>
      <c r="B512" s="4" t="s">
        <v>6634</v>
      </c>
      <c r="C512" s="4" t="s">
        <v>6635</v>
      </c>
      <c r="D512" s="4" t="s">
        <v>6636</v>
      </c>
      <c r="E512" s="4" t="s">
        <v>1115</v>
      </c>
      <c r="F512" s="4" t="s">
        <v>4891</v>
      </c>
      <c r="G512" s="4">
        <v>1994</v>
      </c>
      <c r="H512" s="25">
        <v>34455</v>
      </c>
      <c r="I512" s="4" t="s">
        <v>6637</v>
      </c>
      <c r="K512" s="4" t="s">
        <v>1116</v>
      </c>
    </row>
    <row r="513" spans="1:11" ht="15.75" customHeight="1">
      <c r="A513" s="4">
        <v>30102463</v>
      </c>
      <c r="B513" s="4" t="s">
        <v>6640</v>
      </c>
      <c r="C513" s="4" t="s">
        <v>6641</v>
      </c>
      <c r="D513" s="4" t="s">
        <v>6642</v>
      </c>
      <c r="E513" s="4" t="s">
        <v>151</v>
      </c>
      <c r="F513" s="4" t="s">
        <v>5726</v>
      </c>
      <c r="G513" s="4">
        <v>2019</v>
      </c>
      <c r="H513" s="25">
        <v>43326</v>
      </c>
      <c r="K513" s="4" t="s">
        <v>3424</v>
      </c>
    </row>
    <row r="514" spans="1:11" ht="15.75" customHeight="1">
      <c r="A514" s="4">
        <v>20487413</v>
      </c>
      <c r="B514" s="4" t="s">
        <v>6646</v>
      </c>
      <c r="C514" s="4" t="s">
        <v>6647</v>
      </c>
      <c r="D514" s="4" t="s">
        <v>6648</v>
      </c>
      <c r="E514" s="4" t="s">
        <v>973</v>
      </c>
      <c r="F514" s="4" t="s">
        <v>4974</v>
      </c>
      <c r="G514" s="4">
        <v>2010</v>
      </c>
      <c r="H514" s="25">
        <v>40320</v>
      </c>
      <c r="K514" s="4" t="s">
        <v>4469</v>
      </c>
    </row>
    <row r="515" spans="1:11" ht="15.75" customHeight="1">
      <c r="A515" s="4">
        <v>26809130</v>
      </c>
      <c r="B515" s="4" t="s">
        <v>6643</v>
      </c>
      <c r="C515" s="4" t="s">
        <v>6644</v>
      </c>
      <c r="D515" s="4" t="s">
        <v>6645</v>
      </c>
      <c r="E515" s="4" t="s">
        <v>567</v>
      </c>
      <c r="F515" s="4" t="s">
        <v>4896</v>
      </c>
      <c r="G515" s="4">
        <v>2016</v>
      </c>
      <c r="H515" s="25">
        <v>42395</v>
      </c>
      <c r="K515" s="4" t="s">
        <v>570</v>
      </c>
    </row>
    <row r="516" spans="1:11" ht="15.75" customHeight="1">
      <c r="A516" s="4">
        <v>7893974</v>
      </c>
      <c r="B516" s="4" t="s">
        <v>6653</v>
      </c>
      <c r="C516" s="4" t="s">
        <v>6654</v>
      </c>
      <c r="D516" s="4" t="s">
        <v>6655</v>
      </c>
      <c r="E516" s="4" t="s">
        <v>2800</v>
      </c>
      <c r="F516" s="4" t="s">
        <v>4954</v>
      </c>
      <c r="G516" s="4">
        <v>1994</v>
      </c>
      <c r="H516" s="25">
        <v>34516</v>
      </c>
    </row>
    <row r="517" spans="1:11" ht="15.75" customHeight="1">
      <c r="A517" s="4">
        <v>16956672</v>
      </c>
      <c r="B517" s="4" t="s">
        <v>6656</v>
      </c>
      <c r="C517" s="4" t="s">
        <v>6657</v>
      </c>
      <c r="D517" s="4" t="s">
        <v>6658</v>
      </c>
      <c r="E517" s="4" t="s">
        <v>866</v>
      </c>
      <c r="F517" s="4" t="s">
        <v>5267</v>
      </c>
      <c r="G517" s="4">
        <v>2006</v>
      </c>
      <c r="H517" s="25">
        <v>38968</v>
      </c>
      <c r="K517" s="4" t="s">
        <v>867</v>
      </c>
    </row>
    <row r="518" spans="1:11" ht="15.75" customHeight="1">
      <c r="A518" s="4">
        <v>9847336</v>
      </c>
      <c r="B518" s="4" t="s">
        <v>6659</v>
      </c>
      <c r="C518" s="4" t="s">
        <v>6660</v>
      </c>
      <c r="D518" s="4" t="s">
        <v>6661</v>
      </c>
      <c r="E518" s="4" t="s">
        <v>3182</v>
      </c>
      <c r="F518" s="4" t="s">
        <v>4891</v>
      </c>
      <c r="G518" s="4">
        <v>1999</v>
      </c>
      <c r="H518" s="25">
        <v>36145</v>
      </c>
      <c r="I518" s="4" t="s">
        <v>6662</v>
      </c>
      <c r="K518" s="4" t="s">
        <v>3183</v>
      </c>
    </row>
    <row r="519" spans="1:11" ht="15.75" customHeight="1">
      <c r="A519" s="4">
        <v>18762769</v>
      </c>
      <c r="B519" s="4" t="s">
        <v>6663</v>
      </c>
      <c r="C519" s="4" t="s">
        <v>6664</v>
      </c>
      <c r="D519" s="4" t="s">
        <v>6665</v>
      </c>
      <c r="E519" s="4" t="s">
        <v>3316</v>
      </c>
      <c r="F519" s="4" t="s">
        <v>4863</v>
      </c>
      <c r="G519" s="4">
        <v>2009</v>
      </c>
      <c r="H519" s="25">
        <v>39694</v>
      </c>
      <c r="K519" s="4" t="s">
        <v>3317</v>
      </c>
    </row>
    <row r="520" spans="1:11" ht="15.75" customHeight="1">
      <c r="A520" s="4">
        <v>7745310</v>
      </c>
      <c r="B520" s="4" t="s">
        <v>6672</v>
      </c>
      <c r="C520" s="4" t="s">
        <v>6673</v>
      </c>
      <c r="D520" s="4" t="s">
        <v>6674</v>
      </c>
      <c r="E520" s="4" t="s">
        <v>3842</v>
      </c>
      <c r="F520" s="4" t="s">
        <v>6675</v>
      </c>
      <c r="G520" s="4">
        <v>1995</v>
      </c>
      <c r="H520" s="25">
        <v>34759</v>
      </c>
      <c r="K520" s="4" t="s">
        <v>3843</v>
      </c>
    </row>
    <row r="521" spans="1:11" ht="15.75" customHeight="1">
      <c r="A521" s="4">
        <v>12858410</v>
      </c>
      <c r="B521" s="4" t="s">
        <v>6666</v>
      </c>
      <c r="C521" s="4" t="s">
        <v>6667</v>
      </c>
      <c r="D521" s="4" t="s">
        <v>6668</v>
      </c>
      <c r="E521" s="4" t="s">
        <v>195</v>
      </c>
      <c r="F521" s="4" t="s">
        <v>4923</v>
      </c>
      <c r="G521" s="4">
        <v>2003</v>
      </c>
      <c r="H521" s="25">
        <v>37817</v>
      </c>
      <c r="K521" s="4" t="s">
        <v>4645</v>
      </c>
    </row>
    <row r="522" spans="1:11" ht="15.75" customHeight="1">
      <c r="A522" s="4">
        <v>11486597</v>
      </c>
      <c r="B522" s="4" t="s">
        <v>6688</v>
      </c>
      <c r="C522" s="4" t="s">
        <v>6689</v>
      </c>
      <c r="D522" s="4" t="s">
        <v>6690</v>
      </c>
      <c r="E522" s="4" t="s">
        <v>195</v>
      </c>
      <c r="F522" s="4" t="s">
        <v>6691</v>
      </c>
      <c r="G522" s="4">
        <v>2001</v>
      </c>
      <c r="H522" s="25">
        <v>37110</v>
      </c>
    </row>
    <row r="523" spans="1:11" ht="15.75" customHeight="1">
      <c r="A523" s="4">
        <v>10554818</v>
      </c>
      <c r="B523" s="4" t="s">
        <v>6669</v>
      </c>
      <c r="C523" s="4" t="s">
        <v>6670</v>
      </c>
      <c r="D523" s="4" t="s">
        <v>6671</v>
      </c>
      <c r="E523" s="4" t="s">
        <v>2580</v>
      </c>
      <c r="F523" s="4" t="s">
        <v>5211</v>
      </c>
      <c r="G523" s="4">
        <v>1999</v>
      </c>
      <c r="H523" s="25">
        <v>36475</v>
      </c>
      <c r="K523" s="4" t="s">
        <v>2581</v>
      </c>
    </row>
    <row r="524" spans="1:11" ht="15.75" customHeight="1">
      <c r="A524" s="4">
        <v>8652850</v>
      </c>
      <c r="B524" s="4" t="s">
        <v>6695</v>
      </c>
      <c r="C524" s="4" t="s">
        <v>6696</v>
      </c>
      <c r="D524" s="4" t="s">
        <v>6697</v>
      </c>
      <c r="E524" s="4" t="s">
        <v>235</v>
      </c>
      <c r="F524" s="4" t="s">
        <v>5343</v>
      </c>
      <c r="G524" s="4">
        <v>1996</v>
      </c>
      <c r="H524" s="25">
        <v>35231</v>
      </c>
    </row>
    <row r="525" spans="1:11" ht="15.75" customHeight="1">
      <c r="A525" s="4">
        <v>21219662</v>
      </c>
      <c r="B525" s="4" t="s">
        <v>6676</v>
      </c>
      <c r="C525" s="4" t="s">
        <v>6677</v>
      </c>
      <c r="D525" s="4" t="s">
        <v>6678</v>
      </c>
      <c r="E525" s="4" t="s">
        <v>3150</v>
      </c>
      <c r="F525" s="4" t="s">
        <v>4867</v>
      </c>
      <c r="G525" s="4">
        <v>2011</v>
      </c>
      <c r="H525" s="25">
        <v>40555</v>
      </c>
      <c r="I525" s="4" t="s">
        <v>6679</v>
      </c>
      <c r="K525" s="4" t="s">
        <v>3151</v>
      </c>
    </row>
    <row r="526" spans="1:11" ht="15.75" customHeight="1">
      <c r="A526" s="4">
        <v>8232499</v>
      </c>
      <c r="B526" s="4" t="s">
        <v>6589</v>
      </c>
      <c r="C526" s="4" t="s">
        <v>6687</v>
      </c>
      <c r="D526" s="4" t="s">
        <v>6591</v>
      </c>
      <c r="E526" s="4" t="s">
        <v>461</v>
      </c>
      <c r="F526" s="4" t="s">
        <v>5377</v>
      </c>
      <c r="G526" s="4">
        <v>1993</v>
      </c>
      <c r="H526" s="25">
        <v>34312</v>
      </c>
    </row>
    <row r="527" spans="1:11" ht="15.75" customHeight="1">
      <c r="A527" s="4">
        <v>7803807</v>
      </c>
      <c r="B527" s="4" t="s">
        <v>6692</v>
      </c>
      <c r="C527" s="4" t="s">
        <v>6693</v>
      </c>
      <c r="D527" s="4" t="s">
        <v>6694</v>
      </c>
      <c r="E527" s="4" t="s">
        <v>3666</v>
      </c>
      <c r="F527" s="4" t="s">
        <v>5343</v>
      </c>
      <c r="G527" s="4">
        <v>1995</v>
      </c>
      <c r="H527" s="25">
        <v>34700</v>
      </c>
    </row>
    <row r="528" spans="1:11" ht="15.75" customHeight="1">
      <c r="A528" s="4">
        <v>12089260</v>
      </c>
      <c r="B528" s="4" t="s">
        <v>6730</v>
      </c>
      <c r="C528" s="4" t="s">
        <v>6731</v>
      </c>
      <c r="D528" s="4" t="s">
        <v>6732</v>
      </c>
      <c r="E528" s="4" t="s">
        <v>1690</v>
      </c>
      <c r="F528" s="4" t="s">
        <v>5331</v>
      </c>
      <c r="G528" s="4">
        <v>2002</v>
      </c>
      <c r="H528" s="25">
        <v>37436</v>
      </c>
      <c r="I528" s="4" t="s">
        <v>6733</v>
      </c>
      <c r="K528" s="4" t="s">
        <v>1691</v>
      </c>
    </row>
    <row r="529" spans="1:11" ht="15.75" customHeight="1">
      <c r="A529" s="4">
        <v>10482064</v>
      </c>
      <c r="B529" s="4" t="s">
        <v>6715</v>
      </c>
      <c r="C529" s="4" t="s">
        <v>6716</v>
      </c>
      <c r="D529" s="4" t="s">
        <v>6717</v>
      </c>
      <c r="E529" s="4" t="s">
        <v>1782</v>
      </c>
      <c r="F529" s="4" t="s">
        <v>6718</v>
      </c>
      <c r="G529" s="4">
        <v>1999</v>
      </c>
      <c r="H529" s="25">
        <v>36414</v>
      </c>
      <c r="K529" s="4" t="s">
        <v>1783</v>
      </c>
    </row>
    <row r="530" spans="1:11" ht="15.75" customHeight="1">
      <c r="A530" s="4">
        <v>8703244</v>
      </c>
      <c r="B530" s="4" t="s">
        <v>6755</v>
      </c>
      <c r="C530" s="4" t="s">
        <v>6756</v>
      </c>
      <c r="D530" s="4" t="s">
        <v>6757</v>
      </c>
      <c r="E530" s="4" t="s">
        <v>2777</v>
      </c>
      <c r="F530" s="4" t="s">
        <v>6758</v>
      </c>
      <c r="G530" s="4">
        <v>1995</v>
      </c>
      <c r="H530" s="25">
        <v>35034</v>
      </c>
    </row>
    <row r="531" spans="1:11" ht="15.75" customHeight="1">
      <c r="A531" s="4">
        <v>35035452</v>
      </c>
      <c r="B531" s="4" t="s">
        <v>6698</v>
      </c>
      <c r="C531" s="4" t="s">
        <v>6699</v>
      </c>
      <c r="D531" s="4" t="s">
        <v>6700</v>
      </c>
      <c r="E531" s="4" t="s">
        <v>1152</v>
      </c>
      <c r="F531" s="4" t="s">
        <v>6701</v>
      </c>
      <c r="G531" s="4">
        <v>2022</v>
      </c>
      <c r="H531" s="25">
        <v>44578</v>
      </c>
      <c r="I531" s="4" t="s">
        <v>6702</v>
      </c>
      <c r="K531" s="4" t="s">
        <v>1153</v>
      </c>
    </row>
    <row r="532" spans="1:11" ht="15.75" customHeight="1">
      <c r="A532" s="4">
        <v>18329730</v>
      </c>
      <c r="B532" s="4" t="s">
        <v>6703</v>
      </c>
      <c r="C532" s="4" t="s">
        <v>6704</v>
      </c>
      <c r="D532" s="4" t="s">
        <v>6705</v>
      </c>
      <c r="E532" s="4" t="s">
        <v>1822</v>
      </c>
      <c r="F532" s="4" t="s">
        <v>5267</v>
      </c>
      <c r="G532" s="4">
        <v>2008</v>
      </c>
      <c r="H532" s="25">
        <v>39518</v>
      </c>
      <c r="K532" s="4" t="s">
        <v>1823</v>
      </c>
    </row>
    <row r="533" spans="1:11" ht="15.75" customHeight="1">
      <c r="A533" s="4">
        <v>30523283</v>
      </c>
      <c r="B533" s="4" t="s">
        <v>6719</v>
      </c>
      <c r="C533" s="4" t="s">
        <v>6720</v>
      </c>
      <c r="D533" s="4" t="s">
        <v>6721</v>
      </c>
      <c r="E533" s="4" t="s">
        <v>3758</v>
      </c>
      <c r="F533" s="4" t="s">
        <v>5043</v>
      </c>
      <c r="G533" s="4">
        <v>2018</v>
      </c>
      <c r="H533" s="25">
        <v>43442</v>
      </c>
      <c r="I533" s="4" t="s">
        <v>6722</v>
      </c>
      <c r="K533" s="4" t="s">
        <v>3761</v>
      </c>
    </row>
    <row r="534" spans="1:11" ht="15.75" customHeight="1">
      <c r="A534" s="4">
        <v>16586395</v>
      </c>
      <c r="B534" s="4" t="s">
        <v>6706</v>
      </c>
      <c r="C534" s="4" t="s">
        <v>6707</v>
      </c>
      <c r="D534" s="4" t="s">
        <v>6708</v>
      </c>
      <c r="E534" s="4" t="s">
        <v>3511</v>
      </c>
      <c r="F534" s="4" t="s">
        <v>5080</v>
      </c>
      <c r="G534" s="4">
        <v>2006</v>
      </c>
      <c r="H534" s="25">
        <v>38813</v>
      </c>
      <c r="K534" s="4" t="s">
        <v>3512</v>
      </c>
    </row>
    <row r="535" spans="1:11" ht="15.75" customHeight="1">
      <c r="A535" s="4">
        <v>7931158</v>
      </c>
      <c r="B535" s="4" t="s">
        <v>6712</v>
      </c>
      <c r="C535" s="4" t="s">
        <v>6713</v>
      </c>
      <c r="D535" s="4" t="s">
        <v>6714</v>
      </c>
      <c r="E535" s="4" t="s">
        <v>2061</v>
      </c>
      <c r="F535" s="4" t="s">
        <v>4966</v>
      </c>
      <c r="G535" s="4">
        <v>1994</v>
      </c>
      <c r="H535" s="25">
        <v>34608</v>
      </c>
      <c r="K535" s="4" t="s">
        <v>2068</v>
      </c>
    </row>
    <row r="536" spans="1:11" ht="15.75" customHeight="1">
      <c r="A536" s="4">
        <v>33217174</v>
      </c>
      <c r="B536" s="4" t="s">
        <v>6709</v>
      </c>
      <c r="C536" s="4" t="s">
        <v>6710</v>
      </c>
      <c r="D536" s="4" t="s">
        <v>6711</v>
      </c>
      <c r="E536" s="4" t="s">
        <v>151</v>
      </c>
      <c r="F536" s="4" t="s">
        <v>4974</v>
      </c>
      <c r="G536" s="4">
        <v>2021</v>
      </c>
      <c r="H536" s="25">
        <v>44155</v>
      </c>
      <c r="K536" s="4" t="s">
        <v>794</v>
      </c>
    </row>
    <row r="537" spans="1:11" ht="15.75" customHeight="1">
      <c r="A537" s="4">
        <v>32925539</v>
      </c>
      <c r="B537" s="4" t="s">
        <v>6737</v>
      </c>
      <c r="C537" s="4" t="s">
        <v>6738</v>
      </c>
      <c r="D537" s="4" t="s">
        <v>6739</v>
      </c>
      <c r="E537" s="4" t="s">
        <v>1713</v>
      </c>
      <c r="F537" s="4" t="s">
        <v>5982</v>
      </c>
      <c r="G537" s="4">
        <v>2020</v>
      </c>
      <c r="H537" s="25">
        <v>44088</v>
      </c>
      <c r="K537" s="4" t="s">
        <v>1714</v>
      </c>
    </row>
    <row r="538" spans="1:11" ht="15.75" customHeight="1">
      <c r="A538" s="4">
        <v>21593170</v>
      </c>
      <c r="B538" s="4" t="s">
        <v>6723</v>
      </c>
      <c r="C538" s="4" t="s">
        <v>6724</v>
      </c>
      <c r="D538" s="4" t="s">
        <v>6725</v>
      </c>
      <c r="E538" s="4" t="s">
        <v>3978</v>
      </c>
      <c r="F538" s="4" t="s">
        <v>4891</v>
      </c>
      <c r="G538" s="4">
        <v>2011</v>
      </c>
      <c r="H538" s="25">
        <v>40683</v>
      </c>
      <c r="I538" s="4" t="s">
        <v>6726</v>
      </c>
      <c r="K538" s="4" t="s">
        <v>3979</v>
      </c>
    </row>
    <row r="539" spans="1:11" ht="15.75" customHeight="1">
      <c r="A539" s="4">
        <v>12182383</v>
      </c>
      <c r="B539" s="4" t="s">
        <v>6734</v>
      </c>
      <c r="C539" s="4" t="s">
        <v>6735</v>
      </c>
      <c r="D539" s="4" t="s">
        <v>6736</v>
      </c>
      <c r="E539" s="4" t="s">
        <v>2532</v>
      </c>
      <c r="F539" s="4" t="s">
        <v>5982</v>
      </c>
      <c r="G539" s="4">
        <v>2002</v>
      </c>
      <c r="H539" s="25">
        <v>37485</v>
      </c>
      <c r="K539" s="4" t="s">
        <v>2533</v>
      </c>
    </row>
    <row r="540" spans="1:11" ht="15.75" customHeight="1">
      <c r="A540" s="4">
        <v>30988380</v>
      </c>
      <c r="B540" s="4" t="s">
        <v>6727</v>
      </c>
      <c r="C540" s="4" t="s">
        <v>6728</v>
      </c>
      <c r="D540" s="4" t="s">
        <v>6729</v>
      </c>
      <c r="E540" s="4" t="s">
        <v>3413</v>
      </c>
      <c r="F540" s="4" t="s">
        <v>4863</v>
      </c>
      <c r="G540" s="4">
        <v>2020</v>
      </c>
      <c r="H540" s="25">
        <v>43572</v>
      </c>
      <c r="K540" s="4" t="s">
        <v>3414</v>
      </c>
    </row>
    <row r="541" spans="1:11" ht="15.75" customHeight="1">
      <c r="A541" s="4">
        <v>9815234</v>
      </c>
      <c r="B541" s="4" t="s">
        <v>6749</v>
      </c>
      <c r="C541" s="4" t="s">
        <v>6750</v>
      </c>
      <c r="D541" s="4" t="s">
        <v>6751</v>
      </c>
      <c r="E541" s="4" t="s">
        <v>1857</v>
      </c>
      <c r="F541" s="4" t="s">
        <v>4992</v>
      </c>
      <c r="G541" s="4">
        <v>1998</v>
      </c>
      <c r="H541" s="25">
        <v>36116</v>
      </c>
      <c r="K541" s="4" t="s">
        <v>1860</v>
      </c>
    </row>
    <row r="542" spans="1:11" ht="15.75" customHeight="1">
      <c r="A542" s="4">
        <v>10228019</v>
      </c>
      <c r="B542" s="4" t="s">
        <v>6746</v>
      </c>
      <c r="C542" s="4" t="s">
        <v>6747</v>
      </c>
      <c r="D542" s="4" t="s">
        <v>6748</v>
      </c>
      <c r="E542" s="4" t="s">
        <v>4579</v>
      </c>
      <c r="F542" s="4" t="s">
        <v>6293</v>
      </c>
      <c r="G542" s="4">
        <v>1999</v>
      </c>
      <c r="H542" s="25">
        <v>36285</v>
      </c>
    </row>
    <row r="543" spans="1:11" ht="15.75" customHeight="1">
      <c r="A543" s="4">
        <v>8783159</v>
      </c>
      <c r="B543" s="4" t="s">
        <v>6769</v>
      </c>
      <c r="C543" s="4" t="s">
        <v>6770</v>
      </c>
      <c r="D543" s="4" t="s">
        <v>6771</v>
      </c>
      <c r="E543" s="4" t="s">
        <v>4621</v>
      </c>
      <c r="F543" s="4" t="s">
        <v>5267</v>
      </c>
      <c r="G543" s="4">
        <v>1996</v>
      </c>
      <c r="H543" s="25">
        <v>35181</v>
      </c>
      <c r="K543" s="4" t="s">
        <v>4626</v>
      </c>
    </row>
    <row r="544" spans="1:11" ht="15.75" customHeight="1">
      <c r="A544" s="4">
        <v>32224590</v>
      </c>
      <c r="B544" s="4" t="s">
        <v>6743</v>
      </c>
      <c r="C544" s="4" t="s">
        <v>6744</v>
      </c>
      <c r="D544" s="4" t="s">
        <v>6745</v>
      </c>
      <c r="E544" s="4" t="s">
        <v>3851</v>
      </c>
      <c r="F544" s="4" t="s">
        <v>5047</v>
      </c>
      <c r="G544" s="4">
        <v>2020</v>
      </c>
      <c r="H544" s="25">
        <v>43922</v>
      </c>
      <c r="K544" s="4" t="s">
        <v>3852</v>
      </c>
    </row>
    <row r="545" spans="1:11" ht="15.75" customHeight="1">
      <c r="A545" s="4">
        <v>18695666</v>
      </c>
      <c r="B545" s="4" t="s">
        <v>6908</v>
      </c>
      <c r="C545" s="4" t="s">
        <v>6020</v>
      </c>
      <c r="D545" s="4" t="s">
        <v>6909</v>
      </c>
      <c r="E545" s="4" t="s">
        <v>177</v>
      </c>
      <c r="F545" s="4" t="s">
        <v>4863</v>
      </c>
      <c r="G545" s="4">
        <v>2008</v>
      </c>
      <c r="H545" s="25">
        <v>39673</v>
      </c>
      <c r="K545" s="4" t="s">
        <v>956</v>
      </c>
    </row>
    <row r="546" spans="1:11" ht="15.75" customHeight="1">
      <c r="A546" s="4">
        <v>11902311</v>
      </c>
      <c r="B546" s="4" t="s">
        <v>6740</v>
      </c>
      <c r="C546" s="4" t="s">
        <v>6741</v>
      </c>
      <c r="D546" s="4" t="s">
        <v>6742</v>
      </c>
      <c r="E546" s="4" t="s">
        <v>1530</v>
      </c>
      <c r="F546" s="4" t="s">
        <v>5757</v>
      </c>
      <c r="G546" s="4">
        <v>2001</v>
      </c>
      <c r="H546" s="25">
        <v>37336</v>
      </c>
      <c r="K546" s="4" t="s">
        <v>1531</v>
      </c>
    </row>
    <row r="547" spans="1:11" ht="15.75" customHeight="1">
      <c r="A547" s="4">
        <v>22820131</v>
      </c>
      <c r="B547" s="4" t="s">
        <v>6752</v>
      </c>
      <c r="C547" s="4" t="s">
        <v>6753</v>
      </c>
      <c r="D547" s="4" t="s">
        <v>6754</v>
      </c>
      <c r="E547" s="4" t="s">
        <v>206</v>
      </c>
      <c r="F547" s="4" t="s">
        <v>5584</v>
      </c>
      <c r="G547" s="4">
        <v>2012</v>
      </c>
      <c r="H547" s="25">
        <v>41114</v>
      </c>
      <c r="K547" s="4" t="s">
        <v>322</v>
      </c>
    </row>
    <row r="548" spans="1:11" ht="15.75" customHeight="1">
      <c r="A548" s="4">
        <v>7844362</v>
      </c>
      <c r="B548" s="4" t="s">
        <v>6759</v>
      </c>
      <c r="C548" s="4" t="s">
        <v>6760</v>
      </c>
      <c r="D548" s="4" t="s">
        <v>6761</v>
      </c>
      <c r="E548" s="4" t="s">
        <v>280</v>
      </c>
      <c r="F548" s="4" t="s">
        <v>4992</v>
      </c>
      <c r="G548" s="4">
        <v>1995</v>
      </c>
      <c r="H548" s="25">
        <v>34731</v>
      </c>
      <c r="K548" s="4" t="s">
        <v>411</v>
      </c>
    </row>
    <row r="549" spans="1:11" ht="15.75" customHeight="1">
      <c r="A549" s="4">
        <v>1329241</v>
      </c>
      <c r="B549" s="4" t="s">
        <v>6762</v>
      </c>
      <c r="C549" s="4" t="s">
        <v>6763</v>
      </c>
      <c r="D549" s="4" t="s">
        <v>6764</v>
      </c>
      <c r="E549" s="4" t="s">
        <v>3190</v>
      </c>
      <c r="F549" s="4" t="s">
        <v>6765</v>
      </c>
      <c r="G549" s="4">
        <v>1992</v>
      </c>
      <c r="H549" s="25">
        <v>33695</v>
      </c>
    </row>
    <row r="550" spans="1:11" ht="15.75" customHeight="1">
      <c r="A550" s="4">
        <v>1975142</v>
      </c>
      <c r="B550" s="4" t="s">
        <v>6766</v>
      </c>
      <c r="C550" s="4" t="s">
        <v>6767</v>
      </c>
      <c r="D550" s="4" t="s">
        <v>6768</v>
      </c>
      <c r="E550" s="4" t="s">
        <v>2937</v>
      </c>
      <c r="F550" s="4" t="s">
        <v>4950</v>
      </c>
      <c r="G550" s="4">
        <v>1990</v>
      </c>
      <c r="H550" s="25">
        <v>33117</v>
      </c>
      <c r="K550" s="4" t="s">
        <v>2938</v>
      </c>
    </row>
    <row r="551" spans="1:11" ht="15.75" customHeight="1">
      <c r="A551" s="4">
        <v>30048732</v>
      </c>
      <c r="B551" s="4" t="s">
        <v>6781</v>
      </c>
      <c r="C551" s="4" t="s">
        <v>6782</v>
      </c>
      <c r="D551" s="4" t="s">
        <v>6783</v>
      </c>
      <c r="E551" s="4" t="s">
        <v>842</v>
      </c>
      <c r="F551" s="4" t="s">
        <v>5076</v>
      </c>
      <c r="G551" s="4">
        <v>2018</v>
      </c>
      <c r="H551" s="25">
        <v>43308</v>
      </c>
      <c r="K551" s="4" t="s">
        <v>3677</v>
      </c>
    </row>
    <row r="552" spans="1:11" ht="15.75" customHeight="1">
      <c r="A552" s="4">
        <v>11213075</v>
      </c>
      <c r="B552" s="4" t="s">
        <v>6775</v>
      </c>
      <c r="C552" s="4" t="s">
        <v>6776</v>
      </c>
      <c r="D552" s="4" t="s">
        <v>6777</v>
      </c>
      <c r="E552" s="4" t="s">
        <v>3813</v>
      </c>
      <c r="F552" s="4" t="s">
        <v>5445</v>
      </c>
      <c r="G552" s="4">
        <v>2001</v>
      </c>
      <c r="H552" s="25">
        <v>36946</v>
      </c>
      <c r="K552" s="4" t="s">
        <v>3814</v>
      </c>
    </row>
    <row r="553" spans="1:11" ht="15.75" customHeight="1">
      <c r="A553" s="4">
        <v>29454651</v>
      </c>
      <c r="B553" s="4" t="s">
        <v>6772</v>
      </c>
      <c r="C553" s="4" t="s">
        <v>6773</v>
      </c>
      <c r="D553" s="4" t="s">
        <v>6774</v>
      </c>
      <c r="E553" s="4" t="s">
        <v>151</v>
      </c>
      <c r="F553" s="4" t="s">
        <v>5076</v>
      </c>
      <c r="G553" s="4">
        <v>2018</v>
      </c>
      <c r="H553" s="25">
        <v>43150</v>
      </c>
      <c r="K553" s="4" t="s">
        <v>395</v>
      </c>
    </row>
    <row r="554" spans="1:11" ht="15.75" customHeight="1">
      <c r="A554" s="4">
        <v>25243920</v>
      </c>
      <c r="B554" s="4" t="s">
        <v>6784</v>
      </c>
      <c r="C554" s="4" t="s">
        <v>6785</v>
      </c>
      <c r="D554" s="4" t="s">
        <v>6786</v>
      </c>
      <c r="E554" s="4" t="s">
        <v>2471</v>
      </c>
      <c r="F554" s="4" t="s">
        <v>5567</v>
      </c>
      <c r="G554" s="4">
        <v>2014</v>
      </c>
      <c r="H554" s="25">
        <v>41905</v>
      </c>
      <c r="K554" s="4" t="s">
        <v>2474</v>
      </c>
    </row>
    <row r="555" spans="1:11" ht="15.75" customHeight="1">
      <c r="A555" s="4">
        <v>7893978</v>
      </c>
      <c r="B555" s="4" t="s">
        <v>6790</v>
      </c>
      <c r="C555" s="4" t="s">
        <v>6791</v>
      </c>
      <c r="D555" s="4" t="s">
        <v>6792</v>
      </c>
      <c r="E555" s="4" t="s">
        <v>3789</v>
      </c>
      <c r="F555" s="4" t="s">
        <v>4954</v>
      </c>
      <c r="G555" s="4">
        <v>1994</v>
      </c>
      <c r="H555" s="25">
        <v>34516</v>
      </c>
    </row>
    <row r="556" spans="1:11" ht="15.75" customHeight="1">
      <c r="A556" s="4">
        <v>7751716</v>
      </c>
      <c r="B556" s="4" t="s">
        <v>6787</v>
      </c>
      <c r="C556" s="4" t="s">
        <v>6788</v>
      </c>
      <c r="D556" s="4" t="s">
        <v>6789</v>
      </c>
      <c r="E556" s="4" t="s">
        <v>1411</v>
      </c>
      <c r="F556" s="4" t="s">
        <v>4992</v>
      </c>
      <c r="G556" s="4">
        <v>1995</v>
      </c>
      <c r="H556" s="25">
        <v>34820</v>
      </c>
      <c r="K556" s="4" t="s">
        <v>1412</v>
      </c>
    </row>
    <row r="557" spans="1:11" ht="15.75" customHeight="1">
      <c r="A557" s="4">
        <v>12971497</v>
      </c>
      <c r="B557" s="4" t="s">
        <v>6803</v>
      </c>
      <c r="C557" s="4" t="s">
        <v>6804</v>
      </c>
      <c r="D557" s="4" t="s">
        <v>6805</v>
      </c>
      <c r="E557" s="4" t="s">
        <v>1328</v>
      </c>
      <c r="F557" s="4" t="s">
        <v>6806</v>
      </c>
      <c r="G557" s="4">
        <v>2002</v>
      </c>
      <c r="H557" s="25">
        <v>37880</v>
      </c>
    </row>
    <row r="558" spans="1:11" ht="15.75" customHeight="1">
      <c r="A558" s="4">
        <v>8394407</v>
      </c>
      <c r="B558" s="4" t="s">
        <v>6177</v>
      </c>
      <c r="C558" s="4" t="s">
        <v>6178</v>
      </c>
      <c r="D558" s="4" t="s">
        <v>6179</v>
      </c>
      <c r="E558" s="4" t="s">
        <v>3107</v>
      </c>
      <c r="F558" s="4" t="s">
        <v>5170</v>
      </c>
      <c r="G558" s="4">
        <v>1993</v>
      </c>
      <c r="H558" s="25">
        <v>34213</v>
      </c>
      <c r="I558" s="4" t="s">
        <v>6180</v>
      </c>
      <c r="K558" s="4" t="s">
        <v>3108</v>
      </c>
    </row>
    <row r="559" spans="1:11" ht="15.75" customHeight="1">
      <c r="A559" s="4">
        <v>16140273</v>
      </c>
      <c r="B559" s="4" t="s">
        <v>6793</v>
      </c>
      <c r="C559" s="4" t="s">
        <v>6794</v>
      </c>
      <c r="D559" s="4" t="s">
        <v>6795</v>
      </c>
      <c r="E559" s="4" t="s">
        <v>4164</v>
      </c>
      <c r="F559" s="4" t="s">
        <v>5945</v>
      </c>
      <c r="G559" s="4">
        <v>2005</v>
      </c>
      <c r="H559" s="25">
        <v>38601</v>
      </c>
      <c r="K559" s="4" t="s">
        <v>4165</v>
      </c>
    </row>
    <row r="560" spans="1:11" ht="15.75" customHeight="1">
      <c r="A560" s="4">
        <v>30846739</v>
      </c>
      <c r="B560" s="4" t="s">
        <v>6796</v>
      </c>
      <c r="C560" s="4" t="s">
        <v>6797</v>
      </c>
      <c r="D560" s="4" t="s">
        <v>6798</v>
      </c>
      <c r="E560" s="4" t="s">
        <v>769</v>
      </c>
      <c r="F560" s="4" t="s">
        <v>5043</v>
      </c>
      <c r="G560" s="4">
        <v>2019</v>
      </c>
      <c r="H560" s="25">
        <v>43533</v>
      </c>
      <c r="I560" s="4" t="s">
        <v>6799</v>
      </c>
      <c r="K560" s="4" t="s">
        <v>3324</v>
      </c>
    </row>
    <row r="561" spans="1:11" ht="15.75" customHeight="1">
      <c r="A561" s="4">
        <v>20592533</v>
      </c>
      <c r="B561" s="4" t="s">
        <v>6800</v>
      </c>
      <c r="C561" s="4" t="s">
        <v>6801</v>
      </c>
      <c r="D561" s="4" t="s">
        <v>6802</v>
      </c>
      <c r="E561" s="4" t="s">
        <v>2826</v>
      </c>
      <c r="F561" s="4" t="s">
        <v>5035</v>
      </c>
      <c r="G561" s="4">
        <v>2010</v>
      </c>
      <c r="H561" s="25">
        <v>40361</v>
      </c>
      <c r="K561" s="4" t="s">
        <v>2827</v>
      </c>
    </row>
    <row r="562" spans="1:11" ht="15.75" customHeight="1">
      <c r="A562" s="4">
        <v>17050202</v>
      </c>
      <c r="B562" s="4" t="s">
        <v>6848</v>
      </c>
      <c r="C562" s="4" t="s">
        <v>6149</v>
      </c>
      <c r="D562" s="4" t="s">
        <v>6849</v>
      </c>
      <c r="E562" s="4" t="s">
        <v>177</v>
      </c>
      <c r="F562" s="4" t="s">
        <v>4927</v>
      </c>
      <c r="G562" s="4">
        <v>2006</v>
      </c>
      <c r="H562" s="25">
        <v>39010</v>
      </c>
      <c r="K562" s="4" t="s">
        <v>958</v>
      </c>
    </row>
    <row r="563" spans="1:11" ht="15.75" customHeight="1">
      <c r="A563" s="4">
        <v>8904436</v>
      </c>
      <c r="B563" s="4" t="s">
        <v>6826</v>
      </c>
      <c r="C563" s="4" t="s">
        <v>6827</v>
      </c>
      <c r="D563" s="4" t="s">
        <v>6828</v>
      </c>
      <c r="E563" s="4" t="s">
        <v>4061</v>
      </c>
      <c r="F563" s="4" t="s">
        <v>5331</v>
      </c>
      <c r="G563" s="4">
        <v>1996</v>
      </c>
      <c r="H563" s="25">
        <v>35125</v>
      </c>
      <c r="I563" s="4" t="s">
        <v>6829</v>
      </c>
      <c r="K563" s="4" t="s">
        <v>4062</v>
      </c>
    </row>
    <row r="564" spans="1:11" ht="15.75" customHeight="1">
      <c r="A564" s="4">
        <v>10954574</v>
      </c>
      <c r="B564" s="4" t="s">
        <v>6810</v>
      </c>
      <c r="C564" s="4" t="s">
        <v>6811</v>
      </c>
      <c r="D564" s="4" t="s">
        <v>6812</v>
      </c>
      <c r="E564" s="4" t="s">
        <v>2169</v>
      </c>
      <c r="F564" s="4" t="s">
        <v>4891</v>
      </c>
      <c r="G564" s="4">
        <v>2000</v>
      </c>
      <c r="H564" s="25">
        <v>36761</v>
      </c>
      <c r="I564" s="4" t="s">
        <v>6813</v>
      </c>
      <c r="K564" s="4" t="s">
        <v>2172</v>
      </c>
    </row>
    <row r="565" spans="1:11" ht="15.75" customHeight="1">
      <c r="A565" s="4">
        <v>15625542</v>
      </c>
      <c r="B565" s="4" t="s">
        <v>6807</v>
      </c>
      <c r="C565" s="4" t="s">
        <v>6808</v>
      </c>
      <c r="D565" s="4" t="s">
        <v>6809</v>
      </c>
      <c r="E565" s="4" t="s">
        <v>4471</v>
      </c>
      <c r="F565" s="4" t="s">
        <v>5076</v>
      </c>
      <c r="G565" s="4">
        <v>2005</v>
      </c>
      <c r="H565" s="25">
        <v>38352</v>
      </c>
      <c r="K565" s="4" t="s">
        <v>4472</v>
      </c>
    </row>
    <row r="566" spans="1:11" ht="15.75" customHeight="1">
      <c r="A566" s="4">
        <v>12857897</v>
      </c>
      <c r="B566" s="4" t="s">
        <v>6838</v>
      </c>
      <c r="C566" s="4" t="s">
        <v>6839</v>
      </c>
      <c r="D566" s="4" t="s">
        <v>6840</v>
      </c>
      <c r="E566" s="4" t="s">
        <v>2221</v>
      </c>
      <c r="F566" s="4" t="s">
        <v>4891</v>
      </c>
      <c r="G566" s="4">
        <v>2003</v>
      </c>
      <c r="H566" s="25">
        <v>37817</v>
      </c>
      <c r="I566" s="4" t="s">
        <v>6841</v>
      </c>
      <c r="K566" s="4" t="s">
        <v>2222</v>
      </c>
    </row>
    <row r="567" spans="1:11" ht="15.75" customHeight="1">
      <c r="A567" s="4">
        <v>21883755</v>
      </c>
      <c r="B567" s="4" t="s">
        <v>6814</v>
      </c>
      <c r="C567" s="4" t="s">
        <v>6815</v>
      </c>
      <c r="D567" s="4" t="s">
        <v>6816</v>
      </c>
      <c r="E567" s="4" t="s">
        <v>2072</v>
      </c>
      <c r="F567" s="4" t="s">
        <v>4974</v>
      </c>
      <c r="G567" s="4">
        <v>2011</v>
      </c>
      <c r="H567" s="25">
        <v>40789</v>
      </c>
      <c r="K567" s="4" t="s">
        <v>2073</v>
      </c>
    </row>
    <row r="568" spans="1:11" ht="15.75" customHeight="1">
      <c r="A568" s="4">
        <v>34600133</v>
      </c>
      <c r="B568" s="4" t="s">
        <v>6820</v>
      </c>
      <c r="C568" s="4" t="s">
        <v>6821</v>
      </c>
      <c r="D568" s="4" t="s">
        <v>6822</v>
      </c>
      <c r="E568" s="4" t="s">
        <v>613</v>
      </c>
      <c r="F568" s="4" t="s">
        <v>6176</v>
      </c>
      <c r="G568" s="4">
        <v>2021</v>
      </c>
      <c r="H568" s="25">
        <v>44471</v>
      </c>
      <c r="K568" s="4" t="s">
        <v>2278</v>
      </c>
    </row>
    <row r="569" spans="1:11" ht="15.75" customHeight="1">
      <c r="A569" s="4">
        <v>8122364</v>
      </c>
      <c r="B569" s="4" t="s">
        <v>6817</v>
      </c>
      <c r="C569" s="4" t="s">
        <v>6818</v>
      </c>
      <c r="D569" s="4" t="s">
        <v>6819</v>
      </c>
      <c r="E569" s="4" t="s">
        <v>4711</v>
      </c>
      <c r="F569" s="4" t="s">
        <v>4950</v>
      </c>
      <c r="G569" s="4">
        <v>1994</v>
      </c>
      <c r="H569" s="25">
        <v>34394</v>
      </c>
      <c r="K569" s="4" t="s">
        <v>4712</v>
      </c>
    </row>
    <row r="570" spans="1:11" ht="15.75" customHeight="1">
      <c r="A570" s="4">
        <v>28241767</v>
      </c>
      <c r="B570" s="4" t="s">
        <v>6872</v>
      </c>
      <c r="C570" s="4" t="s">
        <v>6873</v>
      </c>
      <c r="D570" s="4" t="s">
        <v>6874</v>
      </c>
      <c r="E570" s="4" t="s">
        <v>2039</v>
      </c>
      <c r="F570" s="4" t="s">
        <v>4867</v>
      </c>
      <c r="G570" s="4">
        <v>2017</v>
      </c>
      <c r="H570" s="25">
        <v>42795</v>
      </c>
      <c r="I570" s="4" t="s">
        <v>6875</v>
      </c>
      <c r="K570" s="4" t="s">
        <v>2040</v>
      </c>
    </row>
    <row r="571" spans="1:11" ht="15.75" customHeight="1">
      <c r="A571" s="4">
        <v>30130603</v>
      </c>
      <c r="B571" s="4" t="s">
        <v>6845</v>
      </c>
      <c r="C571" s="4" t="s">
        <v>6846</v>
      </c>
      <c r="D571" s="4" t="s">
        <v>6847</v>
      </c>
      <c r="E571" s="4" t="s">
        <v>1967</v>
      </c>
      <c r="F571" s="4" t="s">
        <v>5122</v>
      </c>
      <c r="G571" s="4">
        <v>2018</v>
      </c>
      <c r="H571" s="25">
        <v>43334</v>
      </c>
      <c r="K571" s="4" t="s">
        <v>1968</v>
      </c>
    </row>
    <row r="572" spans="1:11" ht="15.75" customHeight="1">
      <c r="A572" s="4">
        <v>29939480</v>
      </c>
      <c r="B572" s="4" t="s">
        <v>6857</v>
      </c>
      <c r="C572" s="4" t="s">
        <v>6858</v>
      </c>
      <c r="D572" s="4" t="s">
        <v>6859</v>
      </c>
      <c r="E572" s="4" t="s">
        <v>1978</v>
      </c>
      <c r="F572" s="4" t="s">
        <v>5726</v>
      </c>
      <c r="G572" s="4">
        <v>2019</v>
      </c>
      <c r="H572" s="25">
        <v>43277</v>
      </c>
      <c r="K572" s="4" t="s">
        <v>1979</v>
      </c>
    </row>
    <row r="573" spans="1:11" ht="15.75" customHeight="1">
      <c r="A573" s="4">
        <v>8002785</v>
      </c>
      <c r="B573" s="4" t="s">
        <v>6842</v>
      </c>
      <c r="C573" s="4" t="s">
        <v>6843</v>
      </c>
      <c r="D573" s="4" t="s">
        <v>6844</v>
      </c>
      <c r="E573" s="4" t="s">
        <v>4519</v>
      </c>
      <c r="F573" s="4" t="s">
        <v>5186</v>
      </c>
      <c r="G573" s="4">
        <v>1994</v>
      </c>
      <c r="H573" s="25">
        <v>34335</v>
      </c>
      <c r="K573" s="4" t="s">
        <v>4520</v>
      </c>
    </row>
    <row r="574" spans="1:11" ht="15.75" customHeight="1">
      <c r="A574" s="4">
        <v>27535049</v>
      </c>
      <c r="B574" s="4" t="s">
        <v>6834</v>
      </c>
      <c r="C574" s="4" t="s">
        <v>6835</v>
      </c>
      <c r="D574" s="4" t="s">
        <v>6836</v>
      </c>
      <c r="E574" s="4" t="s">
        <v>3927</v>
      </c>
      <c r="F574" s="4" t="s">
        <v>4891</v>
      </c>
      <c r="G574" s="4">
        <v>2016</v>
      </c>
      <c r="H574" s="25">
        <v>42601</v>
      </c>
      <c r="I574" s="4" t="s">
        <v>6837</v>
      </c>
      <c r="K574" s="4" t="s">
        <v>3928</v>
      </c>
    </row>
    <row r="575" spans="1:11" ht="15.75" customHeight="1">
      <c r="A575" s="4">
        <v>19422536</v>
      </c>
      <c r="B575" s="4" t="s">
        <v>6830</v>
      </c>
      <c r="C575" s="4" t="s">
        <v>6831</v>
      </c>
      <c r="D575" s="4" t="s">
        <v>6832</v>
      </c>
      <c r="E575" s="4" t="s">
        <v>3983</v>
      </c>
      <c r="F575" s="4" t="s">
        <v>6833</v>
      </c>
      <c r="G575" s="4">
        <v>2010</v>
      </c>
      <c r="H575" s="25">
        <v>39942</v>
      </c>
      <c r="K575" s="4" t="s">
        <v>3984</v>
      </c>
    </row>
    <row r="576" spans="1:11" ht="15.75" customHeight="1">
      <c r="A576" s="4">
        <v>24198406</v>
      </c>
      <c r="B576" s="4" t="s">
        <v>6850</v>
      </c>
      <c r="C576" s="4" t="s">
        <v>6851</v>
      </c>
      <c r="D576" s="4" t="s">
        <v>6852</v>
      </c>
      <c r="E576" s="4" t="s">
        <v>4414</v>
      </c>
      <c r="F576" s="4" t="s">
        <v>4891</v>
      </c>
      <c r="G576" s="4">
        <v>2014</v>
      </c>
      <c r="H576" s="25">
        <v>41586</v>
      </c>
      <c r="I576" s="4" t="s">
        <v>6853</v>
      </c>
      <c r="K576" s="4" t="s">
        <v>4415</v>
      </c>
    </row>
    <row r="577" spans="1:11" ht="15.75" customHeight="1">
      <c r="A577" s="4">
        <v>15129646</v>
      </c>
      <c r="B577" s="4" t="s">
        <v>6923</v>
      </c>
      <c r="C577" s="4" t="s">
        <v>6924</v>
      </c>
      <c r="D577" s="4" t="s">
        <v>6925</v>
      </c>
      <c r="E577" s="4" t="s">
        <v>2126</v>
      </c>
      <c r="F577" s="4" t="s">
        <v>6926</v>
      </c>
      <c r="G577" s="4">
        <v>2003</v>
      </c>
      <c r="H577" s="25">
        <v>38115</v>
      </c>
    </row>
    <row r="578" spans="1:11" ht="15.75" customHeight="1">
      <c r="A578" s="4">
        <v>15078955</v>
      </c>
      <c r="B578" s="4" t="s">
        <v>6865</v>
      </c>
      <c r="C578" s="4" t="s">
        <v>6866</v>
      </c>
      <c r="D578" s="4" t="s">
        <v>6867</v>
      </c>
      <c r="E578" s="4" t="s">
        <v>1381</v>
      </c>
      <c r="F578" s="4" t="s">
        <v>4891</v>
      </c>
      <c r="G578" s="4">
        <v>2004</v>
      </c>
      <c r="H578" s="25">
        <v>38091</v>
      </c>
      <c r="I578" s="4" t="s">
        <v>6868</v>
      </c>
      <c r="K578" s="4" t="s">
        <v>1384</v>
      </c>
    </row>
    <row r="579" spans="1:11" ht="15.75" customHeight="1">
      <c r="A579" s="4">
        <v>17148094</v>
      </c>
      <c r="B579" s="4" t="s">
        <v>6860</v>
      </c>
      <c r="C579" s="4" t="s">
        <v>6861</v>
      </c>
      <c r="D579" s="4" t="s">
        <v>6862</v>
      </c>
      <c r="E579" s="4" t="s">
        <v>2815</v>
      </c>
      <c r="F579" s="4" t="s">
        <v>6718</v>
      </c>
      <c r="G579" s="4">
        <v>2006</v>
      </c>
      <c r="H579" s="25">
        <v>39058</v>
      </c>
      <c r="K579" s="4" t="s">
        <v>2816</v>
      </c>
    </row>
    <row r="580" spans="1:11" ht="15.75" customHeight="1">
      <c r="A580" s="4">
        <v>21604575</v>
      </c>
      <c r="B580" s="4" t="s">
        <v>6933</v>
      </c>
      <c r="C580" s="4" t="s">
        <v>6934</v>
      </c>
      <c r="D580" s="4" t="s">
        <v>6935</v>
      </c>
      <c r="E580" s="4" t="s">
        <v>3065</v>
      </c>
      <c r="F580" s="4" t="s">
        <v>6496</v>
      </c>
      <c r="G580" s="4">
        <v>2010</v>
      </c>
      <c r="H580" s="25">
        <v>40688</v>
      </c>
    </row>
    <row r="581" spans="1:11" ht="15.75" customHeight="1">
      <c r="A581" s="4">
        <v>17366067</v>
      </c>
      <c r="B581" s="4" t="s">
        <v>6930</v>
      </c>
      <c r="C581" s="4" t="s">
        <v>6931</v>
      </c>
      <c r="D581" s="4" t="s">
        <v>6932</v>
      </c>
      <c r="E581" s="4" t="s">
        <v>754</v>
      </c>
      <c r="F581" s="4" t="s">
        <v>6718</v>
      </c>
      <c r="G581" s="4">
        <v>2007</v>
      </c>
      <c r="H581" s="25">
        <v>39158</v>
      </c>
      <c r="K581" s="4" t="s">
        <v>3273</v>
      </c>
    </row>
    <row r="582" spans="1:11" ht="15.75" customHeight="1">
      <c r="A582" s="4">
        <v>33326670</v>
      </c>
      <c r="B582" s="4" t="s">
        <v>6946</v>
      </c>
      <c r="C582" s="4" t="s">
        <v>6947</v>
      </c>
      <c r="D582" s="4" t="s">
        <v>6948</v>
      </c>
      <c r="E582" s="4" t="s">
        <v>131</v>
      </c>
      <c r="F582" s="4" t="s">
        <v>4974</v>
      </c>
      <c r="G582" s="4">
        <v>2021</v>
      </c>
      <c r="H582" s="25">
        <v>44181</v>
      </c>
      <c r="K582" s="4" t="s">
        <v>346</v>
      </c>
    </row>
    <row r="583" spans="1:11" ht="15.75" customHeight="1">
      <c r="A583" s="4">
        <v>11122137</v>
      </c>
      <c r="B583" s="4" t="s">
        <v>6854</v>
      </c>
      <c r="C583" s="4" t="s">
        <v>6855</v>
      </c>
      <c r="D583" s="4" t="s">
        <v>6856</v>
      </c>
      <c r="E583" s="4" t="s">
        <v>249</v>
      </c>
      <c r="F583" s="4" t="s">
        <v>5211</v>
      </c>
      <c r="G583" s="4">
        <v>2000</v>
      </c>
      <c r="H583" s="25">
        <v>36881</v>
      </c>
    </row>
    <row r="584" spans="1:11" ht="15.75" customHeight="1">
      <c r="A584" s="4">
        <v>9460935</v>
      </c>
      <c r="B584" s="4" t="s">
        <v>6869</v>
      </c>
      <c r="C584" s="4" t="s">
        <v>6870</v>
      </c>
      <c r="D584" s="4" t="s">
        <v>6871</v>
      </c>
      <c r="E584" s="4" t="s">
        <v>4579</v>
      </c>
      <c r="F584" s="4" t="s">
        <v>4966</v>
      </c>
      <c r="G584" s="4">
        <v>1998</v>
      </c>
      <c r="H584" s="25">
        <v>35840</v>
      </c>
      <c r="K584" s="4" t="s">
        <v>4582</v>
      </c>
    </row>
    <row r="585" spans="1:11" ht="15.75" customHeight="1">
      <c r="A585" s="4">
        <v>8824992</v>
      </c>
      <c r="B585" s="4" t="s">
        <v>6876</v>
      </c>
      <c r="C585" s="4" t="s">
        <v>6073</v>
      </c>
      <c r="D585" s="4" t="s">
        <v>6877</v>
      </c>
      <c r="E585" s="4" t="s">
        <v>2724</v>
      </c>
      <c r="F585" s="4" t="s">
        <v>5080</v>
      </c>
      <c r="G585" s="4">
        <v>1996</v>
      </c>
      <c r="H585" s="25">
        <v>35065</v>
      </c>
      <c r="K585" s="4" t="s">
        <v>2733</v>
      </c>
    </row>
    <row r="586" spans="1:11" ht="15.75" customHeight="1">
      <c r="A586" s="4">
        <v>9465670</v>
      </c>
      <c r="B586" s="4" t="s">
        <v>6863</v>
      </c>
      <c r="C586" s="4" t="s">
        <v>6505</v>
      </c>
      <c r="D586" s="4" t="s">
        <v>6864</v>
      </c>
      <c r="E586" s="4" t="s">
        <v>2758</v>
      </c>
      <c r="F586" s="4" t="s">
        <v>5031</v>
      </c>
      <c r="G586" s="4">
        <v>1998</v>
      </c>
      <c r="H586" s="25">
        <v>35844</v>
      </c>
    </row>
    <row r="587" spans="1:11" ht="15.75" customHeight="1">
      <c r="A587" s="4">
        <v>28179532</v>
      </c>
      <c r="B587" s="4" t="s">
        <v>6904</v>
      </c>
      <c r="C587" s="4" t="s">
        <v>6905</v>
      </c>
      <c r="D587" s="4" t="s">
        <v>6906</v>
      </c>
      <c r="E587" s="4" t="s">
        <v>3532</v>
      </c>
      <c r="F587" s="4" t="s">
        <v>4891</v>
      </c>
      <c r="G587" s="4">
        <v>2017</v>
      </c>
      <c r="H587" s="25">
        <v>42776</v>
      </c>
      <c r="I587" s="4" t="s">
        <v>6907</v>
      </c>
      <c r="K587" s="4" t="s">
        <v>3533</v>
      </c>
    </row>
    <row r="588" spans="1:11" ht="15.75" customHeight="1">
      <c r="A588" s="4">
        <v>11196603</v>
      </c>
      <c r="B588" s="4" t="s">
        <v>6910</v>
      </c>
      <c r="C588" s="4" t="s">
        <v>6911</v>
      </c>
      <c r="D588" s="4" t="s">
        <v>6912</v>
      </c>
      <c r="E588" s="4" t="s">
        <v>3738</v>
      </c>
      <c r="F588" s="4" t="s">
        <v>6913</v>
      </c>
      <c r="G588" s="4">
        <v>2000</v>
      </c>
      <c r="H588" s="25">
        <v>36946</v>
      </c>
      <c r="K588" s="4" t="s">
        <v>3739</v>
      </c>
    </row>
    <row r="589" spans="1:11" ht="15.75" customHeight="1">
      <c r="A589" s="4">
        <v>23723198</v>
      </c>
      <c r="B589" s="4" t="s">
        <v>6940</v>
      </c>
      <c r="C589" s="4" t="s">
        <v>6941</v>
      </c>
      <c r="D589" s="4" t="s">
        <v>6942</v>
      </c>
      <c r="E589" s="4" t="s">
        <v>151</v>
      </c>
      <c r="F589" s="4" t="s">
        <v>5080</v>
      </c>
      <c r="G589" s="4">
        <v>2013</v>
      </c>
      <c r="H589" s="25">
        <v>41426</v>
      </c>
      <c r="K589" s="4" t="s">
        <v>796</v>
      </c>
    </row>
    <row r="590" spans="1:11" ht="15.75" customHeight="1">
      <c r="A590" s="4">
        <v>8525536</v>
      </c>
      <c r="B590" s="4" t="s">
        <v>6917</v>
      </c>
      <c r="C590" s="4" t="s">
        <v>6918</v>
      </c>
      <c r="D590" s="4" t="s">
        <v>6919</v>
      </c>
      <c r="E590" s="4" t="s">
        <v>4017</v>
      </c>
      <c r="F590" s="4" t="s">
        <v>5445</v>
      </c>
      <c r="G590" s="4">
        <v>1995</v>
      </c>
      <c r="H590" s="25">
        <v>35048</v>
      </c>
    </row>
    <row r="591" spans="1:11" ht="15.75" customHeight="1">
      <c r="A591" s="4">
        <v>17013421</v>
      </c>
      <c r="B591" s="4" t="s">
        <v>6878</v>
      </c>
      <c r="C591" s="4" t="s">
        <v>6879</v>
      </c>
      <c r="D591" s="4" t="s">
        <v>6880</v>
      </c>
      <c r="E591" s="4" t="s">
        <v>2553</v>
      </c>
      <c r="F591" s="4" t="s">
        <v>4863</v>
      </c>
      <c r="G591" s="4">
        <v>2006</v>
      </c>
      <c r="H591" s="25">
        <v>38993</v>
      </c>
      <c r="K591" s="4" t="s">
        <v>2554</v>
      </c>
    </row>
    <row r="592" spans="1:11" ht="15.75" customHeight="1">
      <c r="A592" s="4">
        <v>21808857</v>
      </c>
      <c r="B592" s="4" t="s">
        <v>6893</v>
      </c>
      <c r="C592" s="4" t="s">
        <v>6894</v>
      </c>
      <c r="D592" s="4" t="s">
        <v>6895</v>
      </c>
      <c r="E592" s="4" t="s">
        <v>1722</v>
      </c>
      <c r="F592" s="4" t="s">
        <v>6896</v>
      </c>
      <c r="G592" s="4">
        <v>2011</v>
      </c>
      <c r="H592" s="25">
        <v>40758</v>
      </c>
      <c r="I592" s="4" t="s">
        <v>6897</v>
      </c>
      <c r="K592" s="4" t="s">
        <v>1723</v>
      </c>
    </row>
    <row r="593" spans="1:11" ht="15.75" customHeight="1">
      <c r="A593" s="4">
        <v>9094650</v>
      </c>
      <c r="B593" s="4" t="s">
        <v>6884</v>
      </c>
      <c r="C593" s="4" t="s">
        <v>6885</v>
      </c>
      <c r="D593" s="4" t="s">
        <v>6886</v>
      </c>
      <c r="E593" s="4" t="s">
        <v>2501</v>
      </c>
      <c r="F593" s="4" t="s">
        <v>4891</v>
      </c>
      <c r="G593" s="4">
        <v>1997</v>
      </c>
      <c r="H593" s="25">
        <v>35551</v>
      </c>
      <c r="I593" s="4" t="s">
        <v>6887</v>
      </c>
      <c r="K593" s="4" t="s">
        <v>2502</v>
      </c>
    </row>
    <row r="594" spans="1:11" ht="15.75" customHeight="1">
      <c r="A594" s="4">
        <v>18367292</v>
      </c>
      <c r="B594" s="4" t="s">
        <v>6901</v>
      </c>
      <c r="C594" s="4" t="s">
        <v>6902</v>
      </c>
      <c r="D594" s="4" t="s">
        <v>6903</v>
      </c>
      <c r="E594" s="4" t="s">
        <v>692</v>
      </c>
      <c r="F594" s="4" t="s">
        <v>6395</v>
      </c>
      <c r="G594" s="4">
        <v>2008</v>
      </c>
      <c r="H594" s="25">
        <v>39535</v>
      </c>
      <c r="K594" s="4" t="s">
        <v>693</v>
      </c>
    </row>
    <row r="595" spans="1:11" ht="15.75" customHeight="1">
      <c r="A595" s="4">
        <v>10555208</v>
      </c>
      <c r="B595" s="4" t="s">
        <v>6898</v>
      </c>
      <c r="C595" s="4" t="s">
        <v>6899</v>
      </c>
      <c r="D595" s="4" t="s">
        <v>6900</v>
      </c>
      <c r="E595" s="4" t="s">
        <v>3721</v>
      </c>
      <c r="F595" s="4" t="s">
        <v>5103</v>
      </c>
      <c r="G595" s="4">
        <v>1999</v>
      </c>
      <c r="H595" s="25">
        <v>36475</v>
      </c>
    </row>
    <row r="596" spans="1:11" ht="15.75" customHeight="1">
      <c r="A596" s="4">
        <v>11887330</v>
      </c>
      <c r="B596" s="4" t="s">
        <v>6881</v>
      </c>
      <c r="C596" s="4" t="s">
        <v>6882</v>
      </c>
      <c r="D596" s="4" t="s">
        <v>6883</v>
      </c>
      <c r="E596" s="4" t="s">
        <v>2800</v>
      </c>
      <c r="F596" s="4" t="s">
        <v>4954</v>
      </c>
      <c r="G596" s="4">
        <v>2001</v>
      </c>
      <c r="H596" s="25">
        <v>37328</v>
      </c>
    </row>
    <row r="597" spans="1:11" ht="15.75" customHeight="1">
      <c r="A597" s="4">
        <v>1331312</v>
      </c>
      <c r="B597" s="4" t="s">
        <v>6914</v>
      </c>
      <c r="C597" s="4" t="s">
        <v>6915</v>
      </c>
      <c r="D597" s="4" t="s">
        <v>6916</v>
      </c>
      <c r="E597" s="4" t="s">
        <v>195</v>
      </c>
      <c r="F597" s="4" t="s">
        <v>4923</v>
      </c>
      <c r="G597" s="4">
        <v>1992</v>
      </c>
      <c r="H597" s="25">
        <v>33786</v>
      </c>
      <c r="K597" s="4" t="s">
        <v>4648</v>
      </c>
    </row>
    <row r="598" spans="1:11" ht="15.75" customHeight="1">
      <c r="A598" s="4">
        <v>17921853</v>
      </c>
      <c r="B598" s="4" t="s">
        <v>6920</v>
      </c>
      <c r="C598" s="4" t="s">
        <v>6921</v>
      </c>
      <c r="D598" s="4" t="s">
        <v>6922</v>
      </c>
      <c r="E598" s="4" t="s">
        <v>4133</v>
      </c>
      <c r="F598" s="4" t="s">
        <v>5757</v>
      </c>
      <c r="G598" s="4">
        <v>2007</v>
      </c>
      <c r="H598" s="25">
        <v>39364</v>
      </c>
      <c r="K598" s="4" t="s">
        <v>4134</v>
      </c>
    </row>
    <row r="599" spans="1:11" ht="15.75" customHeight="1">
      <c r="A599" s="4">
        <v>10489348</v>
      </c>
      <c r="B599" s="4" t="s">
        <v>6927</v>
      </c>
      <c r="C599" s="4" t="s">
        <v>6928</v>
      </c>
      <c r="D599" s="4" t="s">
        <v>6929</v>
      </c>
      <c r="E599" s="4" t="s">
        <v>2091</v>
      </c>
      <c r="F599" s="4" t="s">
        <v>4950</v>
      </c>
      <c r="G599" s="4">
        <v>1999</v>
      </c>
      <c r="H599" s="25">
        <v>36421</v>
      </c>
      <c r="K599" s="4" t="s">
        <v>2092</v>
      </c>
    </row>
    <row r="600" spans="1:11" ht="15.75" customHeight="1">
      <c r="A600" s="4">
        <v>11168749</v>
      </c>
      <c r="B600" s="4" t="s">
        <v>6936</v>
      </c>
      <c r="C600" s="4" t="s">
        <v>6937</v>
      </c>
      <c r="D600" s="4" t="s">
        <v>6938</v>
      </c>
      <c r="E600" s="4" t="s">
        <v>2671</v>
      </c>
      <c r="F600" s="4" t="s">
        <v>6939</v>
      </c>
      <c r="G600" s="4">
        <v>2001</v>
      </c>
      <c r="H600" s="25">
        <v>36935</v>
      </c>
      <c r="K600" s="4" t="s">
        <v>2672</v>
      </c>
    </row>
    <row r="601" spans="1:11" ht="15.75" customHeight="1">
      <c r="A601" s="4">
        <v>29985560</v>
      </c>
      <c r="B601" s="4" t="s">
        <v>6943</v>
      </c>
      <c r="C601" s="4" t="s">
        <v>6944</v>
      </c>
      <c r="D601" s="4" t="s">
        <v>6945</v>
      </c>
      <c r="E601" s="4" t="s">
        <v>1372</v>
      </c>
      <c r="F601" s="4" t="s">
        <v>5726</v>
      </c>
      <c r="G601" s="4">
        <v>2019</v>
      </c>
      <c r="H601" s="25">
        <v>43291</v>
      </c>
      <c r="K601" s="4" t="s">
        <v>1377</v>
      </c>
    </row>
    <row r="602" spans="1:11" ht="15.75" customHeight="1">
      <c r="A602" s="4">
        <v>18564986</v>
      </c>
      <c r="B602" s="4" t="s">
        <v>6949</v>
      </c>
      <c r="C602" s="4" t="s">
        <v>6950</v>
      </c>
      <c r="D602" s="4" t="s">
        <v>6951</v>
      </c>
      <c r="E602" s="4" t="s">
        <v>2339</v>
      </c>
      <c r="F602" s="4" t="s">
        <v>4900</v>
      </c>
      <c r="G602" s="4">
        <v>2008</v>
      </c>
      <c r="H602" s="25">
        <v>39620</v>
      </c>
      <c r="K602" s="4" t="s">
        <v>2340</v>
      </c>
    </row>
    <row r="603" spans="1:11" ht="15.75" customHeight="1">
      <c r="A603" s="4">
        <v>28902954</v>
      </c>
      <c r="B603" s="4" t="s">
        <v>6987</v>
      </c>
      <c r="C603" s="4" t="s">
        <v>6988</v>
      </c>
      <c r="D603" s="4" t="s">
        <v>6989</v>
      </c>
      <c r="E603" s="4" t="s">
        <v>3225</v>
      </c>
      <c r="F603" s="4" t="s">
        <v>6990</v>
      </c>
      <c r="G603" s="4">
        <v>2018</v>
      </c>
      <c r="H603" s="25">
        <v>42992</v>
      </c>
      <c r="K603" s="4" t="s">
        <v>3226</v>
      </c>
    </row>
    <row r="604" spans="1:11" ht="15.75" customHeight="1">
      <c r="A604" s="4">
        <v>19107978</v>
      </c>
      <c r="B604" s="4" t="s">
        <v>6998</v>
      </c>
      <c r="C604" s="4" t="s">
        <v>6999</v>
      </c>
      <c r="D604" s="4" t="s">
        <v>7000</v>
      </c>
      <c r="E604" s="4" t="s">
        <v>2437</v>
      </c>
      <c r="F604" s="4" t="s">
        <v>4923</v>
      </c>
      <c r="G604" s="4">
        <v>2009</v>
      </c>
      <c r="H604" s="25">
        <v>39807</v>
      </c>
      <c r="K604" s="4" t="s">
        <v>2442</v>
      </c>
    </row>
    <row r="605" spans="1:11" ht="15.75" customHeight="1">
      <c r="A605" s="4">
        <v>7911490</v>
      </c>
      <c r="B605" s="4" t="s">
        <v>6952</v>
      </c>
      <c r="C605" s="4" t="s">
        <v>6953</v>
      </c>
      <c r="D605" s="4" t="s">
        <v>6954</v>
      </c>
      <c r="E605" s="4" t="s">
        <v>2117</v>
      </c>
      <c r="F605" s="4" t="s">
        <v>6293</v>
      </c>
      <c r="G605" s="4">
        <v>1994</v>
      </c>
      <c r="H605" s="25">
        <v>34500</v>
      </c>
    </row>
    <row r="606" spans="1:11" ht="15.75" customHeight="1">
      <c r="A606" s="4">
        <v>26525035</v>
      </c>
      <c r="B606" s="4" t="s">
        <v>6959</v>
      </c>
      <c r="C606" s="4" t="s">
        <v>6960</v>
      </c>
      <c r="D606" s="4" t="s">
        <v>6961</v>
      </c>
      <c r="E606" s="4" t="s">
        <v>2376</v>
      </c>
      <c r="F606" s="4" t="s">
        <v>5211</v>
      </c>
      <c r="G606" s="4">
        <v>2016</v>
      </c>
      <c r="H606" s="25">
        <v>42312</v>
      </c>
      <c r="K606" s="4" t="s">
        <v>2377</v>
      </c>
    </row>
    <row r="607" spans="1:11" ht="15.75" customHeight="1">
      <c r="A607" s="4">
        <v>17922393</v>
      </c>
      <c r="B607" s="4" t="s">
        <v>6680</v>
      </c>
      <c r="C607" s="4" t="s">
        <v>6681</v>
      </c>
      <c r="D607" s="4" t="s">
        <v>6682</v>
      </c>
      <c r="E607" s="4" t="s">
        <v>1543</v>
      </c>
      <c r="F607" s="4" t="s">
        <v>4992</v>
      </c>
      <c r="G607" s="4">
        <v>2007</v>
      </c>
      <c r="H607" s="25">
        <v>39364</v>
      </c>
      <c r="K607" s="4" t="s">
        <v>1548</v>
      </c>
    </row>
    <row r="608" spans="1:11" ht="15.75" customHeight="1">
      <c r="A608" s="4">
        <v>2178187</v>
      </c>
      <c r="B608" s="4" t="s">
        <v>6969</v>
      </c>
      <c r="C608" s="4" t="s">
        <v>6970</v>
      </c>
      <c r="D608" s="4" t="s">
        <v>6971</v>
      </c>
      <c r="E608" s="4" t="s">
        <v>3020</v>
      </c>
      <c r="F608" s="4" t="s">
        <v>6972</v>
      </c>
      <c r="G608" s="4">
        <v>1990</v>
      </c>
      <c r="H608" s="25">
        <v>32874</v>
      </c>
      <c r="K608" s="4" t="s">
        <v>3023</v>
      </c>
    </row>
    <row r="609" spans="1:11" ht="15.75" customHeight="1">
      <c r="A609" s="4">
        <v>32782352</v>
      </c>
      <c r="B609" s="4" t="s">
        <v>6962</v>
      </c>
      <c r="C609" s="4" t="s">
        <v>6963</v>
      </c>
      <c r="D609" s="4" t="s">
        <v>6964</v>
      </c>
      <c r="E609" s="4" t="s">
        <v>237</v>
      </c>
      <c r="F609" s="4" t="s">
        <v>4863</v>
      </c>
      <c r="G609" s="4">
        <v>2021</v>
      </c>
      <c r="H609" s="25">
        <v>44056</v>
      </c>
      <c r="K609" s="4" t="s">
        <v>373</v>
      </c>
    </row>
    <row r="610" spans="1:11" ht="15.75" customHeight="1">
      <c r="A610" s="4">
        <v>10030285</v>
      </c>
      <c r="B610" s="4" t="s">
        <v>7008</v>
      </c>
      <c r="C610" s="4" t="s">
        <v>7009</v>
      </c>
      <c r="D610" s="4" t="s">
        <v>7010</v>
      </c>
      <c r="E610" s="4" t="s">
        <v>1879</v>
      </c>
      <c r="F610" s="4" t="s">
        <v>5445</v>
      </c>
      <c r="G610" s="4">
        <v>1999</v>
      </c>
      <c r="H610" s="25">
        <v>36216</v>
      </c>
      <c r="K610" s="4" t="s">
        <v>1886</v>
      </c>
    </row>
    <row r="611" spans="1:11" ht="15.75" customHeight="1">
      <c r="A611" s="4">
        <v>16647570</v>
      </c>
      <c r="B611" s="4" t="s">
        <v>6979</v>
      </c>
      <c r="C611" s="4" t="s">
        <v>6980</v>
      </c>
      <c r="D611" s="4" t="s">
        <v>6981</v>
      </c>
      <c r="E611" s="4" t="s">
        <v>3376</v>
      </c>
      <c r="F611" s="4" t="s">
        <v>6982</v>
      </c>
      <c r="G611" s="4">
        <v>2006</v>
      </c>
      <c r="H611" s="25">
        <v>38839</v>
      </c>
      <c r="K611" s="4" t="s">
        <v>3377</v>
      </c>
    </row>
    <row r="612" spans="1:11" ht="15.75" customHeight="1">
      <c r="A612" s="4">
        <v>20714035</v>
      </c>
      <c r="B612" s="4" t="s">
        <v>6977</v>
      </c>
      <c r="C612" s="4" t="s">
        <v>6689</v>
      </c>
      <c r="D612" s="4" t="s">
        <v>6978</v>
      </c>
      <c r="E612" s="4" t="s">
        <v>195</v>
      </c>
      <c r="F612" s="4" t="s">
        <v>4970</v>
      </c>
      <c r="G612" s="4">
        <v>2010</v>
      </c>
      <c r="H612" s="25">
        <v>40408</v>
      </c>
    </row>
    <row r="613" spans="1:11" ht="15.75" customHeight="1">
      <c r="A613" s="4">
        <v>19522223</v>
      </c>
      <c r="B613" s="4" t="s">
        <v>6965</v>
      </c>
      <c r="C613" s="4" t="s">
        <v>6966</v>
      </c>
      <c r="D613" s="4" t="s">
        <v>6967</v>
      </c>
      <c r="E613" s="4" t="s">
        <v>567</v>
      </c>
      <c r="F613" s="4" t="s">
        <v>6968</v>
      </c>
      <c r="G613" s="4">
        <v>2009</v>
      </c>
      <c r="H613" s="25">
        <v>39980</v>
      </c>
    </row>
    <row r="614" spans="1:11" ht="15.75" customHeight="1">
      <c r="A614" s="4">
        <v>18094951</v>
      </c>
      <c r="B614" s="4" t="s">
        <v>6983</v>
      </c>
      <c r="C614" s="4" t="s">
        <v>6984</v>
      </c>
      <c r="D614" s="4" t="s">
        <v>6985</v>
      </c>
      <c r="E614" s="4" t="s">
        <v>3989</v>
      </c>
      <c r="F614" s="4" t="s">
        <v>6986</v>
      </c>
      <c r="G614" s="4">
        <v>2007</v>
      </c>
      <c r="H614" s="25">
        <v>39437</v>
      </c>
      <c r="K614" s="4" t="s">
        <v>3992</v>
      </c>
    </row>
    <row r="615" spans="1:11" ht="15.75" customHeight="1">
      <c r="A615" s="4">
        <v>17376882</v>
      </c>
      <c r="B615" s="4" t="s">
        <v>6973</v>
      </c>
      <c r="C615" s="4" t="s">
        <v>6974</v>
      </c>
      <c r="D615" s="4" t="s">
        <v>6975</v>
      </c>
      <c r="E615" s="4" t="s">
        <v>4383</v>
      </c>
      <c r="F615" s="4" t="s">
        <v>5331</v>
      </c>
      <c r="G615" s="4">
        <v>2007</v>
      </c>
      <c r="H615" s="25">
        <v>39164</v>
      </c>
      <c r="I615" s="4" t="s">
        <v>6976</v>
      </c>
      <c r="K615" s="4" t="s">
        <v>4384</v>
      </c>
    </row>
    <row r="616" spans="1:11" ht="15.75" customHeight="1">
      <c r="A616" s="4">
        <v>22357271</v>
      </c>
      <c r="B616" s="4" t="s">
        <v>6994</v>
      </c>
      <c r="C616" s="4" t="s">
        <v>6995</v>
      </c>
      <c r="D616" s="4" t="s">
        <v>6996</v>
      </c>
      <c r="E616" s="4" t="s">
        <v>3356</v>
      </c>
      <c r="F616" s="4" t="s">
        <v>4891</v>
      </c>
      <c r="G616" s="4">
        <v>2012</v>
      </c>
      <c r="H616" s="25">
        <v>40963</v>
      </c>
      <c r="I616" s="4" t="s">
        <v>6997</v>
      </c>
      <c r="K616" s="4" t="s">
        <v>3357</v>
      </c>
    </row>
    <row r="617" spans="1:11" ht="15.75" customHeight="1">
      <c r="A617" s="4">
        <v>10223548</v>
      </c>
      <c r="B617" s="4" t="s">
        <v>7038</v>
      </c>
      <c r="C617" s="4" t="s">
        <v>7039</v>
      </c>
      <c r="D617" s="4" t="s">
        <v>7040</v>
      </c>
      <c r="E617" s="4" t="s">
        <v>2476</v>
      </c>
      <c r="F617" s="4" t="s">
        <v>4923</v>
      </c>
      <c r="G617" s="4">
        <v>1999</v>
      </c>
      <c r="H617" s="25">
        <v>36281</v>
      </c>
      <c r="K617" s="4" t="s">
        <v>2477</v>
      </c>
    </row>
    <row r="618" spans="1:11" ht="15.75" customHeight="1">
      <c r="A618" s="4">
        <v>17276374</v>
      </c>
      <c r="B618" s="4" t="s">
        <v>6991</v>
      </c>
      <c r="C618" s="4" t="s">
        <v>6992</v>
      </c>
      <c r="D618" s="4" t="s">
        <v>6993</v>
      </c>
      <c r="E618" s="4" t="s">
        <v>3001</v>
      </c>
      <c r="F618" s="4" t="s">
        <v>4896</v>
      </c>
      <c r="G618" s="4">
        <v>2006</v>
      </c>
      <c r="H618" s="25">
        <v>39119</v>
      </c>
      <c r="K618" s="4" t="s">
        <v>3004</v>
      </c>
    </row>
    <row r="619" spans="1:11" ht="15.75" customHeight="1">
      <c r="A619" s="4">
        <v>23955460</v>
      </c>
      <c r="B619" s="4" t="s">
        <v>7014</v>
      </c>
      <c r="C619" s="4" t="s">
        <v>7015</v>
      </c>
      <c r="D619" s="4" t="s">
        <v>7016</v>
      </c>
      <c r="E619" s="4" t="s">
        <v>1466</v>
      </c>
      <c r="F619" s="4" t="s">
        <v>7017</v>
      </c>
      <c r="G619" s="4">
        <v>2013</v>
      </c>
      <c r="H619" s="25">
        <v>41506</v>
      </c>
      <c r="K619" s="4" t="s">
        <v>1467</v>
      </c>
    </row>
    <row r="620" spans="1:11" ht="15.75" customHeight="1">
      <c r="A620" s="4">
        <v>8699160</v>
      </c>
      <c r="B620" s="4" t="s">
        <v>7001</v>
      </c>
      <c r="C620" s="4" t="s">
        <v>7002</v>
      </c>
      <c r="D620" s="4" t="s">
        <v>7003</v>
      </c>
      <c r="E620" s="4" t="s">
        <v>3487</v>
      </c>
      <c r="F620" s="4" t="s">
        <v>4923</v>
      </c>
      <c r="G620" s="4">
        <v>1996</v>
      </c>
      <c r="H620" s="25">
        <v>35156</v>
      </c>
      <c r="K620" s="4" t="s">
        <v>3488</v>
      </c>
    </row>
    <row r="621" spans="1:11" ht="15.75" customHeight="1">
      <c r="A621" s="4">
        <v>11715608</v>
      </c>
      <c r="B621" s="4" t="s">
        <v>7004</v>
      </c>
      <c r="C621" s="4" t="s">
        <v>7005</v>
      </c>
      <c r="D621" s="4" t="s">
        <v>7006</v>
      </c>
      <c r="E621" s="4" t="s">
        <v>596</v>
      </c>
      <c r="F621" s="4" t="s">
        <v>7007</v>
      </c>
      <c r="G621" s="4">
        <v>2001</v>
      </c>
      <c r="H621" s="25">
        <v>37217</v>
      </c>
    </row>
    <row r="622" spans="1:11" ht="15.75" customHeight="1">
      <c r="A622" s="4">
        <v>24330091</v>
      </c>
      <c r="B622" s="4" t="s">
        <v>7047</v>
      </c>
      <c r="C622" s="4" t="s">
        <v>7048</v>
      </c>
      <c r="D622" s="4" t="s">
        <v>7049</v>
      </c>
      <c r="E622" s="4" t="s">
        <v>4079</v>
      </c>
      <c r="F622" s="4" t="s">
        <v>5543</v>
      </c>
      <c r="G622" s="4">
        <v>2014</v>
      </c>
      <c r="H622" s="25">
        <v>41625</v>
      </c>
      <c r="K622" s="4" t="s">
        <v>4080</v>
      </c>
    </row>
    <row r="623" spans="1:11" ht="15.75" customHeight="1">
      <c r="A623" s="4">
        <v>23088724</v>
      </c>
      <c r="B623" s="4" t="s">
        <v>7018</v>
      </c>
      <c r="C623" s="4" t="s">
        <v>7019</v>
      </c>
      <c r="D623" s="4" t="s">
        <v>7020</v>
      </c>
      <c r="E623" s="4" t="s">
        <v>3606</v>
      </c>
      <c r="F623" s="4" t="s">
        <v>5099</v>
      </c>
      <c r="G623" s="4">
        <v>2013</v>
      </c>
      <c r="H623" s="25">
        <v>41206</v>
      </c>
      <c r="K623" s="4" t="s">
        <v>3607</v>
      </c>
    </row>
    <row r="624" spans="1:11" ht="15.75" customHeight="1">
      <c r="A624" s="4">
        <v>11889438</v>
      </c>
      <c r="B624" s="4" t="s">
        <v>7011</v>
      </c>
      <c r="C624" s="4" t="s">
        <v>7012</v>
      </c>
      <c r="D624" s="4" t="s">
        <v>7013</v>
      </c>
      <c r="E624" s="4" t="s">
        <v>651</v>
      </c>
      <c r="F624" s="4" t="s">
        <v>5445</v>
      </c>
      <c r="G624" s="4">
        <v>2002</v>
      </c>
      <c r="H624" s="25">
        <v>37328</v>
      </c>
      <c r="K624" s="4" t="s">
        <v>2452</v>
      </c>
    </row>
    <row r="625" spans="1:11" ht="15.75" customHeight="1">
      <c r="A625" s="4">
        <v>26146808</v>
      </c>
      <c r="B625" s="4" t="s">
        <v>7021</v>
      </c>
      <c r="C625" s="4" t="s">
        <v>7022</v>
      </c>
      <c r="D625" s="4" t="s">
        <v>7023</v>
      </c>
      <c r="E625" s="4" t="s">
        <v>1496</v>
      </c>
      <c r="F625" s="4" t="s">
        <v>4863</v>
      </c>
      <c r="G625" s="4">
        <v>2015</v>
      </c>
      <c r="H625" s="25">
        <v>42192</v>
      </c>
      <c r="K625" s="4" t="s">
        <v>1497</v>
      </c>
    </row>
    <row r="626" spans="1:11" ht="15.75" customHeight="1">
      <c r="A626" s="4">
        <v>7832888</v>
      </c>
      <c r="B626" s="4" t="s">
        <v>7031</v>
      </c>
      <c r="C626" s="4" t="s">
        <v>7032</v>
      </c>
      <c r="D626" s="4" t="s">
        <v>7033</v>
      </c>
      <c r="E626" s="4" t="s">
        <v>461</v>
      </c>
      <c r="F626" s="4" t="s">
        <v>6147</v>
      </c>
      <c r="G626" s="4">
        <v>1994</v>
      </c>
      <c r="H626" s="25">
        <v>34650</v>
      </c>
      <c r="K626" s="4" t="s">
        <v>1191</v>
      </c>
    </row>
    <row r="627" spans="1:11" ht="15.75" customHeight="1">
      <c r="A627" s="4">
        <v>12134252</v>
      </c>
      <c r="B627" s="4" t="s">
        <v>7024</v>
      </c>
      <c r="C627" s="4" t="s">
        <v>7025</v>
      </c>
      <c r="D627" s="4" t="s">
        <v>7026</v>
      </c>
      <c r="E627" s="4" t="s">
        <v>3194</v>
      </c>
      <c r="F627" s="4" t="s">
        <v>4992</v>
      </c>
      <c r="G627" s="4">
        <v>2002</v>
      </c>
      <c r="H627" s="25">
        <v>37460</v>
      </c>
      <c r="K627" s="4" t="s">
        <v>3195</v>
      </c>
    </row>
    <row r="628" spans="1:11" ht="15.75" customHeight="1">
      <c r="A628" s="4">
        <v>16247430</v>
      </c>
      <c r="B628" s="4" t="s">
        <v>7041</v>
      </c>
      <c r="C628" s="4" t="s">
        <v>7042</v>
      </c>
      <c r="D628" s="4" t="s">
        <v>7043</v>
      </c>
      <c r="E628" s="4" t="s">
        <v>924</v>
      </c>
      <c r="F628" s="4" t="s">
        <v>4863</v>
      </c>
      <c r="G628" s="4">
        <v>2005</v>
      </c>
      <c r="H628" s="25">
        <v>38651</v>
      </c>
      <c r="K628" s="4" t="s">
        <v>4275</v>
      </c>
    </row>
    <row r="629" spans="1:11" ht="15.75" customHeight="1">
      <c r="A629" s="4">
        <v>31852793</v>
      </c>
      <c r="B629" s="4" t="s">
        <v>7027</v>
      </c>
      <c r="C629" s="4" t="s">
        <v>7028</v>
      </c>
      <c r="D629" s="4" t="s">
        <v>7029</v>
      </c>
      <c r="E629" s="4" t="s">
        <v>4407</v>
      </c>
      <c r="F629" s="4" t="s">
        <v>4891</v>
      </c>
      <c r="G629" s="4">
        <v>2020</v>
      </c>
      <c r="H629" s="25">
        <v>43819</v>
      </c>
      <c r="I629" s="4" t="s">
        <v>7030</v>
      </c>
      <c r="K629" s="4" t="s">
        <v>4410</v>
      </c>
    </row>
    <row r="630" spans="1:11" ht="15.75" customHeight="1">
      <c r="A630" s="4">
        <v>33443593</v>
      </c>
      <c r="B630" s="4" t="s">
        <v>7034</v>
      </c>
      <c r="C630" s="4" t="s">
        <v>7035</v>
      </c>
      <c r="D630" s="4" t="s">
        <v>7036</v>
      </c>
      <c r="E630" s="4" t="s">
        <v>4371</v>
      </c>
      <c r="F630" s="4" t="s">
        <v>5319</v>
      </c>
      <c r="G630" s="4">
        <v>2021</v>
      </c>
      <c r="H630" s="25">
        <v>44210</v>
      </c>
      <c r="I630" s="4" t="s">
        <v>7037</v>
      </c>
      <c r="K630" s="4" t="s">
        <v>4372</v>
      </c>
    </row>
    <row r="631" spans="1:11" ht="15.75" customHeight="1">
      <c r="A631" s="4">
        <v>16612979</v>
      </c>
      <c r="B631" s="4" t="s">
        <v>7050</v>
      </c>
      <c r="C631" s="4" t="s">
        <v>7051</v>
      </c>
      <c r="D631" s="4" t="s">
        <v>7052</v>
      </c>
      <c r="E631" s="4" t="s">
        <v>1167</v>
      </c>
      <c r="F631" s="4" t="s">
        <v>7053</v>
      </c>
      <c r="G631" s="4">
        <v>2006</v>
      </c>
      <c r="H631" s="25">
        <v>38822</v>
      </c>
      <c r="I631" s="4" t="s">
        <v>7054</v>
      </c>
      <c r="K631" s="4" t="s">
        <v>1170</v>
      </c>
    </row>
    <row r="632" spans="1:11" ht="15.75" customHeight="1">
      <c r="A632" s="4">
        <v>23173742</v>
      </c>
      <c r="B632" s="4" t="s">
        <v>7044</v>
      </c>
      <c r="C632" s="4" t="s">
        <v>7045</v>
      </c>
      <c r="D632" s="4" t="s">
        <v>7046</v>
      </c>
      <c r="E632" s="4" t="s">
        <v>2649</v>
      </c>
      <c r="F632" s="4" t="s">
        <v>4974</v>
      </c>
      <c r="G632" s="4">
        <v>2013</v>
      </c>
      <c r="H632" s="25">
        <v>41237</v>
      </c>
      <c r="K632" s="4" t="s">
        <v>2650</v>
      </c>
    </row>
    <row r="633" spans="1:11" ht="15.75" customHeight="1">
      <c r="A633" s="4">
        <v>15543584</v>
      </c>
      <c r="B633" s="4" t="s">
        <v>7068</v>
      </c>
      <c r="C633" s="4" t="s">
        <v>7069</v>
      </c>
      <c r="D633" s="4" t="s">
        <v>7070</v>
      </c>
      <c r="E633" s="4" t="s">
        <v>4542</v>
      </c>
      <c r="F633" s="4" t="s">
        <v>4923</v>
      </c>
      <c r="G633" s="4">
        <v>2005</v>
      </c>
      <c r="H633" s="25">
        <v>38307</v>
      </c>
      <c r="K633" s="4" t="s">
        <v>4543</v>
      </c>
    </row>
    <row r="634" spans="1:11" ht="15.75" customHeight="1">
      <c r="A634" s="4">
        <v>19619326</v>
      </c>
      <c r="B634" s="4" t="s">
        <v>7055</v>
      </c>
      <c r="C634" s="4" t="s">
        <v>7056</v>
      </c>
      <c r="D634" s="4" t="s">
        <v>7057</v>
      </c>
      <c r="E634" s="4" t="s">
        <v>1369</v>
      </c>
      <c r="F634" s="4" t="s">
        <v>4867</v>
      </c>
      <c r="G634" s="4">
        <v>2009</v>
      </c>
      <c r="H634" s="25">
        <v>40016</v>
      </c>
      <c r="I634" s="4" t="s">
        <v>7058</v>
      </c>
      <c r="K634" s="4" t="s">
        <v>1370</v>
      </c>
    </row>
    <row r="635" spans="1:11" ht="15.75" customHeight="1">
      <c r="A635" s="4">
        <v>1332225</v>
      </c>
      <c r="B635" s="4" t="s">
        <v>7059</v>
      </c>
      <c r="C635" s="4" t="s">
        <v>7060</v>
      </c>
      <c r="D635" s="4" t="s">
        <v>7061</v>
      </c>
      <c r="E635" s="4" t="s">
        <v>195</v>
      </c>
      <c r="F635" s="4" t="s">
        <v>5445</v>
      </c>
      <c r="G635" s="4">
        <v>1992</v>
      </c>
      <c r="H635" s="25">
        <v>33909</v>
      </c>
      <c r="K635" s="4" t="s">
        <v>4651</v>
      </c>
    </row>
    <row r="636" spans="1:11" ht="15.75" customHeight="1">
      <c r="A636" s="4">
        <v>19490982</v>
      </c>
      <c r="B636" s="4" t="s">
        <v>7089</v>
      </c>
      <c r="C636" s="4" t="s">
        <v>7090</v>
      </c>
      <c r="D636" s="4" t="s">
        <v>7091</v>
      </c>
      <c r="E636" s="4" t="s">
        <v>1822</v>
      </c>
      <c r="F636" s="4" t="s">
        <v>5267</v>
      </c>
      <c r="G636" s="4">
        <v>2009</v>
      </c>
      <c r="H636" s="25">
        <v>39968</v>
      </c>
      <c r="K636" s="4" t="s">
        <v>1825</v>
      </c>
    </row>
    <row r="637" spans="1:11" ht="15.75" customHeight="1">
      <c r="A637" s="4">
        <v>20513090</v>
      </c>
      <c r="B637" s="4" t="s">
        <v>7098</v>
      </c>
      <c r="C637" s="4" t="s">
        <v>7099</v>
      </c>
      <c r="D637" s="4" t="s">
        <v>7100</v>
      </c>
      <c r="E637" s="4" t="s">
        <v>1693</v>
      </c>
      <c r="F637" s="4" t="s">
        <v>4923</v>
      </c>
      <c r="G637" s="4">
        <v>2010</v>
      </c>
      <c r="H637" s="25">
        <v>40330</v>
      </c>
      <c r="K637" s="4" t="s">
        <v>1696</v>
      </c>
    </row>
    <row r="638" spans="1:11" ht="15.75" customHeight="1">
      <c r="A638" s="4">
        <v>10910264</v>
      </c>
      <c r="B638" s="4" t="s">
        <v>7074</v>
      </c>
      <c r="C638" s="4" t="s">
        <v>7075</v>
      </c>
      <c r="D638" s="4" t="s">
        <v>7076</v>
      </c>
      <c r="E638" s="4" t="s">
        <v>4017</v>
      </c>
      <c r="F638" s="4" t="s">
        <v>5445</v>
      </c>
      <c r="G638" s="4">
        <v>2000</v>
      </c>
      <c r="H638" s="25">
        <v>36733</v>
      </c>
      <c r="K638" s="4" t="s">
        <v>4023</v>
      </c>
    </row>
    <row r="639" spans="1:11" ht="15.75" customHeight="1">
      <c r="A639" s="4">
        <v>25209806</v>
      </c>
      <c r="B639" s="4" t="s">
        <v>7071</v>
      </c>
      <c r="C639" s="4" t="s">
        <v>7072</v>
      </c>
      <c r="D639" s="4" t="s">
        <v>7073</v>
      </c>
      <c r="E639" s="4" t="s">
        <v>2642</v>
      </c>
      <c r="F639" s="4" t="s">
        <v>4966</v>
      </c>
      <c r="G639" s="4">
        <v>2014</v>
      </c>
      <c r="H639" s="25">
        <v>41894</v>
      </c>
      <c r="K639" s="4" t="s">
        <v>2647</v>
      </c>
    </row>
    <row r="640" spans="1:11" ht="15.75" customHeight="1">
      <c r="A640" s="4">
        <v>24604770</v>
      </c>
      <c r="B640" s="4" t="s">
        <v>7062</v>
      </c>
      <c r="C640" s="4" t="s">
        <v>7063</v>
      </c>
      <c r="D640" s="4" t="s">
        <v>7064</v>
      </c>
      <c r="E640" s="4" t="s">
        <v>3609</v>
      </c>
      <c r="F640" s="4" t="s">
        <v>4859</v>
      </c>
      <c r="G640" s="4">
        <v>2014</v>
      </c>
      <c r="H640" s="25">
        <v>41706</v>
      </c>
      <c r="K640" s="4" t="s">
        <v>3610</v>
      </c>
    </row>
    <row r="641" spans="1:11" ht="15.75" customHeight="1">
      <c r="A641" s="4">
        <v>30346638</v>
      </c>
      <c r="B641" s="4" t="s">
        <v>7065</v>
      </c>
      <c r="C641" s="4" t="s">
        <v>7066</v>
      </c>
      <c r="D641" s="4" t="s">
        <v>7067</v>
      </c>
      <c r="E641" s="4" t="s">
        <v>3523</v>
      </c>
      <c r="F641" s="4" t="s">
        <v>4974</v>
      </c>
      <c r="G641" s="4">
        <v>2019</v>
      </c>
      <c r="H641" s="25">
        <v>43396</v>
      </c>
      <c r="K641" s="4" t="s">
        <v>3524</v>
      </c>
    </row>
    <row r="642" spans="1:11" ht="15.75" customHeight="1">
      <c r="A642" s="4">
        <v>1651362</v>
      </c>
      <c r="B642" s="4" t="s">
        <v>7087</v>
      </c>
      <c r="C642" s="4" t="s">
        <v>6511</v>
      </c>
      <c r="D642" s="4" t="s">
        <v>7088</v>
      </c>
      <c r="E642" s="4" t="s">
        <v>3779</v>
      </c>
      <c r="F642" s="4" t="s">
        <v>4992</v>
      </c>
      <c r="G642" s="4">
        <v>1991</v>
      </c>
      <c r="H642" s="25">
        <v>33482</v>
      </c>
      <c r="K642" s="4" t="s">
        <v>3784</v>
      </c>
    </row>
    <row r="643" spans="1:11" ht="15.75" customHeight="1">
      <c r="A643" s="4">
        <v>35150885</v>
      </c>
      <c r="B643" s="4" t="s">
        <v>7082</v>
      </c>
      <c r="C643" s="4" t="s">
        <v>7083</v>
      </c>
      <c r="D643" s="4" t="s">
        <v>7084</v>
      </c>
      <c r="E643" s="4" t="s">
        <v>619</v>
      </c>
      <c r="F643" s="4" t="s">
        <v>4851</v>
      </c>
      <c r="G643" s="4">
        <v>2022</v>
      </c>
      <c r="H643" s="25">
        <v>44604</v>
      </c>
      <c r="I643" s="4" t="s">
        <v>7085</v>
      </c>
      <c r="J643" s="4" t="s">
        <v>7086</v>
      </c>
      <c r="K643" s="4" t="s">
        <v>2344</v>
      </c>
    </row>
    <row r="644" spans="1:11" ht="15.75" customHeight="1">
      <c r="A644" s="4">
        <v>20088693</v>
      </c>
      <c r="B644" s="4" t="s">
        <v>7077</v>
      </c>
      <c r="C644" s="4" t="s">
        <v>7078</v>
      </c>
      <c r="D644" s="4" t="s">
        <v>7079</v>
      </c>
      <c r="E644" s="4" t="s">
        <v>607</v>
      </c>
      <c r="F644" s="4" t="s">
        <v>4992</v>
      </c>
      <c r="G644" s="4">
        <v>2010</v>
      </c>
      <c r="H644" s="25">
        <v>40200</v>
      </c>
      <c r="I644" s="4" t="s">
        <v>7080</v>
      </c>
      <c r="J644" s="4" t="s">
        <v>7081</v>
      </c>
      <c r="K644" s="4" t="s">
        <v>2263</v>
      </c>
    </row>
    <row r="645" spans="1:11" ht="15.75" customHeight="1">
      <c r="A645" s="4">
        <v>19923186</v>
      </c>
      <c r="B645" s="4" t="s">
        <v>7114</v>
      </c>
      <c r="C645" s="4" t="s">
        <v>5684</v>
      </c>
      <c r="D645" s="4" t="s">
        <v>7115</v>
      </c>
      <c r="E645" s="4" t="s">
        <v>4125</v>
      </c>
      <c r="F645" s="4" t="s">
        <v>4891</v>
      </c>
      <c r="G645" s="4">
        <v>2010</v>
      </c>
      <c r="H645" s="25">
        <v>40137</v>
      </c>
      <c r="I645" s="4" t="s">
        <v>7116</v>
      </c>
      <c r="K645" s="4" t="s">
        <v>4128</v>
      </c>
    </row>
    <row r="646" spans="1:11" ht="15.75" customHeight="1">
      <c r="A646" s="4">
        <v>8152447</v>
      </c>
      <c r="B646" s="4" t="s">
        <v>7101</v>
      </c>
      <c r="C646" s="4" t="s">
        <v>7102</v>
      </c>
      <c r="D646" s="4" t="s">
        <v>7103</v>
      </c>
      <c r="E646" s="4" t="s">
        <v>112</v>
      </c>
      <c r="F646" s="4" t="s">
        <v>5377</v>
      </c>
      <c r="G646" s="4">
        <v>1994</v>
      </c>
      <c r="H646" s="25">
        <v>34466</v>
      </c>
      <c r="K646" s="4" t="s">
        <v>1924</v>
      </c>
    </row>
    <row r="647" spans="1:11" ht="15.75" customHeight="1">
      <c r="A647" s="4">
        <v>18541204</v>
      </c>
      <c r="B647" s="4" t="s">
        <v>7144</v>
      </c>
      <c r="C647" s="4" t="s">
        <v>7145</v>
      </c>
      <c r="D647" s="4" t="s">
        <v>7146</v>
      </c>
      <c r="E647" s="4" t="s">
        <v>554</v>
      </c>
      <c r="F647" s="4" t="s">
        <v>5076</v>
      </c>
      <c r="G647" s="4">
        <v>2008</v>
      </c>
      <c r="H647" s="25">
        <v>39610</v>
      </c>
      <c r="K647" s="4" t="s">
        <v>561</v>
      </c>
    </row>
    <row r="648" spans="1:11" ht="15.75" customHeight="1">
      <c r="A648" s="4">
        <v>1354806</v>
      </c>
      <c r="B648" s="4" t="s">
        <v>7095</v>
      </c>
      <c r="C648" s="4" t="s">
        <v>7096</v>
      </c>
      <c r="D648" s="4" t="s">
        <v>7097</v>
      </c>
      <c r="E648" s="4" t="s">
        <v>1230</v>
      </c>
      <c r="F648" s="4" t="s">
        <v>6147</v>
      </c>
      <c r="G648" s="4">
        <v>1992</v>
      </c>
      <c r="H648" s="25">
        <v>33838</v>
      </c>
      <c r="K648" s="4" t="s">
        <v>1231</v>
      </c>
    </row>
    <row r="649" spans="1:11" ht="15.75" customHeight="1">
      <c r="A649" s="4">
        <v>26984480</v>
      </c>
      <c r="B649" s="4" t="s">
        <v>7092</v>
      </c>
      <c r="C649" s="4" t="s">
        <v>7093</v>
      </c>
      <c r="D649" s="4" t="s">
        <v>7094</v>
      </c>
      <c r="E649" s="4" t="s">
        <v>202</v>
      </c>
      <c r="F649" s="4" t="s">
        <v>5099</v>
      </c>
      <c r="G649" s="4">
        <v>2016</v>
      </c>
      <c r="H649" s="25">
        <v>42447</v>
      </c>
      <c r="K649" s="4" t="s">
        <v>317</v>
      </c>
    </row>
    <row r="650" spans="1:11" ht="15.75" customHeight="1">
      <c r="A650" s="4">
        <v>11345532</v>
      </c>
      <c r="B650" s="4" t="s">
        <v>7126</v>
      </c>
      <c r="C650" s="4" t="s">
        <v>7127</v>
      </c>
      <c r="D650" s="4" t="s">
        <v>7128</v>
      </c>
      <c r="E650" s="4" t="s">
        <v>654</v>
      </c>
      <c r="F650" s="4" t="s">
        <v>5163</v>
      </c>
      <c r="G650" s="4">
        <v>2001</v>
      </c>
      <c r="H650" s="25">
        <v>37021</v>
      </c>
      <c r="K650" s="4" t="s">
        <v>2485</v>
      </c>
    </row>
    <row r="651" spans="1:11" ht="15.75" customHeight="1">
      <c r="A651" s="4">
        <v>27859994</v>
      </c>
      <c r="B651" s="4" t="s">
        <v>7108</v>
      </c>
      <c r="C651" s="4" t="s">
        <v>7109</v>
      </c>
      <c r="D651" s="4" t="s">
        <v>7110</v>
      </c>
      <c r="E651" s="4" t="s">
        <v>4536</v>
      </c>
      <c r="F651" s="4" t="s">
        <v>4974</v>
      </c>
      <c r="G651" s="4">
        <v>2017</v>
      </c>
      <c r="H651" s="25">
        <v>42693</v>
      </c>
      <c r="K651" s="4" t="s">
        <v>4537</v>
      </c>
    </row>
    <row r="652" spans="1:11" ht="15.75" customHeight="1">
      <c r="A652" s="4">
        <v>23535036</v>
      </c>
      <c r="B652" s="4" t="s">
        <v>7104</v>
      </c>
      <c r="C652" s="4" t="s">
        <v>7105</v>
      </c>
      <c r="D652" s="4" t="s">
        <v>7106</v>
      </c>
      <c r="E652" s="4" t="s">
        <v>3684</v>
      </c>
      <c r="F652" s="4" t="s">
        <v>7107</v>
      </c>
      <c r="G652" s="4">
        <v>2013</v>
      </c>
      <c r="H652" s="25">
        <v>41362</v>
      </c>
      <c r="K652" s="4" t="s">
        <v>3685</v>
      </c>
    </row>
    <row r="653" spans="1:11" ht="15.75" customHeight="1">
      <c r="A653" s="4">
        <v>31520510</v>
      </c>
      <c r="B653" s="4" t="s">
        <v>7111</v>
      </c>
      <c r="C653" s="4" t="s">
        <v>7112</v>
      </c>
      <c r="D653" s="4" t="s">
        <v>7113</v>
      </c>
      <c r="E653" s="4" t="s">
        <v>905</v>
      </c>
      <c r="F653" s="4" t="s">
        <v>4974</v>
      </c>
      <c r="G653" s="4">
        <v>2019</v>
      </c>
      <c r="H653" s="25">
        <v>43723</v>
      </c>
      <c r="K653" s="4" t="s">
        <v>906</v>
      </c>
    </row>
    <row r="654" spans="1:11" ht="15.75" customHeight="1">
      <c r="A654" s="4">
        <v>10910277</v>
      </c>
      <c r="B654" s="4" t="s">
        <v>7117</v>
      </c>
      <c r="C654" s="4" t="s">
        <v>7118</v>
      </c>
      <c r="D654" s="4" t="s">
        <v>7119</v>
      </c>
      <c r="E654" s="4" t="s">
        <v>2875</v>
      </c>
      <c r="F654" s="4" t="s">
        <v>5445</v>
      </c>
      <c r="G654" s="4">
        <v>2000</v>
      </c>
      <c r="H654" s="25">
        <v>36733</v>
      </c>
      <c r="K654" s="4" t="s">
        <v>2878</v>
      </c>
    </row>
    <row r="655" spans="1:11" ht="15.75" customHeight="1">
      <c r="A655" s="4">
        <v>10642816</v>
      </c>
      <c r="B655" s="4" t="s">
        <v>7120</v>
      </c>
      <c r="C655" s="4" t="s">
        <v>7121</v>
      </c>
      <c r="D655" s="4" t="s">
        <v>7122</v>
      </c>
      <c r="E655" s="4" t="s">
        <v>1325</v>
      </c>
      <c r="F655" s="4" t="s">
        <v>4863</v>
      </c>
      <c r="G655" s="4">
        <v>1999</v>
      </c>
      <c r="H655" s="25">
        <v>36547</v>
      </c>
      <c r="K655" s="4" t="s">
        <v>1326</v>
      </c>
    </row>
    <row r="656" spans="1:11" ht="15.75" customHeight="1">
      <c r="A656" s="4">
        <v>25398808</v>
      </c>
      <c r="B656" s="4" t="s">
        <v>7123</v>
      </c>
      <c r="C656" s="4" t="s">
        <v>7124</v>
      </c>
      <c r="D656" s="4" t="s">
        <v>7125</v>
      </c>
      <c r="E656" s="4" t="s">
        <v>823</v>
      </c>
      <c r="F656" s="4" t="s">
        <v>4954</v>
      </c>
      <c r="G656" s="4">
        <v>2014</v>
      </c>
      <c r="H656" s="25">
        <v>41959</v>
      </c>
    </row>
    <row r="657" spans="1:11" ht="15.75" customHeight="1">
      <c r="A657" s="4">
        <v>11168178</v>
      </c>
      <c r="B657" s="4" t="s">
        <v>7129</v>
      </c>
      <c r="C657" s="4" t="s">
        <v>7130</v>
      </c>
      <c r="D657" s="4" t="s">
        <v>7131</v>
      </c>
      <c r="E657" s="4" t="s">
        <v>4017</v>
      </c>
      <c r="F657" s="4" t="s">
        <v>4851</v>
      </c>
      <c r="G657" s="4">
        <v>2000</v>
      </c>
      <c r="H657" s="25">
        <v>36935</v>
      </c>
      <c r="K657" s="4" t="s">
        <v>4025</v>
      </c>
    </row>
    <row r="658" spans="1:11" ht="15.75" customHeight="1">
      <c r="A658" s="4">
        <v>21389320</v>
      </c>
      <c r="B658" s="4" t="s">
        <v>7196</v>
      </c>
      <c r="C658" s="4" t="s">
        <v>7197</v>
      </c>
      <c r="D658" s="4" t="s">
        <v>7198</v>
      </c>
      <c r="E658" s="4" t="s">
        <v>197</v>
      </c>
      <c r="F658" s="4" t="s">
        <v>5343</v>
      </c>
      <c r="G658" s="4">
        <v>2011</v>
      </c>
      <c r="H658" s="25">
        <v>40613</v>
      </c>
      <c r="I658" s="4" t="s">
        <v>7199</v>
      </c>
      <c r="K658" s="4" t="s">
        <v>1016</v>
      </c>
    </row>
    <row r="659" spans="1:11" ht="15.75" customHeight="1">
      <c r="A659" s="4">
        <v>35349121</v>
      </c>
      <c r="B659" s="4" t="s">
        <v>7132</v>
      </c>
      <c r="C659" s="4" t="s">
        <v>7133</v>
      </c>
      <c r="D659" s="4" t="s">
        <v>7134</v>
      </c>
      <c r="E659" s="4" t="s">
        <v>3079</v>
      </c>
      <c r="F659" s="4" t="s">
        <v>7135</v>
      </c>
      <c r="G659" s="4">
        <v>2022</v>
      </c>
      <c r="H659" s="25">
        <v>44649</v>
      </c>
      <c r="K659" s="4" t="s">
        <v>3080</v>
      </c>
    </row>
    <row r="660" spans="1:11" ht="15.75" customHeight="1">
      <c r="A660" s="4">
        <v>23938304</v>
      </c>
      <c r="B660" s="4" t="s">
        <v>7141</v>
      </c>
      <c r="C660" s="4" t="s">
        <v>7142</v>
      </c>
      <c r="D660" s="4" t="s">
        <v>7143</v>
      </c>
      <c r="E660" s="4" t="s">
        <v>4335</v>
      </c>
      <c r="F660" s="4" t="s">
        <v>4896</v>
      </c>
      <c r="G660" s="4">
        <v>2013</v>
      </c>
      <c r="H660" s="25">
        <v>41500</v>
      </c>
      <c r="K660" s="4" t="s">
        <v>4336</v>
      </c>
    </row>
    <row r="661" spans="1:11" ht="15.75" customHeight="1">
      <c r="A661" s="4">
        <v>32162382</v>
      </c>
      <c r="B661" s="4" t="s">
        <v>7136</v>
      </c>
      <c r="C661" s="4" t="s">
        <v>7137</v>
      </c>
      <c r="D661" s="4" t="s">
        <v>7138</v>
      </c>
      <c r="E661" s="4" t="s">
        <v>4264</v>
      </c>
      <c r="F661" s="4" t="s">
        <v>7139</v>
      </c>
      <c r="G661" s="4">
        <v>2020</v>
      </c>
      <c r="H661" s="25">
        <v>43903</v>
      </c>
      <c r="I661" s="4" t="s">
        <v>7140</v>
      </c>
      <c r="K661" s="4" t="s">
        <v>4266</v>
      </c>
    </row>
    <row r="662" spans="1:11" ht="15.75" customHeight="1">
      <c r="A662" s="4">
        <v>19497784</v>
      </c>
      <c r="B662" s="4" t="s">
        <v>7233</v>
      </c>
      <c r="C662" s="4" t="s">
        <v>7234</v>
      </c>
      <c r="D662" s="4" t="s">
        <v>7235</v>
      </c>
      <c r="E662" s="4" t="s">
        <v>524</v>
      </c>
      <c r="F662" s="4" t="s">
        <v>4896</v>
      </c>
      <c r="G662" s="4">
        <v>2009</v>
      </c>
      <c r="H662" s="25">
        <v>39970</v>
      </c>
      <c r="K662" s="4" t="s">
        <v>1596</v>
      </c>
    </row>
    <row r="663" spans="1:11" ht="15.75" customHeight="1">
      <c r="A663" s="4">
        <v>1963044</v>
      </c>
      <c r="B663" s="4" t="s">
        <v>7147</v>
      </c>
      <c r="C663" s="4" t="s">
        <v>7148</v>
      </c>
      <c r="D663" s="4" t="s">
        <v>7149</v>
      </c>
      <c r="E663" s="4" t="s">
        <v>2832</v>
      </c>
      <c r="F663" s="4" t="s">
        <v>6522</v>
      </c>
      <c r="G663" s="4">
        <v>1990</v>
      </c>
      <c r="H663" s="25">
        <v>32874</v>
      </c>
      <c r="K663" s="4" t="s">
        <v>2833</v>
      </c>
    </row>
    <row r="664" spans="1:11" ht="15.75" customHeight="1">
      <c r="A664" s="4">
        <v>11990308</v>
      </c>
      <c r="B664" s="4" t="s">
        <v>7190</v>
      </c>
      <c r="C664" s="4" t="s">
        <v>7191</v>
      </c>
      <c r="D664" s="4" t="s">
        <v>7192</v>
      </c>
      <c r="E664" s="4" t="s">
        <v>2319</v>
      </c>
      <c r="F664" s="4" t="s">
        <v>5757</v>
      </c>
      <c r="G664" s="4">
        <v>2002</v>
      </c>
      <c r="H664" s="25">
        <v>37383</v>
      </c>
      <c r="K664" s="4" t="s">
        <v>2320</v>
      </c>
    </row>
    <row r="665" spans="1:11" ht="15.75" customHeight="1">
      <c r="A665" s="4">
        <v>1309285</v>
      </c>
      <c r="B665" s="4" t="s">
        <v>6823</v>
      </c>
      <c r="C665" s="4" t="s">
        <v>6824</v>
      </c>
      <c r="D665" s="4" t="s">
        <v>6825</v>
      </c>
      <c r="E665" s="4" t="s">
        <v>1454</v>
      </c>
      <c r="F665" s="4" t="s">
        <v>5957</v>
      </c>
      <c r="G665" s="4">
        <v>1992</v>
      </c>
      <c r="H665" s="25">
        <v>33618</v>
      </c>
      <c r="K665" s="4" t="s">
        <v>1455</v>
      </c>
    </row>
    <row r="666" spans="1:11" ht="15.75" customHeight="1">
      <c r="A666" s="4">
        <v>26340541</v>
      </c>
      <c r="B666" s="4" t="s">
        <v>7150</v>
      </c>
      <c r="C666" s="4" t="s">
        <v>7151</v>
      </c>
      <c r="D666" s="4" t="s">
        <v>7152</v>
      </c>
      <c r="E666" s="4" t="s">
        <v>3265</v>
      </c>
      <c r="F666" s="4" t="s">
        <v>4978</v>
      </c>
      <c r="G666" s="4">
        <v>2015</v>
      </c>
      <c r="H666" s="25">
        <v>42252</v>
      </c>
      <c r="I666" s="4" t="s">
        <v>7153</v>
      </c>
      <c r="K666" s="4" t="s">
        <v>3266</v>
      </c>
    </row>
    <row r="667" spans="1:11" ht="15.75" customHeight="1">
      <c r="A667" s="4">
        <v>22352035</v>
      </c>
      <c r="B667" s="4" t="s">
        <v>7154</v>
      </c>
      <c r="C667" s="4" t="s">
        <v>7155</v>
      </c>
      <c r="D667" s="4" t="s">
        <v>7156</v>
      </c>
      <c r="E667" s="4" t="s">
        <v>3897</v>
      </c>
      <c r="F667" s="4" t="s">
        <v>7157</v>
      </c>
      <c r="G667" s="4">
        <v>2012</v>
      </c>
      <c r="H667" s="25">
        <v>40962</v>
      </c>
    </row>
    <row r="668" spans="1:11" ht="15.75" customHeight="1">
      <c r="A668" s="4">
        <v>16628576</v>
      </c>
      <c r="B668" s="4" t="s">
        <v>7161</v>
      </c>
      <c r="C668" s="4" t="s">
        <v>7162</v>
      </c>
      <c r="D668" s="4" t="s">
        <v>7163</v>
      </c>
      <c r="E668" s="4" t="s">
        <v>2821</v>
      </c>
      <c r="F668" s="4" t="s">
        <v>4923</v>
      </c>
      <c r="G668" s="4">
        <v>2006</v>
      </c>
      <c r="H668" s="25">
        <v>38829</v>
      </c>
      <c r="K668" s="4" t="s">
        <v>2822</v>
      </c>
    </row>
    <row r="669" spans="1:11" ht="15.75" customHeight="1">
      <c r="A669" s="4">
        <v>30689576</v>
      </c>
      <c r="B669" s="4" t="s">
        <v>7200</v>
      </c>
      <c r="C669" s="4" t="s">
        <v>7201</v>
      </c>
      <c r="D669" s="4" t="s">
        <v>7202</v>
      </c>
      <c r="E669" s="4" t="s">
        <v>3758</v>
      </c>
      <c r="F669" s="4" t="s">
        <v>7203</v>
      </c>
      <c r="G669" s="4">
        <v>2019</v>
      </c>
      <c r="H669" s="25">
        <v>43494</v>
      </c>
      <c r="K669" s="4" t="s">
        <v>3763</v>
      </c>
    </row>
    <row r="670" spans="1:11" ht="15.75" customHeight="1">
      <c r="A670" s="4">
        <v>15767029</v>
      </c>
      <c r="B670" s="4" t="s">
        <v>7164</v>
      </c>
      <c r="C670" s="4" t="s">
        <v>7165</v>
      </c>
      <c r="D670" s="4" t="s">
        <v>7166</v>
      </c>
      <c r="E670" s="4" t="s">
        <v>2495</v>
      </c>
      <c r="F670" s="4" t="s">
        <v>7167</v>
      </c>
      <c r="G670" s="4">
        <v>2005</v>
      </c>
      <c r="H670" s="25">
        <v>38427</v>
      </c>
      <c r="K670" s="4" t="s">
        <v>2496</v>
      </c>
    </row>
    <row r="671" spans="1:11" ht="15.75" customHeight="1">
      <c r="A671" s="4">
        <v>7913511</v>
      </c>
      <c r="B671" s="4" t="s">
        <v>7176</v>
      </c>
      <c r="C671" s="4" t="s">
        <v>7177</v>
      </c>
      <c r="D671" s="4" t="s">
        <v>7178</v>
      </c>
      <c r="E671" s="4" t="s">
        <v>2313</v>
      </c>
      <c r="F671" s="4" t="s">
        <v>4891</v>
      </c>
      <c r="G671" s="4">
        <v>1994</v>
      </c>
      <c r="H671" s="25">
        <v>34547</v>
      </c>
      <c r="I671" s="4" t="s">
        <v>7179</v>
      </c>
      <c r="K671" s="4" t="s">
        <v>2314</v>
      </c>
    </row>
    <row r="672" spans="1:11" ht="15.75" customHeight="1">
      <c r="A672" s="4">
        <v>23196622</v>
      </c>
      <c r="B672" s="4" t="s">
        <v>7180</v>
      </c>
      <c r="C672" s="4" t="s">
        <v>6689</v>
      </c>
      <c r="D672" s="4" t="s">
        <v>7181</v>
      </c>
      <c r="E672" s="4" t="s">
        <v>195</v>
      </c>
      <c r="F672" s="4" t="s">
        <v>7182</v>
      </c>
      <c r="G672" s="4">
        <v>2012</v>
      </c>
      <c r="H672" s="25">
        <v>41244</v>
      </c>
      <c r="K672" s="4" t="s">
        <v>4653</v>
      </c>
    </row>
    <row r="673" spans="1:11" ht="15.75" customHeight="1">
      <c r="A673" s="4">
        <v>34721942</v>
      </c>
      <c r="B673" s="4" t="s">
        <v>7217</v>
      </c>
      <c r="C673" s="4" t="s">
        <v>7218</v>
      </c>
      <c r="D673" s="4" t="s">
        <v>7219</v>
      </c>
      <c r="E673" s="4" t="s">
        <v>3110</v>
      </c>
      <c r="F673" s="4" t="s">
        <v>7220</v>
      </c>
      <c r="G673" s="4">
        <v>2021</v>
      </c>
      <c r="H673" s="25">
        <v>44501</v>
      </c>
      <c r="I673" s="4" t="s">
        <v>7221</v>
      </c>
      <c r="K673" s="4" t="s">
        <v>3111</v>
      </c>
    </row>
    <row r="674" spans="1:11" ht="15.75" customHeight="1">
      <c r="A674" s="4">
        <v>23347215</v>
      </c>
      <c r="B674" s="4" t="s">
        <v>7158</v>
      </c>
      <c r="C674" s="4" t="s">
        <v>7159</v>
      </c>
      <c r="D674" s="4" t="s">
        <v>7160</v>
      </c>
      <c r="E674" s="4" t="s">
        <v>3695</v>
      </c>
      <c r="F674" s="4" t="s">
        <v>5726</v>
      </c>
      <c r="G674" s="4">
        <v>2013</v>
      </c>
      <c r="H674" s="25">
        <v>41300</v>
      </c>
      <c r="K674" s="4" t="s">
        <v>3696</v>
      </c>
    </row>
    <row r="675" spans="1:11" ht="15.75" customHeight="1">
      <c r="A675" s="4">
        <v>26681781</v>
      </c>
      <c r="B675" s="4" t="s">
        <v>7168</v>
      </c>
      <c r="C675" s="4" t="s">
        <v>7169</v>
      </c>
      <c r="D675" s="4" t="s">
        <v>7170</v>
      </c>
      <c r="E675" s="4" t="s">
        <v>4088</v>
      </c>
      <c r="F675" s="4" t="s">
        <v>5663</v>
      </c>
      <c r="G675" s="4">
        <v>2016</v>
      </c>
      <c r="H675" s="25">
        <v>42357</v>
      </c>
      <c r="I675" s="4" t="s">
        <v>7171</v>
      </c>
      <c r="J675" s="4" t="s">
        <v>7172</v>
      </c>
      <c r="K675" s="4" t="s">
        <v>4089</v>
      </c>
    </row>
    <row r="676" spans="1:11" ht="15.75" customHeight="1">
      <c r="A676" s="4">
        <v>10194079</v>
      </c>
      <c r="B676" s="4" t="s">
        <v>7173</v>
      </c>
      <c r="C676" s="4" t="s">
        <v>7174</v>
      </c>
      <c r="D676" s="4" t="s">
        <v>7175</v>
      </c>
      <c r="E676" s="4" t="s">
        <v>175</v>
      </c>
      <c r="F676" s="4" t="s">
        <v>5080</v>
      </c>
      <c r="G676" s="4">
        <v>1999</v>
      </c>
      <c r="H676" s="25">
        <v>36258</v>
      </c>
      <c r="K676" s="4" t="s">
        <v>951</v>
      </c>
    </row>
    <row r="677" spans="1:11" ht="15.75" customHeight="1">
      <c r="A677" s="4">
        <v>1325026</v>
      </c>
      <c r="B677" s="4" t="s">
        <v>7183</v>
      </c>
      <c r="C677" s="4" t="s">
        <v>7184</v>
      </c>
      <c r="D677" s="4" t="s">
        <v>7185</v>
      </c>
      <c r="E677" s="4" t="s">
        <v>4115</v>
      </c>
      <c r="F677" s="4" t="s">
        <v>5163</v>
      </c>
      <c r="G677" s="4">
        <v>1992</v>
      </c>
      <c r="H677" s="25">
        <v>33604</v>
      </c>
      <c r="K677" s="4" t="s">
        <v>4117</v>
      </c>
    </row>
    <row r="678" spans="1:11" ht="15.75" customHeight="1">
      <c r="A678" s="4">
        <v>26542463</v>
      </c>
      <c r="B678" s="4" t="s">
        <v>7193</v>
      </c>
      <c r="C678" s="4" t="s">
        <v>7194</v>
      </c>
      <c r="D678" s="4" t="s">
        <v>7195</v>
      </c>
      <c r="E678" s="4" t="s">
        <v>1967</v>
      </c>
      <c r="F678" s="4" t="s">
        <v>5267</v>
      </c>
      <c r="G678" s="4">
        <v>2016</v>
      </c>
      <c r="H678" s="25">
        <v>42315</v>
      </c>
      <c r="K678" s="4" t="s">
        <v>1970</v>
      </c>
    </row>
    <row r="679" spans="1:11" ht="15.75" customHeight="1">
      <c r="A679" s="4">
        <v>34370861</v>
      </c>
      <c r="B679" s="4" t="s">
        <v>7186</v>
      </c>
      <c r="C679" s="4" t="s">
        <v>7187</v>
      </c>
      <c r="D679" s="4" t="s">
        <v>7188</v>
      </c>
      <c r="E679" s="4" t="s">
        <v>245</v>
      </c>
      <c r="F679" s="4" t="s">
        <v>4992</v>
      </c>
      <c r="G679" s="4">
        <v>2022</v>
      </c>
      <c r="H679" s="25">
        <v>44417</v>
      </c>
      <c r="I679" s="4" t="s">
        <v>7189</v>
      </c>
      <c r="K679" s="4" t="s">
        <v>2909</v>
      </c>
    </row>
    <row r="680" spans="1:11" ht="15.75" customHeight="1">
      <c r="A680" s="4">
        <v>29150836</v>
      </c>
      <c r="B680" s="4" t="s">
        <v>7204</v>
      </c>
      <c r="C680" s="4" t="s">
        <v>7205</v>
      </c>
      <c r="D680" s="4" t="s">
        <v>7206</v>
      </c>
      <c r="E680" s="4" t="s">
        <v>3331</v>
      </c>
      <c r="F680" s="4" t="s">
        <v>7207</v>
      </c>
      <c r="G680" s="4">
        <v>2018</v>
      </c>
      <c r="H680" s="25">
        <v>43058</v>
      </c>
      <c r="K680" s="4" t="s">
        <v>3332</v>
      </c>
    </row>
    <row r="681" spans="1:11" ht="15.75" customHeight="1">
      <c r="A681" s="4">
        <v>24407957</v>
      </c>
      <c r="B681" s="4" t="s">
        <v>7255</v>
      </c>
      <c r="C681" s="4" t="s">
        <v>7256</v>
      </c>
      <c r="D681" s="4" t="s">
        <v>7257</v>
      </c>
      <c r="E681" s="4" t="s">
        <v>269</v>
      </c>
      <c r="F681" s="4" t="s">
        <v>7258</v>
      </c>
      <c r="G681" s="4">
        <v>2015</v>
      </c>
      <c r="H681" s="25">
        <v>41650</v>
      </c>
      <c r="K681" s="4" t="s">
        <v>400</v>
      </c>
    </row>
    <row r="682" spans="1:11" ht="15.75" customHeight="1">
      <c r="A682" s="4">
        <v>24057213</v>
      </c>
      <c r="B682" s="4" t="s">
        <v>7208</v>
      </c>
      <c r="C682" s="4" t="s">
        <v>7209</v>
      </c>
      <c r="D682" s="4" t="s">
        <v>7210</v>
      </c>
      <c r="E682" s="4" t="s">
        <v>2434</v>
      </c>
      <c r="F682" s="4" t="s">
        <v>7211</v>
      </c>
      <c r="G682" s="4">
        <v>2014</v>
      </c>
      <c r="H682" s="25">
        <v>41541</v>
      </c>
      <c r="I682" s="4" t="s">
        <v>7212</v>
      </c>
      <c r="K682" s="4" t="s">
        <v>2435</v>
      </c>
    </row>
    <row r="683" spans="1:11" ht="15.75" customHeight="1">
      <c r="A683" s="4">
        <v>16615507</v>
      </c>
      <c r="B683" s="4" t="s">
        <v>7226</v>
      </c>
      <c r="C683" s="4" t="s">
        <v>7227</v>
      </c>
      <c r="D683" s="4" t="s">
        <v>7228</v>
      </c>
      <c r="E683" s="4" t="s">
        <v>4579</v>
      </c>
      <c r="F683" s="4" t="s">
        <v>5031</v>
      </c>
      <c r="G683" s="4">
        <v>2006</v>
      </c>
      <c r="H683" s="25">
        <v>38825</v>
      </c>
    </row>
    <row r="684" spans="1:11" ht="15.75" customHeight="1">
      <c r="A684" s="4">
        <v>9594451</v>
      </c>
      <c r="B684" s="4" t="s">
        <v>7239</v>
      </c>
      <c r="C684" s="4" t="s">
        <v>7240</v>
      </c>
      <c r="D684" s="4" t="s">
        <v>7241</v>
      </c>
      <c r="E684" s="4" t="s">
        <v>4123</v>
      </c>
      <c r="F684" s="4" t="s">
        <v>4927</v>
      </c>
      <c r="G684" s="4">
        <v>1998</v>
      </c>
      <c r="H684" s="25">
        <v>35937</v>
      </c>
    </row>
    <row r="685" spans="1:11" ht="15.75" customHeight="1">
      <c r="A685" s="4">
        <v>1964694</v>
      </c>
      <c r="B685" s="4" t="s">
        <v>7222</v>
      </c>
      <c r="C685" s="4" t="s">
        <v>7223</v>
      </c>
      <c r="D685" s="4" t="s">
        <v>7224</v>
      </c>
      <c r="E685" s="4" t="s">
        <v>1454</v>
      </c>
      <c r="F685" s="4" t="s">
        <v>7225</v>
      </c>
      <c r="G685" s="4">
        <v>1990</v>
      </c>
      <c r="H685" s="25">
        <v>33178</v>
      </c>
      <c r="K685" s="4" t="s">
        <v>1457</v>
      </c>
    </row>
    <row r="686" spans="1:11" ht="15.75" customHeight="1">
      <c r="A686" s="4">
        <v>15223915</v>
      </c>
      <c r="B686" s="4" t="s">
        <v>7236</v>
      </c>
      <c r="C686" s="4" t="s">
        <v>7237</v>
      </c>
      <c r="D686" s="4" t="s">
        <v>7238</v>
      </c>
      <c r="E686" s="4" t="s">
        <v>2145</v>
      </c>
      <c r="F686" s="4" t="s">
        <v>5445</v>
      </c>
      <c r="G686" s="4">
        <v>2004</v>
      </c>
      <c r="H686" s="25">
        <v>38168</v>
      </c>
      <c r="K686" s="4" t="s">
        <v>2146</v>
      </c>
    </row>
    <row r="687" spans="1:11" ht="15.75" customHeight="1">
      <c r="A687" s="4">
        <v>26599878</v>
      </c>
      <c r="B687" s="4" t="s">
        <v>7213</v>
      </c>
      <c r="C687" s="4" t="s">
        <v>7214</v>
      </c>
      <c r="D687" s="4" t="s">
        <v>7215</v>
      </c>
      <c r="E687" s="4" t="s">
        <v>1293</v>
      </c>
      <c r="F687" s="4" t="s">
        <v>4978</v>
      </c>
      <c r="G687" s="4">
        <v>2015</v>
      </c>
      <c r="H687" s="25">
        <v>42333</v>
      </c>
      <c r="I687" s="4" t="s">
        <v>7216</v>
      </c>
      <c r="K687" s="4" t="s">
        <v>1296</v>
      </c>
    </row>
    <row r="688" spans="1:11" ht="15.75" customHeight="1">
      <c r="A688" s="4">
        <v>20534278</v>
      </c>
      <c r="B688" s="4" t="s">
        <v>7269</v>
      </c>
      <c r="C688" s="4" t="s">
        <v>7270</v>
      </c>
      <c r="D688" s="4" t="s">
        <v>7271</v>
      </c>
      <c r="E688" s="4" t="s">
        <v>545</v>
      </c>
      <c r="F688" s="4" t="s">
        <v>5696</v>
      </c>
      <c r="G688" s="4">
        <v>2010</v>
      </c>
      <c r="H688" s="25">
        <v>40340</v>
      </c>
      <c r="K688" s="4" t="s">
        <v>1717</v>
      </c>
    </row>
    <row r="689" spans="1:11" ht="15.75" customHeight="1">
      <c r="A689" s="4">
        <v>16758753</v>
      </c>
      <c r="B689" s="4" t="s">
        <v>7339</v>
      </c>
      <c r="C689" s="4" t="s">
        <v>7340</v>
      </c>
      <c r="D689" s="4" t="s">
        <v>7341</v>
      </c>
      <c r="E689" s="4" t="s">
        <v>1832</v>
      </c>
      <c r="F689" s="4" t="s">
        <v>6968</v>
      </c>
      <c r="G689" s="4">
        <v>2006</v>
      </c>
      <c r="H689" s="25">
        <v>38877</v>
      </c>
    </row>
    <row r="690" spans="1:11" ht="15.75" customHeight="1">
      <c r="A690" s="4">
        <v>23573902</v>
      </c>
      <c r="B690" s="4" t="s">
        <v>7278</v>
      </c>
      <c r="C690" s="4" t="s">
        <v>7279</v>
      </c>
      <c r="D690" s="4" t="s">
        <v>7280</v>
      </c>
      <c r="E690" s="4" t="s">
        <v>2322</v>
      </c>
      <c r="F690" s="4" t="s">
        <v>7281</v>
      </c>
      <c r="G690" s="4">
        <v>2013</v>
      </c>
      <c r="H690" s="25">
        <v>41376</v>
      </c>
      <c r="K690" s="4" t="s">
        <v>2323</v>
      </c>
    </row>
    <row r="691" spans="1:11" ht="15.75" customHeight="1">
      <c r="A691" s="4">
        <v>9524848</v>
      </c>
      <c r="B691" s="4" t="s">
        <v>7259</v>
      </c>
      <c r="C691" s="4" t="s">
        <v>7260</v>
      </c>
      <c r="D691" s="4" t="s">
        <v>7261</v>
      </c>
      <c r="E691" s="4" t="s">
        <v>2875</v>
      </c>
      <c r="F691" s="4" t="s">
        <v>5080</v>
      </c>
      <c r="G691" s="4">
        <v>1998</v>
      </c>
      <c r="H691" s="25">
        <v>35888</v>
      </c>
      <c r="K691" s="4" t="s">
        <v>2880</v>
      </c>
    </row>
    <row r="692" spans="1:11" ht="15.75" customHeight="1">
      <c r="A692" s="4">
        <v>26137657</v>
      </c>
      <c r="B692" s="4" t="s">
        <v>7245</v>
      </c>
      <c r="C692" s="4" t="s">
        <v>7246</v>
      </c>
      <c r="D692" s="4" t="s">
        <v>7247</v>
      </c>
      <c r="E692" s="4" t="s">
        <v>884</v>
      </c>
      <c r="F692" s="4" t="s">
        <v>7248</v>
      </c>
      <c r="G692" s="4">
        <v>2015</v>
      </c>
      <c r="H692" s="25">
        <v>42189</v>
      </c>
    </row>
    <row r="693" spans="1:11" ht="15.75" customHeight="1">
      <c r="A693" s="4">
        <v>18297709</v>
      </c>
      <c r="B693" s="4" t="s">
        <v>7252</v>
      </c>
      <c r="C693" s="4" t="s">
        <v>7253</v>
      </c>
      <c r="D693" s="4" t="s">
        <v>7254</v>
      </c>
      <c r="E693" s="4" t="s">
        <v>3961</v>
      </c>
      <c r="F693" s="4" t="s">
        <v>4923</v>
      </c>
      <c r="G693" s="4">
        <v>2008</v>
      </c>
      <c r="H693" s="25">
        <v>39504</v>
      </c>
      <c r="K693" s="4" t="s">
        <v>3962</v>
      </c>
    </row>
    <row r="694" spans="1:11" ht="15.75" customHeight="1">
      <c r="A694" s="4">
        <v>14870894</v>
      </c>
      <c r="B694" s="4" t="s">
        <v>7242</v>
      </c>
      <c r="C694" s="4" t="s">
        <v>7243</v>
      </c>
      <c r="D694" s="4" t="s">
        <v>7244</v>
      </c>
      <c r="E694" s="4" t="s">
        <v>2241</v>
      </c>
      <c r="F694" s="4" t="s">
        <v>5543</v>
      </c>
      <c r="G694" s="4">
        <v>2003</v>
      </c>
      <c r="H694" s="25">
        <v>38029</v>
      </c>
      <c r="K694" s="4" t="s">
        <v>2242</v>
      </c>
    </row>
    <row r="695" spans="1:11" ht="15.75" customHeight="1">
      <c r="A695" s="4">
        <v>26329541</v>
      </c>
      <c r="B695" s="4" t="s">
        <v>7249</v>
      </c>
      <c r="C695" s="4" t="s">
        <v>7250</v>
      </c>
      <c r="D695" s="4" t="s">
        <v>7251</v>
      </c>
      <c r="E695" s="4" t="s">
        <v>173</v>
      </c>
      <c r="F695" s="4" t="s">
        <v>5543</v>
      </c>
      <c r="G695" s="4">
        <v>2015</v>
      </c>
      <c r="H695" s="25">
        <v>42250</v>
      </c>
      <c r="K695" s="4" t="s">
        <v>421</v>
      </c>
    </row>
    <row r="696" spans="1:11" ht="15.75" customHeight="1">
      <c r="A696" s="4">
        <v>26921738</v>
      </c>
      <c r="B696" s="4" t="s">
        <v>6888</v>
      </c>
      <c r="C696" s="4" t="s">
        <v>6889</v>
      </c>
      <c r="D696" s="4" t="s">
        <v>6890</v>
      </c>
      <c r="E696" s="4" t="s">
        <v>221</v>
      </c>
      <c r="F696" s="4" t="s">
        <v>4896</v>
      </c>
      <c r="G696" s="4">
        <v>2016</v>
      </c>
      <c r="H696" s="25">
        <v>42428</v>
      </c>
      <c r="I696" s="4" t="s">
        <v>6891</v>
      </c>
      <c r="J696" s="4" t="s">
        <v>6892</v>
      </c>
      <c r="K696" s="4" t="s">
        <v>630</v>
      </c>
    </row>
    <row r="697" spans="1:11" ht="15.75" customHeight="1">
      <c r="A697" s="4">
        <v>11241800</v>
      </c>
      <c r="B697" s="4" t="s">
        <v>7262</v>
      </c>
      <c r="C697" s="4" t="s">
        <v>7263</v>
      </c>
      <c r="D697" s="4" t="s">
        <v>7264</v>
      </c>
      <c r="E697" s="4" t="s">
        <v>1879</v>
      </c>
      <c r="F697" s="4" t="s">
        <v>4859</v>
      </c>
      <c r="G697" s="4">
        <v>2001</v>
      </c>
      <c r="H697" s="25">
        <v>36960</v>
      </c>
      <c r="K697" s="4" t="s">
        <v>1888</v>
      </c>
    </row>
    <row r="698" spans="1:11" ht="15.75" customHeight="1">
      <c r="A698" s="4">
        <v>2172295</v>
      </c>
      <c r="B698" s="4" t="s">
        <v>7282</v>
      </c>
      <c r="C698" s="4" t="s">
        <v>7283</v>
      </c>
      <c r="D698" s="4" t="s">
        <v>7284</v>
      </c>
      <c r="E698" s="4" t="s">
        <v>4545</v>
      </c>
      <c r="F698" s="4" t="s">
        <v>5331</v>
      </c>
      <c r="G698" s="4">
        <v>1990</v>
      </c>
      <c r="H698" s="25">
        <v>33117</v>
      </c>
      <c r="I698" s="4" t="s">
        <v>7285</v>
      </c>
      <c r="K698" s="4" t="s">
        <v>4546</v>
      </c>
    </row>
    <row r="699" spans="1:11" ht="15.75" customHeight="1">
      <c r="A699" s="4">
        <v>32604892</v>
      </c>
      <c r="B699" s="4" t="s">
        <v>7265</v>
      </c>
      <c r="C699" s="4" t="s">
        <v>7266</v>
      </c>
      <c r="D699" s="4" t="s">
        <v>7267</v>
      </c>
      <c r="E699" s="4" t="s">
        <v>4130</v>
      </c>
      <c r="F699" s="4" t="s">
        <v>4842</v>
      </c>
      <c r="G699" s="4">
        <v>2020</v>
      </c>
      <c r="H699" s="25">
        <v>44014</v>
      </c>
      <c r="I699" s="4" t="s">
        <v>7268</v>
      </c>
      <c r="K699" s="4" t="s">
        <v>4131</v>
      </c>
    </row>
    <row r="700" spans="1:11" ht="15.75" customHeight="1">
      <c r="A700" s="4">
        <v>22415068</v>
      </c>
      <c r="B700" s="4" t="s">
        <v>7272</v>
      </c>
      <c r="C700" s="4" t="s">
        <v>7273</v>
      </c>
      <c r="D700" s="4" t="s">
        <v>7274</v>
      </c>
      <c r="E700" s="4" t="s">
        <v>1187</v>
      </c>
      <c r="F700" s="4" t="s">
        <v>5319</v>
      </c>
      <c r="G700" s="4">
        <v>2012</v>
      </c>
      <c r="H700" s="25">
        <v>40983</v>
      </c>
      <c r="K700" s="4" t="s">
        <v>1188</v>
      </c>
    </row>
    <row r="701" spans="1:11" ht="15.75" customHeight="1">
      <c r="A701" s="4">
        <v>17519796</v>
      </c>
      <c r="B701" s="4" t="s">
        <v>7275</v>
      </c>
      <c r="C701" s="4" t="s">
        <v>7276</v>
      </c>
      <c r="D701" s="4" t="s">
        <v>7277</v>
      </c>
      <c r="E701" s="4" t="s">
        <v>845</v>
      </c>
      <c r="F701" s="4" t="s">
        <v>5445</v>
      </c>
      <c r="G701" s="4">
        <v>2007</v>
      </c>
      <c r="H701" s="25">
        <v>39226</v>
      </c>
      <c r="K701" s="4" t="s">
        <v>3744</v>
      </c>
    </row>
    <row r="702" spans="1:11" ht="15.75" customHeight="1">
      <c r="A702" s="4">
        <v>9820639</v>
      </c>
      <c r="B702" s="4" t="s">
        <v>7286</v>
      </c>
      <c r="C702" s="4" t="s">
        <v>7287</v>
      </c>
      <c r="D702" s="4" t="s">
        <v>7288</v>
      </c>
      <c r="E702" s="4" t="s">
        <v>4310</v>
      </c>
      <c r="F702" s="4" t="s">
        <v>5437</v>
      </c>
      <c r="G702" s="4">
        <v>1998</v>
      </c>
      <c r="H702" s="25">
        <v>36119</v>
      </c>
      <c r="K702" s="4" t="s">
        <v>4311</v>
      </c>
    </row>
    <row r="703" spans="1:11" ht="15.75" customHeight="1">
      <c r="A703" s="4">
        <v>29390152</v>
      </c>
      <c r="B703" s="4" t="s">
        <v>6955</v>
      </c>
      <c r="C703" s="4" t="s">
        <v>6956</v>
      </c>
      <c r="D703" s="4" t="s">
        <v>6957</v>
      </c>
      <c r="E703" s="4" t="s">
        <v>4151</v>
      </c>
      <c r="F703" s="4" t="s">
        <v>6958</v>
      </c>
      <c r="G703" s="4">
        <v>2018</v>
      </c>
      <c r="H703" s="25">
        <v>43133</v>
      </c>
      <c r="K703" s="4" t="s">
        <v>4152</v>
      </c>
    </row>
    <row r="704" spans="1:11" ht="15.75" customHeight="1">
      <c r="A704" s="4">
        <v>21525341</v>
      </c>
      <c r="B704" s="4" t="s">
        <v>7297</v>
      </c>
      <c r="C704" s="4" t="s">
        <v>7298</v>
      </c>
      <c r="D704" s="4" t="s">
        <v>7299</v>
      </c>
      <c r="E704" s="4" t="s">
        <v>2944</v>
      </c>
      <c r="F704" s="4" t="s">
        <v>4891</v>
      </c>
      <c r="G704" s="4">
        <v>2011</v>
      </c>
      <c r="H704" s="25">
        <v>40662</v>
      </c>
      <c r="I704" s="4" t="s">
        <v>7300</v>
      </c>
      <c r="K704" s="4" t="s">
        <v>2947</v>
      </c>
    </row>
    <row r="705" spans="1:11" ht="15.75" customHeight="1">
      <c r="A705" s="4">
        <v>9260752</v>
      </c>
      <c r="B705" s="4" t="s">
        <v>7289</v>
      </c>
      <c r="C705" s="4" t="s">
        <v>7290</v>
      </c>
      <c r="D705" s="4" t="s">
        <v>7291</v>
      </c>
      <c r="E705" s="4" t="s">
        <v>3560</v>
      </c>
      <c r="F705" s="4" t="s">
        <v>7017</v>
      </c>
      <c r="G705" s="4">
        <v>1997</v>
      </c>
      <c r="H705" s="25">
        <v>35643</v>
      </c>
      <c r="K705" s="4" t="s">
        <v>3561</v>
      </c>
    </row>
    <row r="706" spans="1:11" ht="15.75" customHeight="1">
      <c r="A706" s="4">
        <v>20345999</v>
      </c>
      <c r="B706" s="4" t="s">
        <v>7342</v>
      </c>
      <c r="C706" s="4" t="s">
        <v>7343</v>
      </c>
      <c r="D706" s="4" t="s">
        <v>7344</v>
      </c>
      <c r="E706" s="4" t="s">
        <v>3402</v>
      </c>
      <c r="F706" s="4" t="s">
        <v>7345</v>
      </c>
      <c r="G706" s="4">
        <v>2010</v>
      </c>
      <c r="H706" s="25">
        <v>40267</v>
      </c>
      <c r="K706" s="4" t="s">
        <v>3405</v>
      </c>
    </row>
    <row r="707" spans="1:11" ht="15.75" customHeight="1">
      <c r="A707" s="4">
        <v>24548875</v>
      </c>
      <c r="B707" s="4" t="s">
        <v>7292</v>
      </c>
      <c r="C707" s="4" t="s">
        <v>7293</v>
      </c>
      <c r="D707" s="4" t="s">
        <v>7294</v>
      </c>
      <c r="E707" s="4" t="s">
        <v>189</v>
      </c>
      <c r="F707" s="4" t="s">
        <v>5076</v>
      </c>
      <c r="G707" s="4">
        <v>2014</v>
      </c>
      <c r="H707" s="25">
        <v>41690</v>
      </c>
      <c r="I707" s="4" t="s">
        <v>7295</v>
      </c>
      <c r="J707" s="4" t="s">
        <v>7296</v>
      </c>
      <c r="K707" s="4" t="s">
        <v>397</v>
      </c>
    </row>
    <row r="708" spans="1:11" ht="15.75" customHeight="1">
      <c r="A708" s="4">
        <v>12399238</v>
      </c>
      <c r="B708" s="4" t="s">
        <v>7309</v>
      </c>
      <c r="C708" s="4" t="s">
        <v>7310</v>
      </c>
      <c r="D708" s="4" t="s">
        <v>7311</v>
      </c>
      <c r="E708" s="4" t="s">
        <v>3917</v>
      </c>
      <c r="F708" s="4" t="s">
        <v>7312</v>
      </c>
      <c r="G708" s="4">
        <v>2002</v>
      </c>
      <c r="H708" s="25">
        <v>37555</v>
      </c>
      <c r="K708" s="4" t="s">
        <v>3918</v>
      </c>
    </row>
    <row r="709" spans="1:11" ht="15.75" customHeight="1">
      <c r="A709" s="4">
        <v>12239310</v>
      </c>
      <c r="B709" s="4" t="s">
        <v>7301</v>
      </c>
      <c r="C709" s="4" t="s">
        <v>7302</v>
      </c>
      <c r="D709" s="4" t="s">
        <v>7303</v>
      </c>
      <c r="E709" s="4" t="s">
        <v>2594</v>
      </c>
      <c r="F709" s="4" t="s">
        <v>4891</v>
      </c>
      <c r="G709" s="4">
        <v>2002</v>
      </c>
      <c r="H709" s="25">
        <v>37519</v>
      </c>
      <c r="I709" s="4" t="s">
        <v>7304</v>
      </c>
      <c r="K709" s="4" t="s">
        <v>2595</v>
      </c>
    </row>
    <row r="710" spans="1:11" ht="15.75" customHeight="1">
      <c r="A710" s="4">
        <v>8151768</v>
      </c>
      <c r="B710" s="4" t="s">
        <v>7305</v>
      </c>
      <c r="C710" s="4" t="s">
        <v>7306</v>
      </c>
      <c r="D710" s="4" t="s">
        <v>7307</v>
      </c>
      <c r="E710" s="4" t="s">
        <v>3908</v>
      </c>
      <c r="F710" s="4" t="s">
        <v>4891</v>
      </c>
      <c r="G710" s="4">
        <v>1994</v>
      </c>
      <c r="H710" s="25">
        <v>34455</v>
      </c>
      <c r="I710" s="4" t="s">
        <v>7308</v>
      </c>
      <c r="K710" s="4" t="s">
        <v>3909</v>
      </c>
    </row>
    <row r="711" spans="1:11" ht="15.75" customHeight="1">
      <c r="A711" s="4">
        <v>9266465</v>
      </c>
      <c r="B711" s="4" t="s">
        <v>7379</v>
      </c>
      <c r="C711" s="4" t="s">
        <v>7380</v>
      </c>
      <c r="D711" s="4" t="s">
        <v>7381</v>
      </c>
      <c r="E711" s="4" t="s">
        <v>3185</v>
      </c>
      <c r="F711" s="4" t="s">
        <v>7382</v>
      </c>
      <c r="G711" s="4">
        <v>1997</v>
      </c>
      <c r="H711" s="25">
        <v>35612</v>
      </c>
      <c r="K711" s="4" t="s">
        <v>3186</v>
      </c>
    </row>
    <row r="712" spans="1:11" ht="15.75" customHeight="1">
      <c r="A712" s="4">
        <v>32324868</v>
      </c>
      <c r="B712" s="4" t="s">
        <v>7323</v>
      </c>
      <c r="C712" s="4" t="s">
        <v>7324</v>
      </c>
      <c r="D712" s="4" t="s">
        <v>7325</v>
      </c>
      <c r="E712" s="4" t="s">
        <v>249</v>
      </c>
      <c r="F712" s="4" t="s">
        <v>5343</v>
      </c>
      <c r="G712" s="4">
        <v>2020</v>
      </c>
      <c r="H712" s="25">
        <v>43945</v>
      </c>
      <c r="K712" s="4" t="s">
        <v>2987</v>
      </c>
    </row>
    <row r="713" spans="1:11" ht="15.75" customHeight="1">
      <c r="A713" s="4">
        <v>9781644</v>
      </c>
      <c r="B713" s="4" t="s">
        <v>7313</v>
      </c>
      <c r="C713" s="4" t="s">
        <v>7314</v>
      </c>
      <c r="D713" s="4" t="s">
        <v>7315</v>
      </c>
      <c r="E713" s="4" t="s">
        <v>2388</v>
      </c>
      <c r="F713" s="4" t="s">
        <v>7316</v>
      </c>
      <c r="G713" s="4">
        <v>1998</v>
      </c>
      <c r="H713" s="25">
        <v>36090</v>
      </c>
      <c r="K713" s="4" t="s">
        <v>2390</v>
      </c>
    </row>
    <row r="714" spans="1:11" ht="15.75" customHeight="1">
      <c r="A714" s="4">
        <v>16401906</v>
      </c>
      <c r="B714" s="4" t="s">
        <v>7326</v>
      </c>
      <c r="C714" s="4" t="s">
        <v>7327</v>
      </c>
      <c r="D714" s="4" t="s">
        <v>7328</v>
      </c>
      <c r="E714" s="4" t="s">
        <v>4368</v>
      </c>
      <c r="F714" s="4" t="s">
        <v>5878</v>
      </c>
      <c r="G714" s="4">
        <v>2005</v>
      </c>
      <c r="H714" s="25">
        <v>38730</v>
      </c>
      <c r="K714" s="4" t="s">
        <v>4369</v>
      </c>
    </row>
    <row r="715" spans="1:11" ht="15.75" customHeight="1">
      <c r="A715" s="4">
        <v>19856546</v>
      </c>
      <c r="B715" s="4" t="s">
        <v>7317</v>
      </c>
      <c r="C715" s="4" t="s">
        <v>7318</v>
      </c>
      <c r="D715" s="4" t="s">
        <v>7319</v>
      </c>
      <c r="E715" s="4" t="s">
        <v>4296</v>
      </c>
      <c r="F715" s="4" t="s">
        <v>5449</v>
      </c>
      <c r="G715" s="4">
        <v>2008</v>
      </c>
      <c r="H715" s="25">
        <v>40114</v>
      </c>
    </row>
    <row r="716" spans="1:11" ht="15.75" customHeight="1">
      <c r="A716" s="4">
        <v>32516328</v>
      </c>
      <c r="B716" s="4" t="s">
        <v>7361</v>
      </c>
      <c r="C716" s="4" t="s">
        <v>7362</v>
      </c>
      <c r="D716" s="4" t="s">
        <v>7363</v>
      </c>
      <c r="E716" s="4" t="s">
        <v>4497</v>
      </c>
      <c r="F716" s="4" t="s">
        <v>5059</v>
      </c>
      <c r="G716" s="4">
        <v>2020</v>
      </c>
      <c r="H716" s="25">
        <v>43992</v>
      </c>
      <c r="I716" s="4" t="s">
        <v>7364</v>
      </c>
      <c r="K716" s="4" t="s">
        <v>4498</v>
      </c>
    </row>
    <row r="717" spans="1:11" ht="15.75" customHeight="1">
      <c r="A717" s="4">
        <v>12116027</v>
      </c>
      <c r="B717" s="4" t="s">
        <v>7383</v>
      </c>
      <c r="C717" s="4" t="s">
        <v>7384</v>
      </c>
      <c r="D717" s="4" t="s">
        <v>7385</v>
      </c>
      <c r="E717" s="4" t="s">
        <v>3441</v>
      </c>
      <c r="F717" s="4" t="s">
        <v>4923</v>
      </c>
      <c r="G717" s="4">
        <v>2002</v>
      </c>
      <c r="H717" s="25">
        <v>37450</v>
      </c>
      <c r="K717" s="4" t="s">
        <v>3444</v>
      </c>
    </row>
    <row r="718" spans="1:11" ht="15.75" customHeight="1">
      <c r="A718" s="4">
        <v>1963049</v>
      </c>
      <c r="B718" s="4" t="s">
        <v>7333</v>
      </c>
      <c r="C718" s="4" t="s">
        <v>7334</v>
      </c>
      <c r="D718" s="4" t="s">
        <v>7335</v>
      </c>
      <c r="E718" s="4" t="s">
        <v>3555</v>
      </c>
      <c r="F718" s="4" t="s">
        <v>6522</v>
      </c>
      <c r="G718" s="4">
        <v>1990</v>
      </c>
      <c r="H718" s="25">
        <v>32874</v>
      </c>
      <c r="K718" s="4" t="s">
        <v>3558</v>
      </c>
    </row>
    <row r="719" spans="1:11" ht="15.75" customHeight="1">
      <c r="A719" s="4">
        <v>17222758</v>
      </c>
      <c r="B719" s="4" t="s">
        <v>7401</v>
      </c>
      <c r="C719" s="4" t="s">
        <v>7402</v>
      </c>
      <c r="D719" s="4" t="s">
        <v>7403</v>
      </c>
      <c r="E719" s="4" t="s">
        <v>985</v>
      </c>
      <c r="F719" s="4" t="s">
        <v>5076</v>
      </c>
      <c r="G719" s="4">
        <v>2007</v>
      </c>
      <c r="H719" s="25">
        <v>39098</v>
      </c>
      <c r="K719" s="4" t="s">
        <v>986</v>
      </c>
    </row>
    <row r="720" spans="1:11" ht="15.75" customHeight="1">
      <c r="A720" s="4">
        <v>24740222</v>
      </c>
      <c r="B720" s="4" t="s">
        <v>7329</v>
      </c>
      <c r="C720" s="4" t="s">
        <v>7330</v>
      </c>
      <c r="D720" s="4" t="s">
        <v>7331</v>
      </c>
      <c r="E720" s="4" t="s">
        <v>3826</v>
      </c>
      <c r="F720" s="4" t="s">
        <v>7332</v>
      </c>
      <c r="G720" s="4">
        <v>2014</v>
      </c>
      <c r="H720" s="25">
        <v>41747</v>
      </c>
      <c r="K720" s="4" t="s">
        <v>3827</v>
      </c>
    </row>
    <row r="721" spans="1:11" ht="15.75" customHeight="1">
      <c r="A721" s="4">
        <v>1313531</v>
      </c>
      <c r="B721" s="4" t="s">
        <v>7357</v>
      </c>
      <c r="C721" s="4" t="s">
        <v>7358</v>
      </c>
      <c r="D721" s="4" t="s">
        <v>7359</v>
      </c>
      <c r="E721" s="4" t="s">
        <v>1570</v>
      </c>
      <c r="F721" s="4" t="s">
        <v>7360</v>
      </c>
      <c r="G721" s="4">
        <v>1992</v>
      </c>
      <c r="H721" s="25">
        <v>33604</v>
      </c>
    </row>
    <row r="722" spans="1:11" ht="15.75" customHeight="1">
      <c r="A722" s="4">
        <v>25915811</v>
      </c>
      <c r="B722" s="4" t="s">
        <v>7320</v>
      </c>
      <c r="C722" s="4" t="s">
        <v>7321</v>
      </c>
      <c r="D722" s="4" t="s">
        <v>7322</v>
      </c>
      <c r="E722" s="4" t="s">
        <v>151</v>
      </c>
      <c r="F722" s="4" t="s">
        <v>4863</v>
      </c>
      <c r="G722" s="4">
        <v>2015</v>
      </c>
      <c r="H722" s="25">
        <v>42122</v>
      </c>
      <c r="K722" s="4" t="s">
        <v>3426</v>
      </c>
    </row>
    <row r="723" spans="1:11" ht="15.75" customHeight="1">
      <c r="A723" s="4">
        <v>1348547</v>
      </c>
      <c r="B723" s="4" t="s">
        <v>7336</v>
      </c>
      <c r="C723" s="4" t="s">
        <v>5498</v>
      </c>
      <c r="D723" s="4" t="s">
        <v>7337</v>
      </c>
      <c r="E723" s="4" t="s">
        <v>4514</v>
      </c>
      <c r="F723" s="4" t="s">
        <v>4891</v>
      </c>
      <c r="G723" s="4">
        <v>1992</v>
      </c>
      <c r="H723" s="25">
        <v>33725</v>
      </c>
      <c r="I723" s="4" t="s">
        <v>7338</v>
      </c>
      <c r="K723" s="4" t="s">
        <v>4517</v>
      </c>
    </row>
    <row r="724" spans="1:11" ht="15.75" customHeight="1">
      <c r="A724" s="4">
        <v>9632282</v>
      </c>
      <c r="B724" s="4" t="s">
        <v>7417</v>
      </c>
      <c r="C724" s="4" t="s">
        <v>7418</v>
      </c>
      <c r="D724" s="4" t="s">
        <v>7419</v>
      </c>
      <c r="E724" s="4" t="s">
        <v>2872</v>
      </c>
      <c r="F724" s="4" t="s">
        <v>4863</v>
      </c>
      <c r="G724" s="4">
        <v>1998</v>
      </c>
      <c r="H724" s="25">
        <v>35965</v>
      </c>
      <c r="K724" s="4" t="s">
        <v>2873</v>
      </c>
    </row>
    <row r="725" spans="1:11" ht="15.75" customHeight="1">
      <c r="A725" s="4">
        <v>26474793</v>
      </c>
      <c r="B725" s="4" t="s">
        <v>7349</v>
      </c>
      <c r="C725" s="4" t="s">
        <v>7350</v>
      </c>
      <c r="D725" s="4" t="s">
        <v>7351</v>
      </c>
      <c r="E725" s="4" t="s">
        <v>1748</v>
      </c>
      <c r="F725" s="4" t="s">
        <v>7352</v>
      </c>
      <c r="G725" s="4">
        <v>2015</v>
      </c>
      <c r="H725" s="25">
        <v>42295</v>
      </c>
      <c r="K725" s="4" t="s">
        <v>1749</v>
      </c>
    </row>
    <row r="726" spans="1:11" ht="15.75" customHeight="1">
      <c r="A726" s="4">
        <v>28783148</v>
      </c>
      <c r="B726" s="4" t="s">
        <v>7346</v>
      </c>
      <c r="C726" s="4" t="s">
        <v>7347</v>
      </c>
      <c r="D726" s="4" t="s">
        <v>7348</v>
      </c>
      <c r="E726" s="4" t="s">
        <v>151</v>
      </c>
      <c r="F726" s="4" t="s">
        <v>4863</v>
      </c>
      <c r="G726" s="4">
        <v>2017</v>
      </c>
      <c r="H726" s="25">
        <v>42955</v>
      </c>
      <c r="K726" s="4" t="s">
        <v>799</v>
      </c>
    </row>
    <row r="727" spans="1:11" ht="15.75" customHeight="1">
      <c r="A727" s="4">
        <v>10698157</v>
      </c>
      <c r="B727" s="4" t="s">
        <v>7368</v>
      </c>
      <c r="C727" s="4" t="s">
        <v>7369</v>
      </c>
      <c r="D727" s="4" t="s">
        <v>7370</v>
      </c>
      <c r="E727" s="4" t="s">
        <v>2779</v>
      </c>
      <c r="F727" s="4" t="s">
        <v>7371</v>
      </c>
      <c r="G727" s="4">
        <v>2000</v>
      </c>
      <c r="H727" s="25">
        <v>36589</v>
      </c>
      <c r="K727" s="4" t="s">
        <v>2780</v>
      </c>
    </row>
    <row r="728" spans="1:11" ht="15.75" customHeight="1">
      <c r="A728" s="4">
        <v>1652618</v>
      </c>
      <c r="B728" s="4" t="s">
        <v>7407</v>
      </c>
      <c r="C728" s="4" t="s">
        <v>7408</v>
      </c>
      <c r="D728" s="4" t="s">
        <v>7409</v>
      </c>
      <c r="E728" s="4" t="s">
        <v>4139</v>
      </c>
      <c r="F728" s="4" t="s">
        <v>4923</v>
      </c>
      <c r="G728" s="4">
        <v>1991</v>
      </c>
      <c r="H728" s="25">
        <v>33298</v>
      </c>
      <c r="K728" s="4" t="s">
        <v>4140</v>
      </c>
    </row>
    <row r="729" spans="1:11" ht="15.75" customHeight="1">
      <c r="A729" s="4">
        <v>8283170</v>
      </c>
      <c r="B729" s="4" t="s">
        <v>7365</v>
      </c>
      <c r="C729" s="4" t="s">
        <v>7366</v>
      </c>
      <c r="D729" s="4" t="s">
        <v>7367</v>
      </c>
      <c r="E729" s="4" t="s">
        <v>3618</v>
      </c>
      <c r="F729" s="4" t="s">
        <v>4923</v>
      </c>
      <c r="G729" s="4">
        <v>1993</v>
      </c>
      <c r="H729" s="25">
        <v>34243</v>
      </c>
      <c r="K729" s="4" t="s">
        <v>3619</v>
      </c>
    </row>
    <row r="730" spans="1:11" ht="15.75" customHeight="1">
      <c r="A730" s="4">
        <v>17299707</v>
      </c>
      <c r="B730" s="4" t="s">
        <v>7372</v>
      </c>
      <c r="C730" s="4" t="s">
        <v>7373</v>
      </c>
      <c r="D730" s="4" t="s">
        <v>7374</v>
      </c>
      <c r="E730" s="4" t="s">
        <v>3435</v>
      </c>
      <c r="F730" s="4" t="s">
        <v>4992</v>
      </c>
      <c r="G730" s="4">
        <v>2007</v>
      </c>
      <c r="H730" s="25">
        <v>39128</v>
      </c>
      <c r="K730" s="4" t="s">
        <v>3436</v>
      </c>
    </row>
    <row r="731" spans="1:11" ht="15.75" customHeight="1">
      <c r="A731" s="4">
        <v>8059523</v>
      </c>
      <c r="B731" s="4" t="s">
        <v>7386</v>
      </c>
      <c r="C731" s="4" t="s">
        <v>7387</v>
      </c>
      <c r="D731" s="4" t="s">
        <v>7388</v>
      </c>
      <c r="E731" s="4" t="s">
        <v>4091</v>
      </c>
      <c r="F731" s="4" t="s">
        <v>7389</v>
      </c>
      <c r="G731" s="4">
        <v>1993</v>
      </c>
      <c r="H731" s="25">
        <v>34029</v>
      </c>
    </row>
    <row r="732" spans="1:11" ht="15.75" customHeight="1">
      <c r="A732" s="4">
        <v>9207138</v>
      </c>
      <c r="B732" s="4" t="s">
        <v>7375</v>
      </c>
      <c r="C732" s="4" t="s">
        <v>7376</v>
      </c>
      <c r="D732" s="4" t="s">
        <v>7377</v>
      </c>
      <c r="E732" s="4" t="s">
        <v>2671</v>
      </c>
      <c r="F732" s="4" t="s">
        <v>5783</v>
      </c>
      <c r="G732" s="4">
        <v>1997</v>
      </c>
      <c r="H732" s="25">
        <v>35619</v>
      </c>
      <c r="I732" s="4" t="s">
        <v>7378</v>
      </c>
      <c r="K732" s="4" t="s">
        <v>2674</v>
      </c>
    </row>
    <row r="733" spans="1:11" ht="15.75" customHeight="1">
      <c r="A733" s="4">
        <v>16474928</v>
      </c>
      <c r="B733" s="4" t="s">
        <v>7397</v>
      </c>
      <c r="C733" s="4" t="s">
        <v>7398</v>
      </c>
      <c r="D733" s="4" t="s">
        <v>7399</v>
      </c>
      <c r="E733" s="4" t="s">
        <v>2545</v>
      </c>
      <c r="F733" s="4" t="s">
        <v>5186</v>
      </c>
      <c r="G733" s="4">
        <v>2006</v>
      </c>
      <c r="H733" s="25">
        <v>38762</v>
      </c>
      <c r="I733" s="4" t="s">
        <v>7400</v>
      </c>
      <c r="K733" s="4" t="s">
        <v>2548</v>
      </c>
    </row>
    <row r="734" spans="1:11" ht="15.75" customHeight="1">
      <c r="A734" s="4">
        <v>18691755</v>
      </c>
      <c r="B734" s="4" t="s">
        <v>7404</v>
      </c>
      <c r="C734" s="4" t="s">
        <v>7405</v>
      </c>
      <c r="D734" s="4" t="s">
        <v>7406</v>
      </c>
      <c r="E734" s="4" t="s">
        <v>4213</v>
      </c>
      <c r="F734" s="4" t="s">
        <v>5844</v>
      </c>
      <c r="G734" s="4">
        <v>2009</v>
      </c>
      <c r="H734" s="25">
        <v>39672</v>
      </c>
      <c r="K734" s="4" t="s">
        <v>4214</v>
      </c>
    </row>
    <row r="735" spans="1:11" ht="15.75" customHeight="1">
      <c r="A735" s="4">
        <v>28092892</v>
      </c>
      <c r="B735" s="4" t="s">
        <v>7390</v>
      </c>
      <c r="C735" s="4" t="s">
        <v>7391</v>
      </c>
      <c r="D735" s="4" t="s">
        <v>7392</v>
      </c>
      <c r="E735" s="4" t="s">
        <v>3432</v>
      </c>
      <c r="F735" s="4" t="s">
        <v>5343</v>
      </c>
      <c r="G735" s="4">
        <v>2016</v>
      </c>
      <c r="H735" s="25">
        <v>42752</v>
      </c>
      <c r="K735" s="4" t="s">
        <v>3433</v>
      </c>
    </row>
    <row r="736" spans="1:11" ht="15.75" customHeight="1">
      <c r="A736" s="4">
        <v>23852888</v>
      </c>
      <c r="B736" s="4" t="s">
        <v>7538</v>
      </c>
      <c r="C736" s="4" t="s">
        <v>7539</v>
      </c>
      <c r="D736" s="4" t="s">
        <v>7540</v>
      </c>
      <c r="E736" s="4" t="s">
        <v>1245</v>
      </c>
      <c r="F736" s="4" t="s">
        <v>4923</v>
      </c>
      <c r="G736" s="4">
        <v>2013</v>
      </c>
      <c r="H736" s="25">
        <v>41471</v>
      </c>
      <c r="K736" s="4" t="s">
        <v>1246</v>
      </c>
    </row>
    <row r="737" spans="1:11" ht="15.75" customHeight="1">
      <c r="A737" s="4">
        <v>8710068</v>
      </c>
      <c r="B737" s="4" t="s">
        <v>7410</v>
      </c>
      <c r="C737" s="4" t="s">
        <v>7411</v>
      </c>
      <c r="D737" s="4" t="s">
        <v>7412</v>
      </c>
      <c r="E737" s="4" t="s">
        <v>513</v>
      </c>
      <c r="F737" s="4" t="s">
        <v>7413</v>
      </c>
      <c r="G737" s="4">
        <v>1996</v>
      </c>
      <c r="H737" s="25">
        <v>35247</v>
      </c>
      <c r="K737" s="4" t="s">
        <v>1526</v>
      </c>
    </row>
    <row r="738" spans="1:11" ht="15.75" customHeight="1">
      <c r="A738" s="4">
        <v>8227605</v>
      </c>
      <c r="B738" s="4" t="s">
        <v>7414</v>
      </c>
      <c r="C738" s="4" t="s">
        <v>7415</v>
      </c>
      <c r="D738" s="4" t="s">
        <v>7416</v>
      </c>
      <c r="E738" s="4" t="s">
        <v>1428</v>
      </c>
      <c r="F738" s="4" t="s">
        <v>6939</v>
      </c>
      <c r="G738" s="4">
        <v>1993</v>
      </c>
      <c r="H738" s="25">
        <v>34182</v>
      </c>
      <c r="K738" s="4" t="s">
        <v>1429</v>
      </c>
    </row>
    <row r="739" spans="1:11" ht="15.75" customHeight="1">
      <c r="A739" s="4">
        <v>18166808</v>
      </c>
      <c r="B739" s="4" t="s">
        <v>7429</v>
      </c>
      <c r="C739" s="4" t="s">
        <v>7430</v>
      </c>
      <c r="D739" s="4" t="s">
        <v>7431</v>
      </c>
      <c r="E739" s="4" t="s">
        <v>1606</v>
      </c>
      <c r="F739" s="4" t="s">
        <v>6289</v>
      </c>
      <c r="G739" s="4">
        <v>2008</v>
      </c>
      <c r="H739" s="25">
        <v>39449</v>
      </c>
      <c r="K739" s="4" t="s">
        <v>1607</v>
      </c>
    </row>
    <row r="740" spans="1:11" ht="15.75" customHeight="1">
      <c r="A740" s="4">
        <v>9469397</v>
      </c>
      <c r="B740" s="4" t="s">
        <v>7426</v>
      </c>
      <c r="C740" s="4" t="s">
        <v>7427</v>
      </c>
      <c r="D740" s="4" t="s">
        <v>7428</v>
      </c>
      <c r="E740" s="4" t="s">
        <v>2713</v>
      </c>
      <c r="F740" s="4" t="s">
        <v>5982</v>
      </c>
      <c r="G740" s="4">
        <v>1998</v>
      </c>
      <c r="H740" s="25">
        <v>35846</v>
      </c>
      <c r="K740" s="4" t="s">
        <v>2714</v>
      </c>
    </row>
    <row r="741" spans="1:11" ht="15.75" customHeight="1">
      <c r="A741" s="4">
        <v>22245897</v>
      </c>
      <c r="B741" s="4" t="s">
        <v>7503</v>
      </c>
      <c r="C741" s="4" t="s">
        <v>7504</v>
      </c>
      <c r="D741" s="4" t="s">
        <v>7505</v>
      </c>
      <c r="E741" s="4" t="s">
        <v>3615</v>
      </c>
      <c r="F741" s="4" t="s">
        <v>7312</v>
      </c>
      <c r="G741" s="4">
        <v>2012</v>
      </c>
      <c r="H741" s="25">
        <v>40925</v>
      </c>
      <c r="K741" s="4" t="s">
        <v>3616</v>
      </c>
    </row>
    <row r="742" spans="1:11" ht="15.75" customHeight="1">
      <c r="A742" s="4">
        <v>31567413</v>
      </c>
      <c r="B742" s="4" t="s">
        <v>7432</v>
      </c>
      <c r="C742" s="4" t="s">
        <v>7433</v>
      </c>
      <c r="D742" s="4" t="s">
        <v>7434</v>
      </c>
      <c r="E742" s="4" t="s">
        <v>221</v>
      </c>
      <c r="F742" s="4" t="s">
        <v>5035</v>
      </c>
      <c r="G742" s="4">
        <v>2019</v>
      </c>
      <c r="H742" s="25">
        <v>43739</v>
      </c>
      <c r="I742" s="4" t="s">
        <v>7435</v>
      </c>
      <c r="J742" s="4" t="s">
        <v>7436</v>
      </c>
      <c r="K742" s="4" t="s">
        <v>2369</v>
      </c>
    </row>
    <row r="743" spans="1:11" ht="15.75" customHeight="1">
      <c r="A743" s="4">
        <v>15904975</v>
      </c>
      <c r="B743" s="4" t="s">
        <v>7470</v>
      </c>
      <c r="C743" s="4" t="s">
        <v>7471</v>
      </c>
      <c r="D743" s="4" t="s">
        <v>7472</v>
      </c>
      <c r="E743" s="4" t="s">
        <v>3170</v>
      </c>
      <c r="F743" s="4" t="s">
        <v>7473</v>
      </c>
      <c r="G743" s="4">
        <v>2005</v>
      </c>
      <c r="H743" s="25">
        <v>38493</v>
      </c>
      <c r="K743" s="4" t="s">
        <v>3171</v>
      </c>
    </row>
    <row r="744" spans="1:11" ht="15.75" customHeight="1">
      <c r="A744" s="4">
        <v>1378586</v>
      </c>
      <c r="B744" s="4" t="s">
        <v>7474</v>
      </c>
      <c r="C744" s="4" t="s">
        <v>7475</v>
      </c>
      <c r="D744" s="4" t="s">
        <v>7476</v>
      </c>
      <c r="E744" s="4" t="s">
        <v>4159</v>
      </c>
      <c r="F744" s="4" t="s">
        <v>5982</v>
      </c>
      <c r="G744" s="4">
        <v>1992</v>
      </c>
      <c r="H744" s="25">
        <v>33725</v>
      </c>
      <c r="K744" s="4" t="s">
        <v>4160</v>
      </c>
    </row>
    <row r="745" spans="1:11" ht="15.75" customHeight="1">
      <c r="A745" s="4">
        <v>10800159</v>
      </c>
      <c r="B745" s="4" t="s">
        <v>7423</v>
      </c>
      <c r="C745" s="4" t="s">
        <v>7424</v>
      </c>
      <c r="D745" s="4" t="s">
        <v>7425</v>
      </c>
      <c r="E745" s="4" t="s">
        <v>252</v>
      </c>
      <c r="F745" s="4" t="s">
        <v>6289</v>
      </c>
      <c r="G745" s="4">
        <v>2000</v>
      </c>
      <c r="H745" s="25">
        <v>36655</v>
      </c>
    </row>
    <row r="746" spans="1:11" ht="15.75" customHeight="1">
      <c r="A746" s="4">
        <v>29618688</v>
      </c>
      <c r="B746" s="4" t="s">
        <v>7481</v>
      </c>
      <c r="C746" s="4" t="s">
        <v>7482</v>
      </c>
      <c r="D746" s="4" t="s">
        <v>7483</v>
      </c>
      <c r="E746" s="4" t="s">
        <v>3845</v>
      </c>
      <c r="F746" s="4" t="s">
        <v>5047</v>
      </c>
      <c r="G746" s="4">
        <v>2018</v>
      </c>
      <c r="H746" s="25">
        <v>43196</v>
      </c>
      <c r="K746" s="4" t="s">
        <v>3846</v>
      </c>
    </row>
    <row r="747" spans="1:11" ht="15.75" customHeight="1">
      <c r="A747" s="4">
        <v>24335704</v>
      </c>
      <c r="B747" s="4" t="s">
        <v>7456</v>
      </c>
      <c r="C747" s="4" t="s">
        <v>7457</v>
      </c>
      <c r="D747" s="4" t="s">
        <v>7458</v>
      </c>
      <c r="E747" s="4" t="s">
        <v>3970</v>
      </c>
      <c r="F747" s="4" t="s">
        <v>5783</v>
      </c>
      <c r="G747" s="4">
        <v>2014</v>
      </c>
      <c r="H747" s="25">
        <v>41625</v>
      </c>
      <c r="I747" s="4" t="s">
        <v>7459</v>
      </c>
      <c r="K747" s="4" t="s">
        <v>3971</v>
      </c>
    </row>
    <row r="748" spans="1:11" ht="15.75" customHeight="1">
      <c r="A748" s="4">
        <v>31745253</v>
      </c>
      <c r="B748" s="4" t="s">
        <v>7437</v>
      </c>
      <c r="C748" s="4" t="s">
        <v>7438</v>
      </c>
      <c r="D748" s="4" t="s">
        <v>7439</v>
      </c>
      <c r="E748" s="4" t="s">
        <v>151</v>
      </c>
      <c r="F748" s="4" t="s">
        <v>4863</v>
      </c>
      <c r="G748" s="4">
        <v>2020</v>
      </c>
      <c r="H748" s="25">
        <v>43790</v>
      </c>
      <c r="K748" s="4" t="s">
        <v>3428</v>
      </c>
    </row>
    <row r="749" spans="1:11" ht="15.75" customHeight="1">
      <c r="A749" s="4">
        <v>10633848</v>
      </c>
      <c r="B749" s="4" t="s">
        <v>7449</v>
      </c>
      <c r="C749" s="4" t="s">
        <v>7450</v>
      </c>
      <c r="D749" s="4" t="s">
        <v>7451</v>
      </c>
      <c r="E749" s="4" t="s">
        <v>3546</v>
      </c>
      <c r="F749" s="4" t="s">
        <v>7452</v>
      </c>
      <c r="G749" s="4">
        <v>1999</v>
      </c>
      <c r="H749" s="25">
        <v>36539</v>
      </c>
      <c r="K749" s="4" t="s">
        <v>3547</v>
      </c>
    </row>
    <row r="750" spans="1:11" ht="15.75" customHeight="1">
      <c r="A750" s="4">
        <v>15078943</v>
      </c>
      <c r="B750" s="4" t="s">
        <v>7440</v>
      </c>
      <c r="C750" s="4" t="s">
        <v>7441</v>
      </c>
      <c r="D750" s="4" t="s">
        <v>7442</v>
      </c>
      <c r="E750" s="4" t="s">
        <v>757</v>
      </c>
      <c r="F750" s="4" t="s">
        <v>4891</v>
      </c>
      <c r="G750" s="4">
        <v>2004</v>
      </c>
      <c r="H750" s="25">
        <v>38091</v>
      </c>
      <c r="I750" s="4" t="s">
        <v>7443</v>
      </c>
      <c r="K750" s="4" t="s">
        <v>3280</v>
      </c>
    </row>
    <row r="751" spans="1:11" ht="15.75" customHeight="1">
      <c r="A751" s="4">
        <v>25066883</v>
      </c>
      <c r="B751" s="4" t="s">
        <v>7444</v>
      </c>
      <c r="C751" s="4" t="s">
        <v>7445</v>
      </c>
      <c r="D751" s="4" t="s">
        <v>7446</v>
      </c>
      <c r="E751" s="4" t="s">
        <v>221</v>
      </c>
      <c r="F751" s="4" t="s">
        <v>4896</v>
      </c>
      <c r="G751" s="4">
        <v>2014</v>
      </c>
      <c r="H751" s="25">
        <v>41849</v>
      </c>
      <c r="I751" s="4" t="s">
        <v>7447</v>
      </c>
      <c r="J751" s="4" t="s">
        <v>7448</v>
      </c>
      <c r="K751" s="4" t="s">
        <v>632</v>
      </c>
    </row>
    <row r="752" spans="1:11" ht="15.75" customHeight="1">
      <c r="A752" s="4">
        <v>33207265</v>
      </c>
      <c r="B752" s="4" t="s">
        <v>7460</v>
      </c>
      <c r="C752" s="4" t="s">
        <v>7461</v>
      </c>
      <c r="D752" s="4" t="s">
        <v>7462</v>
      </c>
      <c r="E752" s="4" t="s">
        <v>3795</v>
      </c>
      <c r="F752" s="4" t="s">
        <v>5122</v>
      </c>
      <c r="G752" s="4">
        <v>2021</v>
      </c>
      <c r="H752" s="25">
        <v>44153</v>
      </c>
      <c r="K752" s="4" t="s">
        <v>3800</v>
      </c>
    </row>
    <row r="753" spans="1:11" ht="15.75" customHeight="1">
      <c r="A753" s="4">
        <v>9033979</v>
      </c>
      <c r="B753" s="4" t="s">
        <v>7463</v>
      </c>
      <c r="C753" s="4" t="s">
        <v>7464</v>
      </c>
      <c r="D753" s="4" t="s">
        <v>7465</v>
      </c>
      <c r="E753" s="4" t="s">
        <v>2226</v>
      </c>
      <c r="F753" s="4" t="s">
        <v>7466</v>
      </c>
      <c r="G753" s="4">
        <v>1996</v>
      </c>
      <c r="H753" s="25">
        <v>35065</v>
      </c>
    </row>
    <row r="754" spans="1:11" ht="15.75" customHeight="1">
      <c r="A754" s="4">
        <v>29156094</v>
      </c>
      <c r="B754" s="4" t="s">
        <v>7467</v>
      </c>
      <c r="C754" s="4" t="s">
        <v>7468</v>
      </c>
      <c r="D754" s="4" t="s">
        <v>7469</v>
      </c>
      <c r="E754" s="4" t="s">
        <v>842</v>
      </c>
      <c r="F754" s="4" t="s">
        <v>4974</v>
      </c>
      <c r="G754" s="4">
        <v>2018</v>
      </c>
      <c r="H754" s="25">
        <v>43060</v>
      </c>
      <c r="K754" s="4" t="s">
        <v>3679</v>
      </c>
    </row>
    <row r="755" spans="1:11" ht="15.75" customHeight="1">
      <c r="A755" s="4">
        <v>12704592</v>
      </c>
      <c r="B755" s="4" t="s">
        <v>7477</v>
      </c>
      <c r="C755" s="4" t="s">
        <v>7478</v>
      </c>
      <c r="D755" s="4" t="s">
        <v>7479</v>
      </c>
      <c r="E755" s="4" t="s">
        <v>1664</v>
      </c>
      <c r="F755" s="4" t="s">
        <v>7480</v>
      </c>
      <c r="G755" s="4">
        <v>2003</v>
      </c>
      <c r="H755" s="25">
        <v>37733</v>
      </c>
      <c r="K755" s="4" t="s">
        <v>1676</v>
      </c>
    </row>
    <row r="756" spans="1:11" ht="15.75" customHeight="1">
      <c r="A756" s="4">
        <v>11055083</v>
      </c>
      <c r="B756" s="4" t="s">
        <v>7516</v>
      </c>
      <c r="D756" s="4" t="s">
        <v>7517</v>
      </c>
      <c r="F756" s="4" t="s">
        <v>7518</v>
      </c>
      <c r="G756" s="4">
        <v>2000</v>
      </c>
      <c r="H756" s="25">
        <v>36830</v>
      </c>
    </row>
    <row r="757" spans="1:11" ht="15.75" customHeight="1">
      <c r="A757" s="4">
        <v>33491073</v>
      </c>
      <c r="B757" s="4" t="s">
        <v>7484</v>
      </c>
      <c r="C757" s="4" t="s">
        <v>7485</v>
      </c>
      <c r="D757" s="4" t="s">
        <v>7486</v>
      </c>
      <c r="E757" s="4" t="s">
        <v>3321</v>
      </c>
      <c r="F757" s="4" t="s">
        <v>7487</v>
      </c>
      <c r="G757" s="4">
        <v>2021</v>
      </c>
      <c r="H757" s="25">
        <v>44221</v>
      </c>
      <c r="I757" s="4" t="s">
        <v>7488</v>
      </c>
      <c r="K757" s="4" t="s">
        <v>3322</v>
      </c>
    </row>
    <row r="758" spans="1:11" ht="15.75" customHeight="1">
      <c r="A758" s="4">
        <v>11920307</v>
      </c>
      <c r="B758" s="4" t="s">
        <v>7497</v>
      </c>
      <c r="C758" s="4" t="s">
        <v>7498</v>
      </c>
      <c r="D758" s="4" t="s">
        <v>7499</v>
      </c>
      <c r="E758" s="4" t="s">
        <v>195</v>
      </c>
      <c r="F758" s="4" t="s">
        <v>4992</v>
      </c>
      <c r="G758" s="4">
        <v>2002</v>
      </c>
      <c r="H758" s="25">
        <v>37344</v>
      </c>
      <c r="K758" s="4" t="s">
        <v>434</v>
      </c>
    </row>
    <row r="759" spans="1:11" ht="15.75" customHeight="1">
      <c r="A759" s="4">
        <v>1656131</v>
      </c>
      <c r="B759" s="4" t="s">
        <v>7489</v>
      </c>
      <c r="C759" s="4" t="s">
        <v>7490</v>
      </c>
      <c r="D759" s="4" t="s">
        <v>7491</v>
      </c>
      <c r="E759" s="4" t="s">
        <v>4480</v>
      </c>
      <c r="F759" s="4" t="s">
        <v>7492</v>
      </c>
      <c r="G759" s="4">
        <v>1991</v>
      </c>
      <c r="H759" s="25">
        <v>33390</v>
      </c>
    </row>
    <row r="760" spans="1:11" ht="15.75" customHeight="1">
      <c r="A760" s="4">
        <v>17432230</v>
      </c>
      <c r="B760" s="4" t="s">
        <v>7500</v>
      </c>
      <c r="C760" s="4" t="s">
        <v>7501</v>
      </c>
      <c r="D760" s="4" t="s">
        <v>7502</v>
      </c>
      <c r="E760" s="4" t="s">
        <v>2110</v>
      </c>
      <c r="F760" s="4" t="s">
        <v>7182</v>
      </c>
      <c r="G760" s="4">
        <v>2006</v>
      </c>
      <c r="H760" s="25">
        <v>39189</v>
      </c>
    </row>
    <row r="761" spans="1:11" ht="15.75" customHeight="1">
      <c r="A761" s="4">
        <v>9770176</v>
      </c>
      <c r="B761" s="4" t="s">
        <v>7506</v>
      </c>
      <c r="C761" s="4" t="s">
        <v>7507</v>
      </c>
      <c r="D761" s="4" t="s">
        <v>7508</v>
      </c>
      <c r="E761" s="4" t="s">
        <v>1687</v>
      </c>
      <c r="F761" s="4" t="s">
        <v>5080</v>
      </c>
      <c r="G761" s="4">
        <v>1998</v>
      </c>
      <c r="H761" s="25">
        <v>36082</v>
      </c>
      <c r="K761" s="4" t="s">
        <v>1688</v>
      </c>
    </row>
    <row r="762" spans="1:11" ht="15.75" customHeight="1">
      <c r="A762" s="4">
        <v>31378873</v>
      </c>
      <c r="B762" s="4" t="s">
        <v>7512</v>
      </c>
      <c r="C762" s="4" t="s">
        <v>7513</v>
      </c>
      <c r="D762" s="4" t="s">
        <v>7514</v>
      </c>
      <c r="E762" s="4" t="s">
        <v>1101</v>
      </c>
      <c r="F762" s="4" t="s">
        <v>7515</v>
      </c>
      <c r="G762" s="4">
        <v>2019</v>
      </c>
      <c r="H762" s="25">
        <v>43683</v>
      </c>
      <c r="K762" s="4" t="s">
        <v>1102</v>
      </c>
    </row>
    <row r="763" spans="1:11" ht="15.75" customHeight="1">
      <c r="A763" s="4">
        <v>26465970</v>
      </c>
      <c r="B763" s="4" t="s">
        <v>7509</v>
      </c>
      <c r="C763" s="4" t="s">
        <v>7510</v>
      </c>
      <c r="D763" s="4" t="s">
        <v>7511</v>
      </c>
      <c r="E763" s="4" t="s">
        <v>1419</v>
      </c>
      <c r="F763" s="4" t="s">
        <v>4896</v>
      </c>
      <c r="G763" s="4">
        <v>2015</v>
      </c>
      <c r="H763" s="25">
        <v>42292</v>
      </c>
      <c r="K763" s="4" t="s">
        <v>1420</v>
      </c>
    </row>
    <row r="764" spans="1:11" ht="15.75" customHeight="1">
      <c r="A764" s="4">
        <v>11785448</v>
      </c>
      <c r="B764" s="4" t="s">
        <v>7519</v>
      </c>
      <c r="C764" s="4" t="s">
        <v>7520</v>
      </c>
      <c r="D764" s="4" t="s">
        <v>7521</v>
      </c>
      <c r="E764" s="4" t="s">
        <v>578</v>
      </c>
      <c r="F764" s="4" t="s">
        <v>7522</v>
      </c>
      <c r="G764" s="4">
        <v>2001</v>
      </c>
      <c r="H764" s="25">
        <v>37268</v>
      </c>
    </row>
    <row r="765" spans="1:11" ht="15.75" customHeight="1">
      <c r="A765" s="4">
        <v>28783452</v>
      </c>
      <c r="B765" s="4" t="s">
        <v>7523</v>
      </c>
      <c r="C765" s="4" t="s">
        <v>7524</v>
      </c>
      <c r="D765" s="4" t="s">
        <v>7525</v>
      </c>
      <c r="E765" s="4" t="s">
        <v>933</v>
      </c>
      <c r="F765" s="4" t="s">
        <v>4935</v>
      </c>
      <c r="G765" s="4">
        <v>2017</v>
      </c>
      <c r="H765" s="25">
        <v>42955</v>
      </c>
      <c r="I765" s="4" t="s">
        <v>7526</v>
      </c>
      <c r="K765" s="4" t="s">
        <v>934</v>
      </c>
    </row>
    <row r="766" spans="1:11" ht="15.75" customHeight="1">
      <c r="A766" s="4">
        <v>11192519</v>
      </c>
      <c r="B766" s="4" t="s">
        <v>7610</v>
      </c>
      <c r="C766" s="4" t="s">
        <v>7611</v>
      </c>
      <c r="D766" s="4" t="s">
        <v>7612</v>
      </c>
      <c r="E766" s="4" t="s">
        <v>2694</v>
      </c>
      <c r="F766" s="4" t="s">
        <v>7613</v>
      </c>
      <c r="G766" s="4">
        <v>2000</v>
      </c>
      <c r="H766" s="25">
        <v>36946</v>
      </c>
      <c r="K766" s="4" t="s">
        <v>2695</v>
      </c>
    </row>
    <row r="767" spans="1:11" ht="15.75" customHeight="1">
      <c r="A767" s="4">
        <v>1657514</v>
      </c>
      <c r="B767" s="4" t="s">
        <v>7527</v>
      </c>
      <c r="C767" s="4" t="s">
        <v>7528</v>
      </c>
      <c r="D767" s="4" t="s">
        <v>7529</v>
      </c>
      <c r="E767" s="4" t="s">
        <v>3116</v>
      </c>
      <c r="F767" s="4" t="s">
        <v>7530</v>
      </c>
      <c r="G767" s="4">
        <v>1991</v>
      </c>
      <c r="H767" s="25">
        <v>33239</v>
      </c>
      <c r="K767" s="4" t="s">
        <v>3117</v>
      </c>
    </row>
    <row r="768" spans="1:11" ht="15.75" customHeight="1">
      <c r="A768" s="4">
        <v>26482270</v>
      </c>
      <c r="B768" s="4" t="s">
        <v>7607</v>
      </c>
      <c r="C768" s="4" t="s">
        <v>7608</v>
      </c>
      <c r="D768" s="4" t="s">
        <v>7609</v>
      </c>
      <c r="E768" s="4" t="s">
        <v>4101</v>
      </c>
      <c r="F768" s="4" t="s">
        <v>4851</v>
      </c>
      <c r="G768" s="4">
        <v>2016</v>
      </c>
      <c r="H768" s="25">
        <v>42298</v>
      </c>
      <c r="K768" s="4" t="s">
        <v>4104</v>
      </c>
    </row>
    <row r="769" spans="1:11" ht="15.75" customHeight="1">
      <c r="A769" s="4">
        <v>29169653</v>
      </c>
      <c r="B769" s="4" t="s">
        <v>10980</v>
      </c>
      <c r="C769" s="4" t="s">
        <v>7532</v>
      </c>
      <c r="D769" s="4" t="s">
        <v>7533</v>
      </c>
      <c r="E769" s="4" t="s">
        <v>1433</v>
      </c>
      <c r="F769" s="4" t="s">
        <v>7534</v>
      </c>
      <c r="G769" s="4">
        <v>2017</v>
      </c>
      <c r="H769" s="25">
        <v>43064</v>
      </c>
      <c r="K769" s="4" t="s">
        <v>1434</v>
      </c>
    </row>
    <row r="770" spans="1:11" ht="15.75" customHeight="1">
      <c r="A770" s="4">
        <v>28822107</v>
      </c>
      <c r="B770" s="4" t="s">
        <v>7535</v>
      </c>
      <c r="C770" s="4" t="s">
        <v>7536</v>
      </c>
      <c r="D770" s="4" t="s">
        <v>7537</v>
      </c>
      <c r="E770" s="4" t="s">
        <v>3749</v>
      </c>
      <c r="F770" s="4" t="s">
        <v>4961</v>
      </c>
      <c r="G770" s="4">
        <v>2017</v>
      </c>
      <c r="H770" s="25">
        <v>42967</v>
      </c>
      <c r="K770" s="4" t="s">
        <v>3750</v>
      </c>
    </row>
    <row r="771" spans="1:11" ht="15.75" customHeight="1">
      <c r="A771" s="4">
        <v>25249343</v>
      </c>
      <c r="B771" s="4" t="s">
        <v>7541</v>
      </c>
      <c r="C771" s="4" t="s">
        <v>7542</v>
      </c>
      <c r="D771" s="4" t="s">
        <v>7543</v>
      </c>
      <c r="E771" s="4" t="s">
        <v>3203</v>
      </c>
      <c r="F771" s="4" t="s">
        <v>4896</v>
      </c>
      <c r="G771" s="4">
        <v>2014</v>
      </c>
      <c r="H771" s="25">
        <v>41907</v>
      </c>
      <c r="K771" s="4" t="s">
        <v>3204</v>
      </c>
    </row>
    <row r="772" spans="1:11" ht="15.75" customHeight="1">
      <c r="A772" s="4">
        <v>12529677</v>
      </c>
      <c r="B772" s="4" t="s">
        <v>7566</v>
      </c>
      <c r="C772" s="4" t="s">
        <v>7567</v>
      </c>
      <c r="D772" s="4" t="s">
        <v>7568</v>
      </c>
      <c r="E772" s="4" t="s">
        <v>2354</v>
      </c>
      <c r="F772" s="4" t="s">
        <v>6382</v>
      </c>
      <c r="G772" s="4">
        <v>2003</v>
      </c>
      <c r="H772" s="25">
        <v>37638</v>
      </c>
      <c r="K772" s="4" t="s">
        <v>2355</v>
      </c>
    </row>
    <row r="773" spans="1:11" ht="15.75" customHeight="1">
      <c r="A773" s="4">
        <v>32786154</v>
      </c>
      <c r="B773" s="4" t="s">
        <v>7547</v>
      </c>
      <c r="C773" s="4" t="s">
        <v>7548</v>
      </c>
      <c r="D773" s="4" t="s">
        <v>7549</v>
      </c>
      <c r="E773" s="4" t="s">
        <v>4286</v>
      </c>
      <c r="F773" s="4" t="s">
        <v>4974</v>
      </c>
      <c r="G773" s="4">
        <v>2021</v>
      </c>
      <c r="H773" s="25">
        <v>44057</v>
      </c>
      <c r="K773" s="4" t="s">
        <v>4287</v>
      </c>
    </row>
    <row r="774" spans="1:11" ht="15.75" customHeight="1">
      <c r="A774" s="4">
        <v>12379892</v>
      </c>
      <c r="B774" s="4" t="s">
        <v>7544</v>
      </c>
      <c r="C774" s="4" t="s">
        <v>7545</v>
      </c>
      <c r="D774" s="4" t="s">
        <v>7546</v>
      </c>
      <c r="E774" s="4" t="s">
        <v>175</v>
      </c>
      <c r="F774" s="4" t="s">
        <v>4863</v>
      </c>
      <c r="G774" s="4">
        <v>2002</v>
      </c>
      <c r="H774" s="25">
        <v>37545</v>
      </c>
      <c r="K774" s="4" t="s">
        <v>954</v>
      </c>
    </row>
    <row r="775" spans="1:11" ht="15.75" customHeight="1">
      <c r="A775" s="4">
        <v>22246831</v>
      </c>
      <c r="B775" s="4" t="s">
        <v>7550</v>
      </c>
      <c r="C775" s="4" t="s">
        <v>7551</v>
      </c>
      <c r="D775" s="4" t="s">
        <v>7552</v>
      </c>
      <c r="E775" s="4" t="s">
        <v>1478</v>
      </c>
      <c r="F775" s="4" t="s">
        <v>4923</v>
      </c>
      <c r="G775" s="4">
        <v>2012</v>
      </c>
      <c r="H775" s="25">
        <v>40925</v>
      </c>
      <c r="K775" s="4" t="s">
        <v>1479</v>
      </c>
    </row>
    <row r="776" spans="1:11" ht="15.75" customHeight="1">
      <c r="A776" s="4">
        <v>8392166</v>
      </c>
      <c r="B776" s="4" t="s">
        <v>7577</v>
      </c>
      <c r="C776" s="4" t="s">
        <v>7578</v>
      </c>
      <c r="D776" s="4" t="s">
        <v>7579</v>
      </c>
      <c r="E776" s="4" t="s">
        <v>195</v>
      </c>
      <c r="F776" s="4" t="s">
        <v>5982</v>
      </c>
      <c r="G776" s="4">
        <v>1993</v>
      </c>
      <c r="H776" s="25">
        <v>34090</v>
      </c>
      <c r="K776" s="4" t="s">
        <v>4655</v>
      </c>
    </row>
    <row r="777" spans="1:11" ht="15.75" customHeight="1">
      <c r="A777" s="4">
        <v>11938764</v>
      </c>
      <c r="B777" s="4" t="s">
        <v>7598</v>
      </c>
      <c r="C777" s="4" t="s">
        <v>7599</v>
      </c>
      <c r="D777" s="4" t="s">
        <v>7600</v>
      </c>
      <c r="E777" s="4" t="s">
        <v>3034</v>
      </c>
      <c r="F777" s="4" t="s">
        <v>7601</v>
      </c>
      <c r="G777" s="4">
        <v>1999</v>
      </c>
      <c r="H777" s="25">
        <v>37356</v>
      </c>
    </row>
    <row r="778" spans="1:11" ht="15.75" customHeight="1">
      <c r="A778" s="4">
        <v>21565944</v>
      </c>
      <c r="B778" s="4" t="s">
        <v>7595</v>
      </c>
      <c r="C778" s="4" t="s">
        <v>7596</v>
      </c>
      <c r="D778" s="4" t="s">
        <v>7597</v>
      </c>
      <c r="E778" s="4" t="s">
        <v>2902</v>
      </c>
      <c r="F778" s="4" t="s">
        <v>6530</v>
      </c>
      <c r="G778" s="4">
        <v>2011</v>
      </c>
      <c r="H778" s="25">
        <v>40677</v>
      </c>
      <c r="K778" s="4" t="s">
        <v>2905</v>
      </c>
    </row>
    <row r="779" spans="1:11" ht="15.75" customHeight="1">
      <c r="A779" s="4">
        <v>20661655</v>
      </c>
      <c r="B779" s="4" t="s">
        <v>7556</v>
      </c>
      <c r="C779" s="4" t="s">
        <v>7557</v>
      </c>
      <c r="D779" s="4" t="s">
        <v>7558</v>
      </c>
      <c r="E779" s="4" t="s">
        <v>4566</v>
      </c>
      <c r="F779" s="4" t="s">
        <v>7559</v>
      </c>
      <c r="G779" s="4">
        <v>2010</v>
      </c>
      <c r="H779" s="25">
        <v>40387</v>
      </c>
      <c r="I779" s="4" t="s">
        <v>7560</v>
      </c>
      <c r="J779" s="4" t="s">
        <v>7561</v>
      </c>
      <c r="K779" s="4" t="s">
        <v>4571</v>
      </c>
    </row>
    <row r="780" spans="1:11" ht="15.75" customHeight="1">
      <c r="A780" s="4">
        <v>11689646</v>
      </c>
      <c r="B780" s="4" t="s">
        <v>7562</v>
      </c>
      <c r="C780" s="4" t="s">
        <v>7563</v>
      </c>
      <c r="D780" s="4" t="s">
        <v>7564</v>
      </c>
      <c r="E780" s="4" t="s">
        <v>3156</v>
      </c>
      <c r="F780" s="4" t="s">
        <v>4891</v>
      </c>
      <c r="G780" s="4">
        <v>2001</v>
      </c>
      <c r="H780" s="25">
        <v>37197</v>
      </c>
      <c r="I780" s="4" t="s">
        <v>7565</v>
      </c>
      <c r="K780" s="4" t="s">
        <v>3157</v>
      </c>
    </row>
    <row r="781" spans="1:11" ht="15.75" customHeight="1">
      <c r="A781" s="4">
        <v>9882361</v>
      </c>
      <c r="B781" s="4" t="s">
        <v>7573</v>
      </c>
      <c r="C781" s="4" t="s">
        <v>7574</v>
      </c>
      <c r="D781" s="4" t="s">
        <v>7575</v>
      </c>
      <c r="E781" s="4" t="s">
        <v>2013</v>
      </c>
      <c r="F781" s="4" t="s">
        <v>4891</v>
      </c>
      <c r="G781" s="4">
        <v>1999</v>
      </c>
      <c r="H781" s="25">
        <v>36169</v>
      </c>
      <c r="I781" s="4" t="s">
        <v>7576</v>
      </c>
      <c r="K781" s="4" t="s">
        <v>2014</v>
      </c>
    </row>
    <row r="782" spans="1:11" ht="15.75" customHeight="1">
      <c r="A782" s="4">
        <v>10221519</v>
      </c>
      <c r="B782" s="4" t="s">
        <v>7553</v>
      </c>
      <c r="C782" s="4" t="s">
        <v>7554</v>
      </c>
      <c r="D782" s="4" t="s">
        <v>7555</v>
      </c>
      <c r="E782" s="4" t="s">
        <v>2958</v>
      </c>
      <c r="F782" s="4" t="s">
        <v>5099</v>
      </c>
      <c r="G782" s="4">
        <v>1999</v>
      </c>
      <c r="H782" s="25">
        <v>36280</v>
      </c>
      <c r="K782" s="4" t="s">
        <v>2959</v>
      </c>
    </row>
    <row r="783" spans="1:11" ht="15.75" customHeight="1">
      <c r="A783" s="4">
        <v>25982843</v>
      </c>
      <c r="B783" s="4" t="s">
        <v>7569</v>
      </c>
      <c r="C783" s="4" t="s">
        <v>7570</v>
      </c>
      <c r="D783" s="4" t="s">
        <v>7571</v>
      </c>
      <c r="E783" s="4" t="s">
        <v>498</v>
      </c>
      <c r="F783" s="4" t="s">
        <v>7572</v>
      </c>
      <c r="G783" s="4">
        <v>2015</v>
      </c>
      <c r="H783" s="25">
        <v>42143</v>
      </c>
      <c r="K783" s="4" t="s">
        <v>499</v>
      </c>
    </row>
    <row r="784" spans="1:11" ht="15.75" customHeight="1">
      <c r="A784" s="4">
        <v>12925104</v>
      </c>
      <c r="B784" s="4" t="s">
        <v>7586</v>
      </c>
      <c r="C784" s="4" t="s">
        <v>7587</v>
      </c>
      <c r="D784" s="4" t="s">
        <v>7588</v>
      </c>
      <c r="E784" s="4" t="s">
        <v>3569</v>
      </c>
      <c r="F784" s="4" t="s">
        <v>4851</v>
      </c>
      <c r="G784" s="4">
        <v>2003</v>
      </c>
      <c r="H784" s="25">
        <v>37853</v>
      </c>
      <c r="K784" s="4" t="s">
        <v>3570</v>
      </c>
    </row>
    <row r="785" spans="1:11" ht="15.75" customHeight="1">
      <c r="A785" s="4">
        <v>30590622</v>
      </c>
      <c r="B785" s="4" t="s">
        <v>7589</v>
      </c>
      <c r="C785" s="4" t="s">
        <v>4915</v>
      </c>
      <c r="D785" s="4" t="s">
        <v>7590</v>
      </c>
      <c r="E785" s="4" t="s">
        <v>197</v>
      </c>
      <c r="F785" s="4" t="s">
        <v>7487</v>
      </c>
      <c r="G785" s="4">
        <v>2018</v>
      </c>
      <c r="H785" s="25">
        <v>43462</v>
      </c>
      <c r="K785" s="4" t="s">
        <v>4692</v>
      </c>
    </row>
    <row r="786" spans="1:11" ht="15.75" customHeight="1">
      <c r="A786" s="4">
        <v>9359527</v>
      </c>
      <c r="B786" s="4" t="s">
        <v>7580</v>
      </c>
      <c r="C786" s="4" t="s">
        <v>7581</v>
      </c>
      <c r="D786" s="4" t="s">
        <v>7582</v>
      </c>
      <c r="E786" s="4" t="s">
        <v>4682</v>
      </c>
      <c r="F786" s="4" t="s">
        <v>5211</v>
      </c>
      <c r="G786" s="4">
        <v>1997</v>
      </c>
      <c r="H786" s="25">
        <v>35748</v>
      </c>
      <c r="K786" s="4" t="s">
        <v>4683</v>
      </c>
    </row>
    <row r="787" spans="1:11" ht="15.75" customHeight="1">
      <c r="A787" s="4">
        <v>31754252</v>
      </c>
      <c r="B787" s="4" t="s">
        <v>7583</v>
      </c>
      <c r="C787" s="4" t="s">
        <v>7584</v>
      </c>
      <c r="D787" s="4" t="s">
        <v>7585</v>
      </c>
      <c r="E787" s="4" t="s">
        <v>893</v>
      </c>
      <c r="F787" s="4" t="s">
        <v>4863</v>
      </c>
      <c r="G787" s="4">
        <v>2020</v>
      </c>
      <c r="H787" s="25">
        <v>43792</v>
      </c>
      <c r="K787" s="4" t="s">
        <v>894</v>
      </c>
    </row>
    <row r="788" spans="1:11" ht="15.75" customHeight="1">
      <c r="A788" s="4">
        <v>1851861</v>
      </c>
      <c r="B788" s="4" t="s">
        <v>7591</v>
      </c>
      <c r="C788" s="4" t="s">
        <v>7592</v>
      </c>
      <c r="D788" s="4" t="s">
        <v>7593</v>
      </c>
      <c r="E788" s="4" t="s">
        <v>2412</v>
      </c>
      <c r="F788" s="4" t="s">
        <v>4891</v>
      </c>
      <c r="G788" s="4">
        <v>1991</v>
      </c>
      <c r="H788" s="25">
        <v>33390</v>
      </c>
      <c r="I788" s="4" t="s">
        <v>7594</v>
      </c>
      <c r="K788" s="4" t="s">
        <v>2415</v>
      </c>
    </row>
    <row r="789" spans="1:11" ht="15.75" customHeight="1">
      <c r="A789" s="4">
        <v>11139213</v>
      </c>
      <c r="B789" s="4" t="s">
        <v>7602</v>
      </c>
      <c r="C789" s="4" t="s">
        <v>7603</v>
      </c>
      <c r="D789" s="4" t="s">
        <v>7604</v>
      </c>
      <c r="E789" s="4" t="s">
        <v>195</v>
      </c>
      <c r="F789" s="4" t="s">
        <v>7605</v>
      </c>
      <c r="G789" s="4">
        <v>2001</v>
      </c>
      <c r="H789" s="25">
        <v>36895</v>
      </c>
      <c r="I789" s="4" t="s">
        <v>7606</v>
      </c>
      <c r="K789" s="4" t="s">
        <v>4657</v>
      </c>
    </row>
    <row r="790" spans="1:11" ht="15.75" customHeight="1">
      <c r="A790" s="4">
        <v>22178541</v>
      </c>
      <c r="B790" s="4" t="s">
        <v>7633</v>
      </c>
      <c r="C790" s="4" t="s">
        <v>7634</v>
      </c>
      <c r="D790" s="4" t="s">
        <v>7635</v>
      </c>
      <c r="E790" s="4" t="s">
        <v>2230</v>
      </c>
      <c r="F790" s="4" t="s">
        <v>6176</v>
      </c>
      <c r="G790" s="4">
        <v>2012</v>
      </c>
      <c r="H790" s="25">
        <v>40897</v>
      </c>
      <c r="K790" s="4" t="s">
        <v>2231</v>
      </c>
    </row>
    <row r="791" spans="1:11" ht="15.75" customHeight="1">
      <c r="A791" s="4">
        <v>23535574</v>
      </c>
      <c r="B791" s="4" t="s">
        <v>7630</v>
      </c>
      <c r="C791" s="4" t="s">
        <v>7631</v>
      </c>
      <c r="D791" s="4" t="s">
        <v>7632</v>
      </c>
      <c r="E791" s="4" t="s">
        <v>1678</v>
      </c>
      <c r="F791" s="4" t="s">
        <v>4966</v>
      </c>
      <c r="G791" s="4">
        <v>2013</v>
      </c>
      <c r="H791" s="25">
        <v>41362</v>
      </c>
      <c r="K791" s="4" t="s">
        <v>1679</v>
      </c>
    </row>
    <row r="792" spans="1:11" ht="15.75" customHeight="1">
      <c r="A792" s="4">
        <v>11966777</v>
      </c>
      <c r="B792" s="4" t="s">
        <v>7614</v>
      </c>
      <c r="C792" s="4" t="s">
        <v>7615</v>
      </c>
      <c r="D792" s="4" t="s">
        <v>7616</v>
      </c>
      <c r="E792" s="4" t="s">
        <v>4017</v>
      </c>
      <c r="F792" s="4" t="s">
        <v>5243</v>
      </c>
      <c r="G792" s="4">
        <v>2002</v>
      </c>
      <c r="H792" s="25">
        <v>37369</v>
      </c>
      <c r="K792" s="4" t="s">
        <v>4027</v>
      </c>
    </row>
    <row r="793" spans="1:11" ht="15.75" customHeight="1">
      <c r="A793" s="4">
        <v>28209721</v>
      </c>
      <c r="B793" s="4" t="s">
        <v>7620</v>
      </c>
      <c r="C793" s="4" t="s">
        <v>7621</v>
      </c>
      <c r="D793" s="4" t="s">
        <v>7622</v>
      </c>
      <c r="E793" s="4" t="s">
        <v>221</v>
      </c>
      <c r="F793" s="4" t="s">
        <v>5343</v>
      </c>
      <c r="G793" s="4">
        <v>2017</v>
      </c>
      <c r="H793" s="25">
        <v>42784</v>
      </c>
      <c r="I793" s="4" t="s">
        <v>7623</v>
      </c>
      <c r="K793" s="4" t="s">
        <v>634</v>
      </c>
    </row>
    <row r="794" spans="1:11" ht="15.75" customHeight="1">
      <c r="A794" s="4">
        <v>9786754</v>
      </c>
      <c r="B794" s="4" t="s">
        <v>7627</v>
      </c>
      <c r="C794" s="4" t="s">
        <v>7628</v>
      </c>
      <c r="D794" s="4" t="s">
        <v>7629</v>
      </c>
      <c r="E794" s="4" t="s">
        <v>2189</v>
      </c>
      <c r="F794" s="4" t="s">
        <v>5377</v>
      </c>
      <c r="G794" s="4">
        <v>1998</v>
      </c>
      <c r="H794" s="25">
        <v>36092</v>
      </c>
      <c r="K794" s="4" t="s">
        <v>2190</v>
      </c>
    </row>
    <row r="795" spans="1:11" ht="15.75" customHeight="1">
      <c r="A795" s="4">
        <v>23026619</v>
      </c>
      <c r="B795" s="4" t="s">
        <v>7655</v>
      </c>
      <c r="C795" s="4" t="s">
        <v>7656</v>
      </c>
      <c r="D795" s="4" t="s">
        <v>7657</v>
      </c>
      <c r="E795" s="4" t="s">
        <v>3863</v>
      </c>
      <c r="F795" s="4" t="s">
        <v>5696</v>
      </c>
      <c r="G795" s="4">
        <v>2012</v>
      </c>
      <c r="H795" s="25">
        <v>41185</v>
      </c>
      <c r="K795" s="4" t="s">
        <v>3864</v>
      </c>
    </row>
    <row r="796" spans="1:11" ht="15.75" customHeight="1">
      <c r="A796" s="4">
        <v>26566646</v>
      </c>
      <c r="B796" s="4" t="s">
        <v>7624</v>
      </c>
      <c r="C796" s="4" t="s">
        <v>7625</v>
      </c>
      <c r="D796" s="4" t="s">
        <v>7626</v>
      </c>
      <c r="E796" s="4" t="s">
        <v>3758</v>
      </c>
      <c r="F796" s="4" t="s">
        <v>6522</v>
      </c>
      <c r="G796" s="4">
        <v>2016</v>
      </c>
      <c r="H796" s="25">
        <v>42323</v>
      </c>
      <c r="K796" s="4" t="s">
        <v>3765</v>
      </c>
    </row>
    <row r="797" spans="1:11" ht="15.75" customHeight="1">
      <c r="A797" s="4">
        <v>9749608</v>
      </c>
      <c r="B797" s="4" t="s">
        <v>7646</v>
      </c>
      <c r="C797" s="4" t="s">
        <v>7647</v>
      </c>
      <c r="D797" s="4" t="s">
        <v>7648</v>
      </c>
      <c r="E797" s="4" t="s">
        <v>3156</v>
      </c>
      <c r="F797" s="4" t="s">
        <v>7649</v>
      </c>
      <c r="G797" s="4">
        <v>1998</v>
      </c>
      <c r="H797" s="25">
        <v>36066</v>
      </c>
      <c r="K797" s="4" t="s">
        <v>3159</v>
      </c>
    </row>
    <row r="798" spans="1:11" ht="15.75" customHeight="1">
      <c r="A798" s="4">
        <v>31724929</v>
      </c>
      <c r="B798" s="4" t="s">
        <v>7643</v>
      </c>
      <c r="C798" s="4" t="s">
        <v>7644</v>
      </c>
      <c r="D798" s="4" t="s">
        <v>7645</v>
      </c>
      <c r="E798" s="4" t="s">
        <v>2542</v>
      </c>
      <c r="F798" s="4" t="s">
        <v>5706</v>
      </c>
      <c r="G798" s="4">
        <v>2021</v>
      </c>
      <c r="H798" s="25">
        <v>43784</v>
      </c>
      <c r="K798" s="4" t="s">
        <v>2543</v>
      </c>
    </row>
    <row r="799" spans="1:11" ht="15.75" customHeight="1">
      <c r="A799" s="4">
        <v>1658217</v>
      </c>
      <c r="B799" s="4" t="s">
        <v>7675</v>
      </c>
      <c r="C799" s="4" t="s">
        <v>7676</v>
      </c>
      <c r="D799" s="4" t="s">
        <v>7677</v>
      </c>
      <c r="E799" s="4" t="s">
        <v>4435</v>
      </c>
      <c r="F799" s="4" t="s">
        <v>4923</v>
      </c>
      <c r="G799" s="4">
        <v>1991</v>
      </c>
      <c r="H799" s="25">
        <v>33451</v>
      </c>
      <c r="K799" s="4" t="s">
        <v>4440</v>
      </c>
    </row>
    <row r="800" spans="1:11" ht="15.75" customHeight="1">
      <c r="A800" s="4">
        <v>10910278</v>
      </c>
      <c r="B800" s="4" t="s">
        <v>7640</v>
      </c>
      <c r="C800" s="4" t="s">
        <v>7641</v>
      </c>
      <c r="D800" s="4" t="s">
        <v>7642</v>
      </c>
      <c r="E800" s="4" t="s">
        <v>3786</v>
      </c>
      <c r="F800" s="4" t="s">
        <v>5445</v>
      </c>
      <c r="G800" s="4">
        <v>2000</v>
      </c>
      <c r="H800" s="25">
        <v>36733</v>
      </c>
      <c r="K800" s="4" t="s">
        <v>3787</v>
      </c>
    </row>
    <row r="801" spans="1:11" ht="15.75" customHeight="1">
      <c r="A801" s="4">
        <v>22554258</v>
      </c>
      <c r="B801" s="4" t="s">
        <v>7698</v>
      </c>
      <c r="C801" s="4" t="s">
        <v>7699</v>
      </c>
      <c r="D801" s="4" t="s">
        <v>7700</v>
      </c>
      <c r="E801" s="4" t="s">
        <v>2428</v>
      </c>
      <c r="F801" s="4" t="s">
        <v>7701</v>
      </c>
      <c r="G801" s="4">
        <v>2012</v>
      </c>
      <c r="H801" s="25">
        <v>41034</v>
      </c>
      <c r="K801" s="4" t="s">
        <v>2429</v>
      </c>
    </row>
    <row r="802" spans="1:11" ht="15.75" customHeight="1">
      <c r="A802" s="4">
        <v>12174928</v>
      </c>
      <c r="B802" s="4" t="s">
        <v>7636</v>
      </c>
      <c r="C802" s="4" t="s">
        <v>7637</v>
      </c>
      <c r="D802" s="4" t="s">
        <v>7638</v>
      </c>
      <c r="E802" s="4" t="s">
        <v>2800</v>
      </c>
      <c r="F802" s="4" t="s">
        <v>7639</v>
      </c>
      <c r="G802" s="4">
        <v>2002</v>
      </c>
      <c r="H802" s="25">
        <v>37483</v>
      </c>
    </row>
    <row r="803" spans="1:11" ht="15.75" customHeight="1">
      <c r="A803" s="4">
        <v>12173776</v>
      </c>
      <c r="B803" s="4" t="s">
        <v>7702</v>
      </c>
      <c r="C803" s="4" t="s">
        <v>7703</v>
      </c>
      <c r="D803" s="4" t="s">
        <v>7704</v>
      </c>
      <c r="E803" s="4" t="s">
        <v>1199</v>
      </c>
      <c r="F803" s="4" t="s">
        <v>5103</v>
      </c>
      <c r="G803" s="4">
        <v>2002</v>
      </c>
      <c r="H803" s="25">
        <v>37482</v>
      </c>
    </row>
    <row r="804" spans="1:11" ht="15.75" customHeight="1">
      <c r="A804" s="4">
        <v>23461659</v>
      </c>
      <c r="B804" s="4" t="s">
        <v>7692</v>
      </c>
      <c r="C804" s="4" t="s">
        <v>7693</v>
      </c>
      <c r="D804" s="4" t="s">
        <v>7694</v>
      </c>
      <c r="E804" s="4" t="s">
        <v>704</v>
      </c>
      <c r="F804" s="4" t="s">
        <v>6718</v>
      </c>
      <c r="G804" s="4">
        <v>2013</v>
      </c>
      <c r="H804" s="25">
        <v>41340</v>
      </c>
      <c r="K804" s="4" t="s">
        <v>705</v>
      </c>
    </row>
    <row r="805" spans="1:11" ht="15.75" customHeight="1">
      <c r="A805" s="4">
        <v>22186115</v>
      </c>
      <c r="B805" s="4" t="s">
        <v>7658</v>
      </c>
      <c r="C805" s="4" t="s">
        <v>7659</v>
      </c>
      <c r="D805" s="4" t="s">
        <v>7660</v>
      </c>
      <c r="E805" s="4" t="s">
        <v>3400</v>
      </c>
      <c r="F805" s="4" t="s">
        <v>7661</v>
      </c>
      <c r="G805" s="4">
        <v>2011</v>
      </c>
      <c r="H805" s="25">
        <v>40899</v>
      </c>
    </row>
    <row r="806" spans="1:11" ht="15.75" customHeight="1">
      <c r="A806" s="4">
        <v>31020640</v>
      </c>
      <c r="B806" s="4" t="s">
        <v>7662</v>
      </c>
      <c r="C806" s="4" t="s">
        <v>7663</v>
      </c>
      <c r="D806" s="4" t="s">
        <v>7664</v>
      </c>
      <c r="E806" s="4" t="s">
        <v>1293</v>
      </c>
      <c r="F806" s="4" t="s">
        <v>5567</v>
      </c>
      <c r="G806" s="4">
        <v>2019</v>
      </c>
      <c r="H806" s="25">
        <v>43581</v>
      </c>
      <c r="K806" s="4" t="s">
        <v>1298</v>
      </c>
    </row>
    <row r="807" spans="1:11" ht="15.75" customHeight="1">
      <c r="A807" s="4">
        <v>25510656</v>
      </c>
      <c r="B807" s="4" t="s">
        <v>7650</v>
      </c>
      <c r="C807" s="4" t="s">
        <v>7651</v>
      </c>
      <c r="D807" s="4" t="s">
        <v>7652</v>
      </c>
      <c r="E807" s="4" t="s">
        <v>4258</v>
      </c>
      <c r="F807" s="4" t="s">
        <v>7653</v>
      </c>
      <c r="G807" s="4">
        <v>2014</v>
      </c>
      <c r="H807" s="25">
        <v>41990</v>
      </c>
      <c r="I807" s="4" t="s">
        <v>7654</v>
      </c>
      <c r="K807" s="4" t="s">
        <v>4259</v>
      </c>
    </row>
    <row r="808" spans="1:11" ht="15.75" customHeight="1">
      <c r="A808" s="4">
        <v>7858257</v>
      </c>
      <c r="B808" s="4" t="s">
        <v>7665</v>
      </c>
      <c r="C808" s="4" t="s">
        <v>7666</v>
      </c>
      <c r="D808" s="4" t="s">
        <v>7667</v>
      </c>
      <c r="E808" s="4" t="s">
        <v>2051</v>
      </c>
      <c r="F808" s="4" t="s">
        <v>5343</v>
      </c>
      <c r="G808" s="4">
        <v>1995</v>
      </c>
      <c r="H808" s="25">
        <v>34759</v>
      </c>
    </row>
    <row r="809" spans="1:11" ht="15.75" customHeight="1">
      <c r="A809" s="4">
        <v>29907960</v>
      </c>
      <c r="B809" s="4" t="s">
        <v>7668</v>
      </c>
      <c r="C809" s="4" t="s">
        <v>7669</v>
      </c>
      <c r="D809" s="4" t="s">
        <v>7670</v>
      </c>
      <c r="E809" s="4" t="s">
        <v>3222</v>
      </c>
      <c r="F809" s="4" t="s">
        <v>7671</v>
      </c>
      <c r="G809" s="4">
        <v>2018</v>
      </c>
      <c r="H809" s="25">
        <v>43268</v>
      </c>
      <c r="K809" s="4" t="s">
        <v>3223</v>
      </c>
    </row>
    <row r="810" spans="1:11" ht="15.75" customHeight="1">
      <c r="A810" s="4">
        <v>11255287</v>
      </c>
      <c r="B810" s="4" t="s">
        <v>7718</v>
      </c>
      <c r="C810" s="4" t="s">
        <v>7719</v>
      </c>
      <c r="D810" s="4" t="s">
        <v>7720</v>
      </c>
      <c r="E810" s="4" t="s">
        <v>252</v>
      </c>
      <c r="F810" s="4" t="s">
        <v>6289</v>
      </c>
      <c r="G810" s="4">
        <v>2001</v>
      </c>
      <c r="H810" s="25">
        <v>36970</v>
      </c>
    </row>
    <row r="811" spans="1:11" ht="15.75" customHeight="1">
      <c r="A811" s="4">
        <v>8721028</v>
      </c>
      <c r="B811" s="4" t="s">
        <v>7672</v>
      </c>
      <c r="C811" s="4" t="s">
        <v>7673</v>
      </c>
      <c r="D811" s="4" t="s">
        <v>7674</v>
      </c>
      <c r="E811" s="4" t="s">
        <v>4148</v>
      </c>
      <c r="F811" s="4" t="s">
        <v>6340</v>
      </c>
      <c r="G811" s="4">
        <v>1996</v>
      </c>
      <c r="H811" s="25">
        <v>35125</v>
      </c>
      <c r="K811" s="4" t="s">
        <v>4149</v>
      </c>
    </row>
    <row r="812" spans="1:11" ht="15.75" customHeight="1">
      <c r="A812" s="4">
        <v>8607365</v>
      </c>
      <c r="B812" s="4" t="s">
        <v>7688</v>
      </c>
      <c r="C812" s="4" t="s">
        <v>7689</v>
      </c>
      <c r="D812" s="4" t="s">
        <v>7690</v>
      </c>
      <c r="E812" s="4" t="s">
        <v>2978</v>
      </c>
      <c r="F812" s="4" t="s">
        <v>7691</v>
      </c>
      <c r="G812" s="4">
        <v>1995</v>
      </c>
      <c r="H812" s="25">
        <v>34943</v>
      </c>
    </row>
    <row r="813" spans="1:11" ht="15.75" customHeight="1">
      <c r="A813" s="4">
        <v>22027897</v>
      </c>
      <c r="B813" s="4" t="s">
        <v>7682</v>
      </c>
      <c r="C813" s="4" t="s">
        <v>7683</v>
      </c>
      <c r="D813" s="4" t="s">
        <v>7684</v>
      </c>
      <c r="E813" s="4" t="s">
        <v>273</v>
      </c>
      <c r="F813" s="4" t="s">
        <v>5445</v>
      </c>
      <c r="G813" s="4">
        <v>2011</v>
      </c>
      <c r="H813" s="25">
        <v>40843</v>
      </c>
      <c r="K813" s="4" t="s">
        <v>3638</v>
      </c>
    </row>
    <row r="814" spans="1:11" ht="15.75" customHeight="1">
      <c r="A814" s="4">
        <v>12021348</v>
      </c>
      <c r="B814" s="4" t="s">
        <v>7229</v>
      </c>
      <c r="C814" s="4" t="s">
        <v>7230</v>
      </c>
      <c r="D814" s="4" t="s">
        <v>7231</v>
      </c>
      <c r="E814" s="4" t="s">
        <v>4226</v>
      </c>
      <c r="F814" s="4" t="s">
        <v>4891</v>
      </c>
      <c r="G814" s="4">
        <v>2002</v>
      </c>
      <c r="H814" s="25">
        <v>37398</v>
      </c>
      <c r="I814" s="4" t="s">
        <v>7232</v>
      </c>
      <c r="K814" s="4" t="s">
        <v>4227</v>
      </c>
    </row>
    <row r="815" spans="1:11" ht="15.75" customHeight="1">
      <c r="A815" s="4">
        <v>9745761</v>
      </c>
      <c r="B815" s="4" t="s">
        <v>7678</v>
      </c>
      <c r="C815" s="4" t="s">
        <v>7679</v>
      </c>
      <c r="D815" s="4" t="s">
        <v>7680</v>
      </c>
      <c r="E815" s="4" t="s">
        <v>2639</v>
      </c>
      <c r="F815" s="4" t="s">
        <v>7681</v>
      </c>
      <c r="G815" s="4">
        <v>1998</v>
      </c>
      <c r="H815" s="25">
        <v>36062</v>
      </c>
      <c r="K815" s="4" t="s">
        <v>2640</v>
      </c>
    </row>
    <row r="816" spans="1:11" ht="15.75" customHeight="1">
      <c r="A816" s="4">
        <v>23769093</v>
      </c>
      <c r="B816" s="4" t="s">
        <v>7685</v>
      </c>
      <c r="C816" s="4" t="s">
        <v>7686</v>
      </c>
      <c r="D816" s="4" t="s">
        <v>7687</v>
      </c>
      <c r="E816" s="4" t="s">
        <v>3082</v>
      </c>
      <c r="F816" s="4" t="s">
        <v>5696</v>
      </c>
      <c r="G816" s="4">
        <v>2013</v>
      </c>
      <c r="H816" s="25">
        <v>41443</v>
      </c>
      <c r="K816" s="4" t="s">
        <v>3083</v>
      </c>
    </row>
    <row r="817" spans="1:11" ht="15.75" customHeight="1">
      <c r="A817" s="4">
        <v>29487057</v>
      </c>
      <c r="B817" s="4" t="s">
        <v>7705</v>
      </c>
      <c r="C817" s="4" t="s">
        <v>7706</v>
      </c>
      <c r="D817" s="4" t="s">
        <v>7707</v>
      </c>
      <c r="E817" s="4" t="s">
        <v>204</v>
      </c>
      <c r="F817" s="4" t="s">
        <v>4833</v>
      </c>
      <c r="G817" s="4">
        <v>2018</v>
      </c>
      <c r="H817" s="25">
        <v>43160</v>
      </c>
      <c r="I817" s="4" t="s">
        <v>7708</v>
      </c>
      <c r="K817" s="4" t="s">
        <v>319</v>
      </c>
    </row>
    <row r="818" spans="1:11" ht="15.75" customHeight="1">
      <c r="A818" s="4">
        <v>10872679</v>
      </c>
      <c r="B818" s="4" t="s">
        <v>7695</v>
      </c>
      <c r="C818" s="4" t="s">
        <v>7696</v>
      </c>
      <c r="D818" s="4" t="s">
        <v>7697</v>
      </c>
      <c r="E818" s="4" t="s">
        <v>1199</v>
      </c>
      <c r="F818" s="4" t="s">
        <v>5103</v>
      </c>
      <c r="G818" s="4">
        <v>2000</v>
      </c>
      <c r="H818" s="25">
        <v>36706</v>
      </c>
    </row>
    <row r="819" spans="1:11" ht="15.75" customHeight="1">
      <c r="A819" s="4">
        <v>24579822</v>
      </c>
      <c r="B819" s="4" t="s">
        <v>7746</v>
      </c>
      <c r="C819" s="4" t="s">
        <v>7747</v>
      </c>
      <c r="D819" s="4" t="s">
        <v>7748</v>
      </c>
      <c r="E819" s="4" t="s">
        <v>982</v>
      </c>
      <c r="F819" s="4" t="s">
        <v>5243</v>
      </c>
      <c r="G819" s="4">
        <v>2014</v>
      </c>
      <c r="H819" s="25">
        <v>41702</v>
      </c>
      <c r="K819" s="4" t="s">
        <v>983</v>
      </c>
    </row>
    <row r="820" spans="1:11" ht="15.75" customHeight="1">
      <c r="A820" s="4">
        <v>12220240</v>
      </c>
      <c r="B820" s="4" t="s">
        <v>7740</v>
      </c>
      <c r="C820" s="4" t="s">
        <v>7741</v>
      </c>
      <c r="D820" s="4" t="s">
        <v>7742</v>
      </c>
      <c r="E820" s="4" t="s">
        <v>4017</v>
      </c>
      <c r="F820" s="4" t="s">
        <v>4974</v>
      </c>
      <c r="G820" s="4">
        <v>2002</v>
      </c>
      <c r="H820" s="25">
        <v>37510</v>
      </c>
      <c r="K820" s="4" t="s">
        <v>4029</v>
      </c>
    </row>
    <row r="821" spans="1:11" ht="15.75" customHeight="1">
      <c r="A821" s="4">
        <v>25007510</v>
      </c>
      <c r="B821" s="4" t="s">
        <v>7709</v>
      </c>
      <c r="C821" s="4" t="s">
        <v>7710</v>
      </c>
      <c r="D821" s="4" t="s">
        <v>7711</v>
      </c>
      <c r="E821" s="4" t="s">
        <v>567</v>
      </c>
      <c r="F821" s="4" t="s">
        <v>7712</v>
      </c>
      <c r="G821" s="4">
        <v>2014</v>
      </c>
      <c r="H821" s="25">
        <v>41831</v>
      </c>
    </row>
    <row r="822" spans="1:11" ht="15.75" customHeight="1">
      <c r="A822" s="4">
        <v>27552439</v>
      </c>
      <c r="B822" s="4" t="s">
        <v>7713</v>
      </c>
      <c r="C822" s="4" t="s">
        <v>7714</v>
      </c>
      <c r="D822" s="4" t="s">
        <v>7715</v>
      </c>
      <c r="E822" s="4" t="s">
        <v>1363</v>
      </c>
      <c r="F822" s="4" t="s">
        <v>7716</v>
      </c>
      <c r="G822" s="4">
        <v>2016</v>
      </c>
      <c r="H822" s="25">
        <v>42606</v>
      </c>
      <c r="I822" s="4" t="s">
        <v>7717</v>
      </c>
      <c r="K822" s="4" t="s">
        <v>1364</v>
      </c>
    </row>
    <row r="823" spans="1:11" ht="15.75" customHeight="1">
      <c r="A823" s="4">
        <v>9078464</v>
      </c>
      <c r="B823" s="4" t="s">
        <v>7724</v>
      </c>
      <c r="C823" s="4" t="s">
        <v>7725</v>
      </c>
      <c r="D823" s="4" t="s">
        <v>7726</v>
      </c>
      <c r="E823" s="4" t="s">
        <v>1846</v>
      </c>
      <c r="F823" s="4" t="s">
        <v>7727</v>
      </c>
      <c r="G823" s="4">
        <v>1996</v>
      </c>
      <c r="H823" s="25">
        <v>35065</v>
      </c>
      <c r="K823" s="4" t="s">
        <v>1847</v>
      </c>
    </row>
    <row r="824" spans="1:11" ht="15.75" customHeight="1">
      <c r="A824" s="4">
        <v>11149730</v>
      </c>
      <c r="B824" s="4" t="s">
        <v>7728</v>
      </c>
      <c r="C824" s="4" t="s">
        <v>7729</v>
      </c>
      <c r="D824" s="4" t="s">
        <v>7730</v>
      </c>
      <c r="E824" s="4" t="s">
        <v>4186</v>
      </c>
      <c r="F824" s="4" t="s">
        <v>4863</v>
      </c>
      <c r="G824" s="4">
        <v>2000</v>
      </c>
      <c r="H824" s="25">
        <v>36901</v>
      </c>
      <c r="K824" s="4" t="s">
        <v>4187</v>
      </c>
    </row>
    <row r="825" spans="1:11" ht="15.75" customHeight="1">
      <c r="A825" s="4">
        <v>14981771</v>
      </c>
      <c r="B825" s="4" t="s">
        <v>7721</v>
      </c>
      <c r="C825" s="4" t="s">
        <v>7722</v>
      </c>
      <c r="D825" s="4" t="s">
        <v>7723</v>
      </c>
      <c r="E825" s="4" t="s">
        <v>108</v>
      </c>
      <c r="F825" s="4" t="s">
        <v>4923</v>
      </c>
      <c r="G825" s="4">
        <v>2004</v>
      </c>
      <c r="H825" s="25">
        <v>38043</v>
      </c>
      <c r="K825" s="4" t="s">
        <v>521</v>
      </c>
    </row>
    <row r="826" spans="1:11" ht="15.75" customHeight="1">
      <c r="A826" s="4">
        <v>10919606</v>
      </c>
      <c r="B826" s="4" t="s">
        <v>7731</v>
      </c>
      <c r="C826" s="4" t="s">
        <v>7732</v>
      </c>
      <c r="D826" s="4" t="s">
        <v>7733</v>
      </c>
      <c r="E826" s="4" t="s">
        <v>4277</v>
      </c>
      <c r="F826" s="4" t="s">
        <v>5445</v>
      </c>
      <c r="G826" s="4">
        <v>2000</v>
      </c>
      <c r="H826" s="25">
        <v>36743</v>
      </c>
    </row>
    <row r="827" spans="1:11" ht="15.75" customHeight="1">
      <c r="A827" s="4">
        <v>28376035</v>
      </c>
      <c r="B827" s="4" t="s">
        <v>7738</v>
      </c>
      <c r="C827" s="4" t="s">
        <v>7159</v>
      </c>
      <c r="D827" s="4" t="s">
        <v>7739</v>
      </c>
      <c r="E827" s="4" t="s">
        <v>3695</v>
      </c>
      <c r="F827" s="4" t="s">
        <v>5445</v>
      </c>
      <c r="G827" s="4">
        <v>2017</v>
      </c>
      <c r="H827" s="25">
        <v>42830</v>
      </c>
      <c r="K827" s="4" t="s">
        <v>3698</v>
      </c>
    </row>
    <row r="828" spans="1:11" ht="15.75" customHeight="1">
      <c r="A828" s="4">
        <v>21397473</v>
      </c>
      <c r="B828" s="4" t="s">
        <v>7734</v>
      </c>
      <c r="C828" s="4" t="s">
        <v>7735</v>
      </c>
      <c r="D828" s="4" t="s">
        <v>7736</v>
      </c>
      <c r="E828" s="4" t="s">
        <v>1196</v>
      </c>
      <c r="F828" s="4" t="s">
        <v>7737</v>
      </c>
      <c r="G828" s="4">
        <v>2011</v>
      </c>
      <c r="H828" s="25">
        <v>40617</v>
      </c>
      <c r="K828" s="4" t="s">
        <v>1197</v>
      </c>
    </row>
    <row r="829" spans="1:11" ht="15.75" customHeight="1">
      <c r="A829" s="4">
        <v>23080502</v>
      </c>
      <c r="B829" s="4" t="s">
        <v>7743</v>
      </c>
      <c r="C829" s="4" t="s">
        <v>7744</v>
      </c>
      <c r="D829" s="4" t="s">
        <v>7745</v>
      </c>
      <c r="E829" s="4" t="s">
        <v>524</v>
      </c>
      <c r="F829" s="4" t="s">
        <v>4923</v>
      </c>
      <c r="G829" s="4">
        <v>2012</v>
      </c>
      <c r="H829" s="25">
        <v>41202</v>
      </c>
      <c r="K829" s="4" t="s">
        <v>525</v>
      </c>
    </row>
    <row r="830" spans="1:11" ht="15.75" customHeight="1">
      <c r="A830" s="4">
        <v>15700258</v>
      </c>
      <c r="B830" s="4" t="s">
        <v>7801</v>
      </c>
      <c r="C830" s="4" t="s">
        <v>7802</v>
      </c>
      <c r="D830" s="4" t="s">
        <v>7803</v>
      </c>
      <c r="E830" s="4" t="s">
        <v>171</v>
      </c>
      <c r="F830" s="4" t="s">
        <v>5652</v>
      </c>
      <c r="G830" s="4">
        <v>2005</v>
      </c>
      <c r="H830" s="25">
        <v>38392</v>
      </c>
      <c r="K830" s="4" t="s">
        <v>409</v>
      </c>
    </row>
    <row r="831" spans="1:11" ht="15.75" customHeight="1">
      <c r="A831" s="4">
        <v>1318588</v>
      </c>
      <c r="B831" s="4" t="s">
        <v>7756</v>
      </c>
      <c r="C831" s="4" t="s">
        <v>7757</v>
      </c>
      <c r="D831" s="4" t="s">
        <v>7758</v>
      </c>
      <c r="E831" s="4" t="s">
        <v>3190</v>
      </c>
      <c r="F831" s="4" t="s">
        <v>5445</v>
      </c>
      <c r="G831" s="4">
        <v>1992</v>
      </c>
      <c r="H831" s="25">
        <v>33756</v>
      </c>
      <c r="K831" s="4" t="s">
        <v>3192</v>
      </c>
    </row>
    <row r="832" spans="1:11" ht="15.75" customHeight="1">
      <c r="A832" s="4">
        <v>26567842</v>
      </c>
      <c r="B832" s="4" t="s">
        <v>7749</v>
      </c>
      <c r="C832" s="4" t="s">
        <v>7750</v>
      </c>
      <c r="D832" s="4" t="s">
        <v>7751</v>
      </c>
      <c r="E832" s="4" t="s">
        <v>4172</v>
      </c>
      <c r="F832" s="4" t="s">
        <v>5088</v>
      </c>
      <c r="G832" s="4">
        <v>2016</v>
      </c>
      <c r="H832" s="25">
        <v>42325</v>
      </c>
      <c r="K832" s="4" t="s">
        <v>4173</v>
      </c>
    </row>
    <row r="833" spans="1:11" ht="15.75" customHeight="1">
      <c r="A833" s="4">
        <v>12728905</v>
      </c>
      <c r="B833" s="4" t="s">
        <v>7792</v>
      </c>
      <c r="C833" s="4" t="s">
        <v>7793</v>
      </c>
      <c r="D833" s="4" t="s">
        <v>7794</v>
      </c>
      <c r="E833" s="4" t="s">
        <v>1996</v>
      </c>
      <c r="F833" s="4" t="s">
        <v>7795</v>
      </c>
      <c r="G833" s="4">
        <v>1999</v>
      </c>
      <c r="H833" s="25">
        <v>37747</v>
      </c>
    </row>
    <row r="834" spans="1:11" ht="15.75" customHeight="1">
      <c r="A834" s="4">
        <v>2174371</v>
      </c>
      <c r="B834" s="4" t="s">
        <v>7796</v>
      </c>
      <c r="C834" s="4" t="s">
        <v>7797</v>
      </c>
      <c r="D834" s="4" t="s">
        <v>7798</v>
      </c>
      <c r="E834" s="4" t="s">
        <v>2001</v>
      </c>
      <c r="F834" s="4" t="s">
        <v>7799</v>
      </c>
      <c r="G834" s="4">
        <v>1990</v>
      </c>
      <c r="H834" s="25">
        <v>33208</v>
      </c>
      <c r="I834" s="4" t="s">
        <v>7800</v>
      </c>
      <c r="K834" s="4" t="s">
        <v>2002</v>
      </c>
    </row>
    <row r="835" spans="1:11" ht="15.75" customHeight="1">
      <c r="A835" s="4">
        <v>24611562</v>
      </c>
      <c r="B835" s="4" t="s">
        <v>7752</v>
      </c>
      <c r="C835" s="4" t="s">
        <v>7753</v>
      </c>
      <c r="D835" s="4" t="s">
        <v>7754</v>
      </c>
      <c r="E835" s="4" t="s">
        <v>2520</v>
      </c>
      <c r="F835" s="4" t="s">
        <v>7755</v>
      </c>
      <c r="G835" s="4">
        <v>2014</v>
      </c>
      <c r="H835" s="25">
        <v>41710</v>
      </c>
      <c r="K835" s="4" t="s">
        <v>2521</v>
      </c>
    </row>
    <row r="836" spans="1:11" ht="15.75" customHeight="1">
      <c r="A836" s="4">
        <v>28617304</v>
      </c>
      <c r="B836" s="4" t="s">
        <v>7767</v>
      </c>
      <c r="C836" s="4" t="s">
        <v>7768</v>
      </c>
      <c r="D836" s="4" t="s">
        <v>7769</v>
      </c>
      <c r="E836" s="4" t="s">
        <v>1852</v>
      </c>
      <c r="F836" s="4" t="s">
        <v>5445</v>
      </c>
      <c r="G836" s="4">
        <v>2017</v>
      </c>
      <c r="H836" s="25">
        <v>42902</v>
      </c>
      <c r="K836" s="4" t="s">
        <v>1853</v>
      </c>
    </row>
    <row r="837" spans="1:11" ht="15.75" customHeight="1">
      <c r="A837" s="4">
        <v>21804462</v>
      </c>
      <c r="B837" s="4" t="s">
        <v>7759</v>
      </c>
      <c r="C837" s="4" t="s">
        <v>7760</v>
      </c>
      <c r="D837" s="4" t="s">
        <v>7761</v>
      </c>
      <c r="E837" s="4" t="s">
        <v>1009</v>
      </c>
      <c r="F837" s="4" t="s">
        <v>7762</v>
      </c>
      <c r="G837" s="4">
        <v>2011</v>
      </c>
      <c r="H837" s="25">
        <v>40757</v>
      </c>
      <c r="I837" s="4" t="s">
        <v>7763</v>
      </c>
      <c r="K837" s="4" t="s">
        <v>1010</v>
      </c>
    </row>
    <row r="838" spans="1:11" ht="15.75" customHeight="1">
      <c r="A838" s="4">
        <v>17116137</v>
      </c>
      <c r="B838" s="4" t="s">
        <v>7764</v>
      </c>
      <c r="C838" s="4" t="s">
        <v>7765</v>
      </c>
      <c r="D838" s="4" t="s">
        <v>7766</v>
      </c>
      <c r="E838" s="4" t="s">
        <v>1841</v>
      </c>
      <c r="F838" s="4" t="s">
        <v>4974</v>
      </c>
      <c r="G838" s="4">
        <v>2006</v>
      </c>
      <c r="H838" s="25">
        <v>39044</v>
      </c>
      <c r="K838" s="4" t="s">
        <v>1842</v>
      </c>
    </row>
    <row r="839" spans="1:11" ht="15.75" customHeight="1">
      <c r="A839" s="4">
        <v>9365898</v>
      </c>
      <c r="B839" s="4" t="s">
        <v>7804</v>
      </c>
      <c r="C839" s="4" t="s">
        <v>7805</v>
      </c>
      <c r="D839" s="4" t="s">
        <v>7806</v>
      </c>
      <c r="E839" s="4" t="s">
        <v>3487</v>
      </c>
      <c r="F839" s="4" t="s">
        <v>4923</v>
      </c>
      <c r="G839" s="4">
        <v>1997</v>
      </c>
      <c r="H839" s="25">
        <v>35754</v>
      </c>
      <c r="K839" s="4" t="s">
        <v>3490</v>
      </c>
    </row>
    <row r="840" spans="1:11" ht="15.75" customHeight="1">
      <c r="A840" s="4">
        <v>12352923</v>
      </c>
      <c r="B840" s="4" t="s">
        <v>7773</v>
      </c>
      <c r="C840" s="4" t="s">
        <v>7774</v>
      </c>
      <c r="D840" s="4" t="s">
        <v>7775</v>
      </c>
      <c r="E840" s="4" t="s">
        <v>4277</v>
      </c>
      <c r="F840" s="4" t="s">
        <v>5445</v>
      </c>
      <c r="G840" s="4">
        <v>2002</v>
      </c>
      <c r="H840" s="25">
        <v>37527</v>
      </c>
      <c r="K840" s="4" t="s">
        <v>4279</v>
      </c>
    </row>
    <row r="841" spans="1:11" ht="15.75" customHeight="1">
      <c r="A841" s="4">
        <v>17555446</v>
      </c>
      <c r="B841" s="4" t="s">
        <v>7814</v>
      </c>
      <c r="C841" s="4" t="s">
        <v>7815</v>
      </c>
      <c r="D841" s="4" t="s">
        <v>7816</v>
      </c>
      <c r="E841" s="4" t="s">
        <v>4711</v>
      </c>
      <c r="F841" s="4" t="s">
        <v>5211</v>
      </c>
      <c r="G841" s="4">
        <v>2007</v>
      </c>
      <c r="H841" s="25">
        <v>39242</v>
      </c>
      <c r="K841" s="4" t="s">
        <v>4714</v>
      </c>
    </row>
    <row r="842" spans="1:11" ht="15.75" customHeight="1">
      <c r="A842" s="4">
        <v>10223549</v>
      </c>
      <c r="B842" s="4" t="s">
        <v>7770</v>
      </c>
      <c r="C842" s="4" t="s">
        <v>7771</v>
      </c>
      <c r="D842" s="4" t="s">
        <v>7772</v>
      </c>
      <c r="E842" s="4" t="s">
        <v>3290</v>
      </c>
      <c r="F842" s="4" t="s">
        <v>4923</v>
      </c>
      <c r="G842" s="4">
        <v>1999</v>
      </c>
      <c r="H842" s="25">
        <v>36281</v>
      </c>
      <c r="K842" s="4" t="s">
        <v>3291</v>
      </c>
    </row>
    <row r="843" spans="1:11" ht="15.75" customHeight="1">
      <c r="A843" s="4">
        <v>1310766</v>
      </c>
      <c r="B843" s="4" t="s">
        <v>7776</v>
      </c>
      <c r="C843" s="4" t="s">
        <v>7777</v>
      </c>
      <c r="D843" s="4" t="s">
        <v>7778</v>
      </c>
      <c r="E843" s="4" t="s">
        <v>2142</v>
      </c>
      <c r="F843" s="4" t="s">
        <v>4891</v>
      </c>
      <c r="G843" s="4">
        <v>1992</v>
      </c>
      <c r="H843" s="25">
        <v>33664</v>
      </c>
      <c r="I843" s="4" t="s">
        <v>7779</v>
      </c>
      <c r="K843" s="4" t="s">
        <v>2143</v>
      </c>
    </row>
    <row r="844" spans="1:11" ht="15.75" customHeight="1">
      <c r="A844" s="4">
        <v>16792943</v>
      </c>
      <c r="B844" s="4" t="s">
        <v>7780</v>
      </c>
      <c r="C844" s="4" t="s">
        <v>7781</v>
      </c>
      <c r="D844" s="4" t="s">
        <v>7782</v>
      </c>
      <c r="E844" s="4" t="s">
        <v>1661</v>
      </c>
      <c r="F844" s="4" t="s">
        <v>5143</v>
      </c>
      <c r="G844" s="4">
        <v>2006</v>
      </c>
      <c r="H844" s="25">
        <v>38892</v>
      </c>
      <c r="K844" s="4" t="s">
        <v>1662</v>
      </c>
    </row>
    <row r="845" spans="1:11" ht="15.75" customHeight="1">
      <c r="A845" s="4">
        <v>11763382</v>
      </c>
      <c r="B845" s="4" t="s">
        <v>7786</v>
      </c>
      <c r="C845" s="4" t="s">
        <v>7787</v>
      </c>
      <c r="D845" s="4" t="s">
        <v>7788</v>
      </c>
      <c r="E845" s="4" t="s">
        <v>1984</v>
      </c>
      <c r="F845" s="4" t="s">
        <v>7789</v>
      </c>
      <c r="G845" s="4">
        <v>2001</v>
      </c>
      <c r="H845" s="25">
        <v>37261</v>
      </c>
      <c r="K845" s="4" t="s">
        <v>1985</v>
      </c>
    </row>
    <row r="846" spans="1:11" ht="15.75" customHeight="1">
      <c r="A846" s="4">
        <v>22710317</v>
      </c>
      <c r="B846" s="4" t="s">
        <v>7790</v>
      </c>
      <c r="C846" s="4" t="s">
        <v>4915</v>
      </c>
      <c r="D846" s="4" t="s">
        <v>7791</v>
      </c>
      <c r="E846" s="4" t="s">
        <v>197</v>
      </c>
      <c r="F846" s="4" t="s">
        <v>5035</v>
      </c>
      <c r="G846" s="4">
        <v>2012</v>
      </c>
      <c r="H846" s="25">
        <v>41080</v>
      </c>
      <c r="K846" s="4" t="s">
        <v>4694</v>
      </c>
    </row>
    <row r="847" spans="1:11" ht="15.75" customHeight="1">
      <c r="A847" s="4">
        <v>20070702</v>
      </c>
      <c r="B847" s="4" t="s">
        <v>7783</v>
      </c>
      <c r="C847" s="4" t="s">
        <v>7784</v>
      </c>
      <c r="D847" s="4" t="s">
        <v>7785</v>
      </c>
      <c r="E847" s="4" t="s">
        <v>3695</v>
      </c>
      <c r="F847" s="4" t="s">
        <v>5726</v>
      </c>
      <c r="G847" s="4">
        <v>2009</v>
      </c>
      <c r="H847" s="25">
        <v>40193</v>
      </c>
      <c r="K847" s="4" t="s">
        <v>3700</v>
      </c>
    </row>
    <row r="848" spans="1:11" ht="15.75" customHeight="1">
      <c r="A848" s="4">
        <v>15848678</v>
      </c>
      <c r="B848" s="4" t="s">
        <v>7820</v>
      </c>
      <c r="C848" s="4" t="s">
        <v>7821</v>
      </c>
      <c r="D848" s="4" t="s">
        <v>7822</v>
      </c>
      <c r="E848" s="4" t="s">
        <v>2294</v>
      </c>
      <c r="F848" s="4" t="s">
        <v>5696</v>
      </c>
      <c r="G848" s="4">
        <v>2005</v>
      </c>
      <c r="H848" s="25">
        <v>38468</v>
      </c>
      <c r="K848" s="4" t="s">
        <v>2301</v>
      </c>
    </row>
    <row r="849" spans="1:11" ht="15.75" customHeight="1">
      <c r="A849" s="4">
        <v>21629177</v>
      </c>
      <c r="B849" s="4" t="s">
        <v>7823</v>
      </c>
      <c r="C849" s="4" t="s">
        <v>5277</v>
      </c>
      <c r="D849" s="4" t="s">
        <v>7824</v>
      </c>
      <c r="E849" s="4" t="s">
        <v>2902</v>
      </c>
      <c r="F849" s="4" t="s">
        <v>5445</v>
      </c>
      <c r="G849" s="4">
        <v>2011</v>
      </c>
      <c r="H849" s="25">
        <v>40696</v>
      </c>
      <c r="K849" s="4" t="s">
        <v>2907</v>
      </c>
    </row>
    <row r="850" spans="1:11" ht="15.75" customHeight="1">
      <c r="A850" s="4">
        <v>11145693</v>
      </c>
      <c r="B850" s="4" t="s">
        <v>7807</v>
      </c>
      <c r="C850" s="4" t="s">
        <v>7808</v>
      </c>
      <c r="D850" s="4" t="s">
        <v>7809</v>
      </c>
      <c r="E850" s="4" t="s">
        <v>2308</v>
      </c>
      <c r="F850" s="4" t="s">
        <v>6293</v>
      </c>
      <c r="G850" s="4">
        <v>2001</v>
      </c>
      <c r="H850" s="25">
        <v>36897</v>
      </c>
      <c r="K850" s="4" t="s">
        <v>2309</v>
      </c>
    </row>
    <row r="851" spans="1:11" ht="15.75" customHeight="1">
      <c r="A851" s="4">
        <v>23409116</v>
      </c>
      <c r="B851" s="4" t="s">
        <v>7353</v>
      </c>
      <c r="C851" s="4" t="s">
        <v>7354</v>
      </c>
      <c r="D851" s="4" t="s">
        <v>7355</v>
      </c>
      <c r="E851" s="4" t="s">
        <v>3978</v>
      </c>
      <c r="F851" s="4" t="s">
        <v>4978</v>
      </c>
      <c r="G851" s="4">
        <v>2013</v>
      </c>
      <c r="H851" s="25">
        <v>41320</v>
      </c>
      <c r="I851" s="4" t="s">
        <v>7356</v>
      </c>
      <c r="K851" s="4" t="s">
        <v>3981</v>
      </c>
    </row>
    <row r="852" spans="1:11" ht="15.75" customHeight="1">
      <c r="A852" s="4">
        <v>20739682</v>
      </c>
      <c r="B852" s="4" t="s">
        <v>7810</v>
      </c>
      <c r="C852" s="4" t="s">
        <v>7811</v>
      </c>
      <c r="D852" s="4" t="s">
        <v>7812</v>
      </c>
      <c r="E852" s="4" t="s">
        <v>3600</v>
      </c>
      <c r="F852" s="4" t="s">
        <v>7813</v>
      </c>
      <c r="G852" s="4">
        <v>2010</v>
      </c>
      <c r="H852" s="25">
        <v>40417</v>
      </c>
      <c r="K852" s="4" t="s">
        <v>3601</v>
      </c>
    </row>
    <row r="853" spans="1:11" ht="15.75" customHeight="1">
      <c r="A853" s="4">
        <v>15660876</v>
      </c>
      <c r="B853" s="4" t="s">
        <v>7817</v>
      </c>
      <c r="C853" s="4" t="s">
        <v>7818</v>
      </c>
      <c r="D853" s="4" t="s">
        <v>7819</v>
      </c>
      <c r="E853" s="4" t="s">
        <v>3441</v>
      </c>
      <c r="F853" s="4" t="s">
        <v>7613</v>
      </c>
      <c r="G853" s="4">
        <v>2004</v>
      </c>
      <c r="H853" s="25">
        <v>38374</v>
      </c>
      <c r="K853" s="4" t="s">
        <v>3446</v>
      </c>
    </row>
    <row r="854" spans="1:11" ht="15.75" customHeight="1">
      <c r="A854" s="4">
        <v>15196083</v>
      </c>
      <c r="B854" s="4" t="s">
        <v>7420</v>
      </c>
      <c r="C854" s="4" t="s">
        <v>7421</v>
      </c>
      <c r="D854" s="4" t="s">
        <v>7422</v>
      </c>
      <c r="E854" s="4" t="s">
        <v>3353</v>
      </c>
      <c r="F854" s="4" t="s">
        <v>5726</v>
      </c>
      <c r="G854" s="4">
        <v>2004</v>
      </c>
      <c r="H854" s="25">
        <v>38154</v>
      </c>
      <c r="K854" s="4" t="s">
        <v>3354</v>
      </c>
    </row>
    <row r="855" spans="1:11" ht="15.75" customHeight="1">
      <c r="A855" s="4">
        <v>15964357</v>
      </c>
      <c r="B855" s="4" t="s">
        <v>7866</v>
      </c>
      <c r="C855" s="4" t="s">
        <v>7867</v>
      </c>
      <c r="D855" s="4" t="s">
        <v>7868</v>
      </c>
      <c r="E855" s="4" t="s">
        <v>590</v>
      </c>
      <c r="F855" s="4" t="s">
        <v>5696</v>
      </c>
      <c r="G855" s="4">
        <v>2005</v>
      </c>
      <c r="H855" s="25">
        <v>38524</v>
      </c>
      <c r="K855" s="4" t="s">
        <v>2122</v>
      </c>
    </row>
    <row r="856" spans="1:11" ht="15.75" customHeight="1">
      <c r="A856" s="4">
        <v>25870901</v>
      </c>
      <c r="B856" s="4" t="s">
        <v>7852</v>
      </c>
      <c r="C856" s="4" t="s">
        <v>7853</v>
      </c>
      <c r="D856" s="4" t="s">
        <v>7854</v>
      </c>
      <c r="E856" s="4" t="s">
        <v>3668</v>
      </c>
      <c r="F856" s="4" t="s">
        <v>7855</v>
      </c>
      <c r="G856" s="4">
        <v>2015</v>
      </c>
      <c r="H856" s="25">
        <v>42109</v>
      </c>
      <c r="K856" s="4" t="s">
        <v>3669</v>
      </c>
    </row>
    <row r="857" spans="1:11" ht="15.75" customHeight="1">
      <c r="A857" s="4">
        <v>20331520</v>
      </c>
      <c r="B857" s="4" t="s">
        <v>7856</v>
      </c>
      <c r="C857" s="4" t="s">
        <v>7857</v>
      </c>
      <c r="D857" s="4" t="s">
        <v>7858</v>
      </c>
      <c r="E857" s="4" t="s">
        <v>1890</v>
      </c>
      <c r="F857" s="4" t="s">
        <v>5543</v>
      </c>
      <c r="G857" s="4">
        <v>2011</v>
      </c>
      <c r="H857" s="25">
        <v>40262</v>
      </c>
      <c r="K857" s="4" t="s">
        <v>1891</v>
      </c>
    </row>
    <row r="858" spans="1:11" ht="15.75" customHeight="1">
      <c r="A858" s="4">
        <v>27174092</v>
      </c>
      <c r="B858" s="4" t="s">
        <v>7835</v>
      </c>
      <c r="C858" s="4" t="s">
        <v>7836</v>
      </c>
      <c r="D858" s="4" t="s">
        <v>7837</v>
      </c>
      <c r="E858" s="4" t="s">
        <v>3225</v>
      </c>
      <c r="F858" s="4" t="s">
        <v>7371</v>
      </c>
      <c r="G858" s="4">
        <v>2016</v>
      </c>
      <c r="H858" s="25">
        <v>42504</v>
      </c>
      <c r="K858" s="4" t="s">
        <v>3228</v>
      </c>
    </row>
    <row r="859" spans="1:11" ht="15.75" customHeight="1">
      <c r="A859" s="4">
        <v>31467131</v>
      </c>
      <c r="B859" s="4" t="s">
        <v>7900</v>
      </c>
      <c r="C859" s="4" t="s">
        <v>7901</v>
      </c>
      <c r="D859" s="4" t="s">
        <v>7902</v>
      </c>
      <c r="E859" s="4" t="s">
        <v>4435</v>
      </c>
      <c r="F859" s="4" t="s">
        <v>6289</v>
      </c>
      <c r="G859" s="4">
        <v>2019</v>
      </c>
      <c r="H859" s="25">
        <v>43708</v>
      </c>
      <c r="I859" s="4" t="s">
        <v>7903</v>
      </c>
      <c r="K859" s="4" t="s">
        <v>4442</v>
      </c>
    </row>
    <row r="860" spans="1:11" ht="15.75" customHeight="1">
      <c r="A860" s="4">
        <v>29143761</v>
      </c>
      <c r="B860" s="4" t="s">
        <v>7831</v>
      </c>
      <c r="C860" s="4" t="s">
        <v>7832</v>
      </c>
      <c r="D860" s="4" t="s">
        <v>7833</v>
      </c>
      <c r="E860" s="4" t="s">
        <v>2036</v>
      </c>
      <c r="F860" s="4" t="s">
        <v>4842</v>
      </c>
      <c r="G860" s="4">
        <v>2017</v>
      </c>
      <c r="H860" s="25">
        <v>43056</v>
      </c>
      <c r="I860" s="4" t="s">
        <v>7834</v>
      </c>
      <c r="K860" s="4" t="s">
        <v>2037</v>
      </c>
    </row>
    <row r="861" spans="1:11" ht="15.75" customHeight="1">
      <c r="A861" s="4">
        <v>17038915</v>
      </c>
      <c r="B861" s="4" t="s">
        <v>7838</v>
      </c>
      <c r="C861" s="4" t="s">
        <v>7839</v>
      </c>
      <c r="D861" s="4" t="s">
        <v>7840</v>
      </c>
      <c r="E861" s="4" t="s">
        <v>1578</v>
      </c>
      <c r="F861" s="4" t="s">
        <v>5445</v>
      </c>
      <c r="G861" s="4">
        <v>2006</v>
      </c>
      <c r="H861" s="25">
        <v>39004</v>
      </c>
      <c r="K861" s="4" t="s">
        <v>1579</v>
      </c>
    </row>
    <row r="862" spans="1:11" ht="15.75" customHeight="1">
      <c r="A862" s="4">
        <v>11695232</v>
      </c>
      <c r="B862" s="4" t="s">
        <v>7828</v>
      </c>
      <c r="C862" s="4" t="s">
        <v>7829</v>
      </c>
      <c r="D862" s="4" t="s">
        <v>7830</v>
      </c>
      <c r="E862" s="4" t="s">
        <v>2800</v>
      </c>
      <c r="F862" s="4" t="s">
        <v>4954</v>
      </c>
      <c r="G862" s="4">
        <v>2001</v>
      </c>
      <c r="H862" s="25">
        <v>37202</v>
      </c>
    </row>
    <row r="863" spans="1:11" ht="15.75" customHeight="1">
      <c r="A863" s="4">
        <v>27862208</v>
      </c>
      <c r="B863" s="4" t="s">
        <v>7825</v>
      </c>
      <c r="C863" s="4" t="s">
        <v>7826</v>
      </c>
      <c r="D863" s="4" t="s">
        <v>7827</v>
      </c>
      <c r="E863" s="4" t="s">
        <v>3359</v>
      </c>
      <c r="F863" s="4" t="s">
        <v>5163</v>
      </c>
      <c r="G863" s="4">
        <v>2016</v>
      </c>
      <c r="H863" s="25">
        <v>42693</v>
      </c>
      <c r="K863" s="4" t="s">
        <v>3360</v>
      </c>
    </row>
    <row r="864" spans="1:11" ht="15.75" customHeight="1">
      <c r="A864" s="4">
        <v>20070668</v>
      </c>
      <c r="B864" s="4" t="s">
        <v>7783</v>
      </c>
      <c r="C864" s="4" t="s">
        <v>7784</v>
      </c>
      <c r="D864" s="4" t="s">
        <v>7847</v>
      </c>
      <c r="E864" s="4" t="s">
        <v>3695</v>
      </c>
      <c r="F864" s="4" t="s">
        <v>5726</v>
      </c>
      <c r="G864" s="4">
        <v>2009</v>
      </c>
      <c r="H864" s="25">
        <v>40193</v>
      </c>
      <c r="K864" s="4" t="s">
        <v>3702</v>
      </c>
    </row>
    <row r="865" spans="1:11" ht="15.75" customHeight="1">
      <c r="A865" s="4">
        <v>9625030</v>
      </c>
      <c r="B865" s="4" t="s">
        <v>7869</v>
      </c>
      <c r="C865" s="4" t="s">
        <v>7870</v>
      </c>
      <c r="D865" s="4" t="s">
        <v>7871</v>
      </c>
      <c r="E865" s="4" t="s">
        <v>3746</v>
      </c>
      <c r="F865" s="4" t="s">
        <v>5445</v>
      </c>
      <c r="G865" s="4">
        <v>1998</v>
      </c>
      <c r="H865" s="25">
        <v>35959</v>
      </c>
      <c r="K865" s="4" t="s">
        <v>3747</v>
      </c>
    </row>
    <row r="866" spans="1:11" ht="15.75" customHeight="1">
      <c r="A866" s="4">
        <v>8639844</v>
      </c>
      <c r="B866" s="4" t="s">
        <v>7889</v>
      </c>
      <c r="C866" s="4" t="s">
        <v>7890</v>
      </c>
      <c r="D866" s="4" t="s">
        <v>7891</v>
      </c>
      <c r="E866" s="4" t="s">
        <v>2115</v>
      </c>
      <c r="F866" s="4" t="s">
        <v>5343</v>
      </c>
      <c r="G866" s="4">
        <v>1996</v>
      </c>
      <c r="H866" s="25">
        <v>35217</v>
      </c>
    </row>
    <row r="867" spans="1:11" ht="15.75" customHeight="1">
      <c r="A867" s="4">
        <v>8396680</v>
      </c>
      <c r="B867" s="4" t="s">
        <v>7848</v>
      </c>
      <c r="C867" s="4" t="s">
        <v>7849</v>
      </c>
      <c r="D867" s="4" t="s">
        <v>7850</v>
      </c>
      <c r="E867" s="4" t="s">
        <v>4579</v>
      </c>
      <c r="F867" s="4" t="s">
        <v>4891</v>
      </c>
      <c r="G867" s="4">
        <v>1993</v>
      </c>
      <c r="H867" s="25">
        <v>34243</v>
      </c>
      <c r="I867" s="4" t="s">
        <v>7851</v>
      </c>
      <c r="K867" s="4" t="s">
        <v>4585</v>
      </c>
    </row>
    <row r="868" spans="1:11" ht="15.75" customHeight="1">
      <c r="A868" s="4">
        <v>18308510</v>
      </c>
      <c r="B868" s="4" t="s">
        <v>7841</v>
      </c>
      <c r="C868" s="4" t="s">
        <v>7842</v>
      </c>
      <c r="D868" s="4" t="s">
        <v>7843</v>
      </c>
      <c r="E868" s="4" t="s">
        <v>1543</v>
      </c>
      <c r="F868" s="4" t="s">
        <v>7844</v>
      </c>
      <c r="G868" s="4">
        <v>2008</v>
      </c>
      <c r="H868" s="25">
        <v>39508</v>
      </c>
      <c r="I868" s="4" t="s">
        <v>7845</v>
      </c>
      <c r="J868" s="4" t="s">
        <v>7846</v>
      </c>
      <c r="K868" s="4" t="s">
        <v>1550</v>
      </c>
    </row>
    <row r="869" spans="1:11" ht="15.75" customHeight="1">
      <c r="A869" s="4">
        <v>2176675</v>
      </c>
      <c r="B869" s="4" t="s">
        <v>7859</v>
      </c>
      <c r="C869" s="4" t="s">
        <v>7860</v>
      </c>
      <c r="D869" s="4" t="s">
        <v>7861</v>
      </c>
      <c r="E869" s="4" t="s">
        <v>4115</v>
      </c>
      <c r="F869" s="4" t="s">
        <v>4923</v>
      </c>
      <c r="G869" s="4">
        <v>1990</v>
      </c>
      <c r="H869" s="25">
        <v>33086</v>
      </c>
      <c r="K869" s="4" t="s">
        <v>4119</v>
      </c>
    </row>
    <row r="870" spans="1:11" ht="15.75" customHeight="1">
      <c r="A870" s="4">
        <v>28162933</v>
      </c>
      <c r="B870" s="4" t="s">
        <v>7862</v>
      </c>
      <c r="C870" s="4" t="s">
        <v>7863</v>
      </c>
      <c r="D870" s="4" t="s">
        <v>7864</v>
      </c>
      <c r="E870" s="4" t="s">
        <v>1772</v>
      </c>
      <c r="F870" s="4" t="s">
        <v>7865</v>
      </c>
      <c r="G870" s="4">
        <v>2017</v>
      </c>
      <c r="H870" s="25">
        <v>42773</v>
      </c>
      <c r="K870" s="4" t="s">
        <v>1773</v>
      </c>
    </row>
    <row r="871" spans="1:11" ht="15.75" customHeight="1">
      <c r="A871" s="4">
        <v>11498748</v>
      </c>
      <c r="B871" s="4" t="s">
        <v>7892</v>
      </c>
      <c r="C871" s="4" t="s">
        <v>7893</v>
      </c>
      <c r="D871" s="4" t="s">
        <v>7894</v>
      </c>
      <c r="E871" s="4" t="s">
        <v>195</v>
      </c>
      <c r="F871" s="4" t="s">
        <v>4863</v>
      </c>
      <c r="G871" s="4">
        <v>2001</v>
      </c>
      <c r="H871" s="25">
        <v>37114</v>
      </c>
      <c r="K871" s="4" t="s">
        <v>1001</v>
      </c>
    </row>
    <row r="872" spans="1:11" ht="15.75" customHeight="1">
      <c r="A872" s="4">
        <v>12153190</v>
      </c>
      <c r="B872" s="4" t="s">
        <v>7872</v>
      </c>
      <c r="C872" s="4" t="s">
        <v>7873</v>
      </c>
      <c r="D872" s="4" t="s">
        <v>7874</v>
      </c>
      <c r="E872" s="4" t="s">
        <v>4606</v>
      </c>
      <c r="F872" s="4" t="s">
        <v>5099</v>
      </c>
      <c r="G872" s="4">
        <v>2002</v>
      </c>
      <c r="H872" s="25">
        <v>37471</v>
      </c>
      <c r="K872" s="4" t="s">
        <v>4607</v>
      </c>
    </row>
    <row r="873" spans="1:11" ht="15.75" customHeight="1">
      <c r="A873" s="4">
        <v>18818265</v>
      </c>
      <c r="B873" s="4" t="s">
        <v>7453</v>
      </c>
      <c r="C873" s="4" t="s">
        <v>7454</v>
      </c>
      <c r="D873" s="4" t="s">
        <v>7455</v>
      </c>
      <c r="E873" s="4" t="s">
        <v>1693</v>
      </c>
      <c r="F873" s="4" t="s">
        <v>6277</v>
      </c>
      <c r="G873" s="4">
        <v>2009</v>
      </c>
      <c r="H873" s="25">
        <v>39718</v>
      </c>
      <c r="K873" s="4" t="s">
        <v>1698</v>
      </c>
    </row>
    <row r="874" spans="1:11" ht="15.75" customHeight="1">
      <c r="A874" s="4">
        <v>35764288</v>
      </c>
      <c r="B874" s="4" t="s">
        <v>7954</v>
      </c>
      <c r="C874" s="4" t="s">
        <v>7955</v>
      </c>
      <c r="D874" s="4" t="s">
        <v>7956</v>
      </c>
      <c r="E874" s="4" t="s">
        <v>221</v>
      </c>
      <c r="F874" s="4" t="s">
        <v>4876</v>
      </c>
      <c r="G874" s="4">
        <v>2022</v>
      </c>
      <c r="H874" s="25">
        <v>44740</v>
      </c>
      <c r="K874" s="4" t="s">
        <v>637</v>
      </c>
    </row>
    <row r="875" spans="1:11" ht="15.75" customHeight="1">
      <c r="A875" s="4">
        <v>27664550</v>
      </c>
      <c r="B875" s="4" t="s">
        <v>7875</v>
      </c>
      <c r="C875" s="4" t="s">
        <v>7876</v>
      </c>
      <c r="D875" s="4" t="s">
        <v>7877</v>
      </c>
      <c r="E875" s="4" t="s">
        <v>610</v>
      </c>
      <c r="F875" s="4" t="s">
        <v>7878</v>
      </c>
      <c r="G875" s="4">
        <v>2017</v>
      </c>
      <c r="H875" s="25">
        <v>42638</v>
      </c>
      <c r="K875" s="4" t="s">
        <v>611</v>
      </c>
    </row>
    <row r="876" spans="1:11" ht="15.75" customHeight="1">
      <c r="A876" s="4">
        <v>25040797</v>
      </c>
      <c r="B876" s="4" t="s">
        <v>7882</v>
      </c>
      <c r="C876" s="4" t="s">
        <v>7883</v>
      </c>
      <c r="D876" s="4" t="s">
        <v>7884</v>
      </c>
      <c r="E876" s="4" t="s">
        <v>4548</v>
      </c>
      <c r="F876" s="4" t="s">
        <v>4974</v>
      </c>
      <c r="G876" s="4">
        <v>2014</v>
      </c>
      <c r="H876" s="25">
        <v>41842</v>
      </c>
      <c r="K876" s="4" t="s">
        <v>4549</v>
      </c>
    </row>
    <row r="877" spans="1:11" ht="15.75" customHeight="1">
      <c r="A877" s="4">
        <v>37121773</v>
      </c>
      <c r="B877" s="4" t="s">
        <v>7879</v>
      </c>
      <c r="C877" s="4" t="s">
        <v>7880</v>
      </c>
      <c r="D877" s="4" t="s">
        <v>7881</v>
      </c>
      <c r="E877" s="4" t="s">
        <v>2403</v>
      </c>
      <c r="F877" s="4" t="s">
        <v>5047</v>
      </c>
      <c r="G877" s="4">
        <v>2023</v>
      </c>
      <c r="H877" s="25">
        <v>45046</v>
      </c>
      <c r="K877" s="4" t="s">
        <v>2404</v>
      </c>
    </row>
    <row r="878" spans="1:11" ht="15.75" customHeight="1">
      <c r="A878" s="4">
        <v>32017805</v>
      </c>
      <c r="B878" s="4" t="s">
        <v>7930</v>
      </c>
      <c r="C878" s="4" t="s">
        <v>7931</v>
      </c>
      <c r="D878" s="4" t="s">
        <v>7932</v>
      </c>
      <c r="E878" s="4" t="s">
        <v>117</v>
      </c>
      <c r="F878" s="4" t="s">
        <v>4978</v>
      </c>
      <c r="G878" s="4">
        <v>2020</v>
      </c>
      <c r="H878" s="25">
        <v>43866</v>
      </c>
      <c r="I878" s="4" t="s">
        <v>7933</v>
      </c>
      <c r="K878" s="4" t="s">
        <v>328</v>
      </c>
    </row>
    <row r="879" spans="1:11" ht="15.75" customHeight="1">
      <c r="A879" s="4">
        <v>14984492</v>
      </c>
      <c r="B879" s="4" t="s">
        <v>7898</v>
      </c>
      <c r="C879" s="4" t="s">
        <v>6689</v>
      </c>
      <c r="D879" s="4" t="s">
        <v>7899</v>
      </c>
      <c r="E879" s="4" t="s">
        <v>195</v>
      </c>
      <c r="F879" s="4" t="s">
        <v>5211</v>
      </c>
      <c r="G879" s="4">
        <v>2004</v>
      </c>
      <c r="H879" s="25">
        <v>38044</v>
      </c>
      <c r="K879" s="4" t="s">
        <v>4659</v>
      </c>
    </row>
    <row r="880" spans="1:11" ht="15.75" customHeight="1">
      <c r="A880" s="4">
        <v>19120074</v>
      </c>
      <c r="B880" s="4" t="s">
        <v>7927</v>
      </c>
      <c r="C880" s="4" t="s">
        <v>7928</v>
      </c>
      <c r="D880" s="4" t="s">
        <v>7929</v>
      </c>
      <c r="E880" s="4" t="s">
        <v>651</v>
      </c>
      <c r="F880" s="4" t="s">
        <v>5726</v>
      </c>
      <c r="G880" s="4">
        <v>2009</v>
      </c>
      <c r="H880" s="25">
        <v>39819</v>
      </c>
      <c r="K880" s="4" t="s">
        <v>652</v>
      </c>
    </row>
    <row r="881" spans="1:11" ht="15.75" customHeight="1">
      <c r="A881" s="4">
        <v>28596425</v>
      </c>
      <c r="B881" s="4" t="s">
        <v>7885</v>
      </c>
      <c r="C881" s="4" t="s">
        <v>7886</v>
      </c>
      <c r="D881" s="4" t="s">
        <v>7887</v>
      </c>
      <c r="E881" s="4" t="s">
        <v>221</v>
      </c>
      <c r="F881" s="4" t="s">
        <v>5343</v>
      </c>
      <c r="G881" s="4">
        <v>2017</v>
      </c>
      <c r="H881" s="25">
        <v>42896</v>
      </c>
      <c r="I881" s="4" t="s">
        <v>7888</v>
      </c>
      <c r="K881" s="4" t="s">
        <v>639</v>
      </c>
    </row>
    <row r="882" spans="1:11" ht="15.75" customHeight="1">
      <c r="A882" s="4">
        <v>35060253</v>
      </c>
      <c r="B882" s="4" t="s">
        <v>7895</v>
      </c>
      <c r="C882" s="4" t="s">
        <v>7896</v>
      </c>
      <c r="D882" s="4" t="s">
        <v>7897</v>
      </c>
      <c r="E882" s="4" t="s">
        <v>1803</v>
      </c>
      <c r="F882" s="4" t="s">
        <v>4974</v>
      </c>
      <c r="G882" s="4">
        <v>2022</v>
      </c>
      <c r="H882" s="25">
        <v>44582</v>
      </c>
      <c r="K882" s="4" t="s">
        <v>1804</v>
      </c>
    </row>
    <row r="883" spans="1:11" ht="15.75" customHeight="1">
      <c r="A883" s="4">
        <v>10972002</v>
      </c>
      <c r="B883" s="4" t="s">
        <v>7912</v>
      </c>
      <c r="C883" s="4" t="s">
        <v>7913</v>
      </c>
      <c r="D883" s="4" t="s">
        <v>7914</v>
      </c>
      <c r="E883" s="4" t="s">
        <v>1648</v>
      </c>
      <c r="F883" s="4" t="s">
        <v>7915</v>
      </c>
      <c r="G883" s="4">
        <v>1999</v>
      </c>
      <c r="H883" s="25">
        <v>36775</v>
      </c>
    </row>
    <row r="884" spans="1:11" ht="15.75" customHeight="1">
      <c r="A884" s="4">
        <v>21895663</v>
      </c>
      <c r="B884" s="4" t="s">
        <v>7908</v>
      </c>
      <c r="C884" s="4" t="s">
        <v>7909</v>
      </c>
      <c r="D884" s="4" t="s">
        <v>7910</v>
      </c>
      <c r="E884" s="4" t="s">
        <v>4242</v>
      </c>
      <c r="F884" s="4" t="s">
        <v>7911</v>
      </c>
      <c r="G884" s="4">
        <v>2012</v>
      </c>
      <c r="H884" s="25">
        <v>40794</v>
      </c>
      <c r="K884" s="4" t="s">
        <v>4243</v>
      </c>
    </row>
    <row r="885" spans="1:11" ht="15.75" customHeight="1">
      <c r="A885" s="4">
        <v>36372142</v>
      </c>
      <c r="B885" s="4" t="s">
        <v>7904</v>
      </c>
      <c r="C885" s="4" t="s">
        <v>7905</v>
      </c>
      <c r="D885" s="4" t="s">
        <v>7906</v>
      </c>
      <c r="E885" s="4" t="s">
        <v>2130</v>
      </c>
      <c r="F885" s="4" t="s">
        <v>7907</v>
      </c>
      <c r="G885" s="4">
        <v>2023</v>
      </c>
      <c r="H885" s="25">
        <v>44878</v>
      </c>
      <c r="K885" s="4" t="s">
        <v>2131</v>
      </c>
    </row>
    <row r="886" spans="1:11" ht="15.75" customHeight="1">
      <c r="A886" s="4">
        <v>25309913</v>
      </c>
      <c r="B886" s="4" t="s">
        <v>7916</v>
      </c>
      <c r="C886" s="4" t="s">
        <v>7917</v>
      </c>
      <c r="D886" s="4" t="s">
        <v>7918</v>
      </c>
      <c r="E886" s="4" t="s">
        <v>751</v>
      </c>
      <c r="F886" s="4" t="s">
        <v>7919</v>
      </c>
      <c r="G886" s="4">
        <v>2014</v>
      </c>
      <c r="H886" s="25">
        <v>41926</v>
      </c>
      <c r="I886" s="4" t="s">
        <v>7920</v>
      </c>
      <c r="K886" s="4" t="s">
        <v>752</v>
      </c>
    </row>
    <row r="887" spans="1:11" ht="15.75" customHeight="1">
      <c r="A887" s="4">
        <v>17053315</v>
      </c>
      <c r="B887" s="4" t="s">
        <v>7947</v>
      </c>
      <c r="C887" s="4" t="s">
        <v>7948</v>
      </c>
      <c r="D887" s="4" t="s">
        <v>7949</v>
      </c>
      <c r="E887" s="4" t="s">
        <v>4414</v>
      </c>
      <c r="F887" s="4" t="s">
        <v>5163</v>
      </c>
      <c r="G887" s="4">
        <v>2006</v>
      </c>
      <c r="H887" s="25">
        <v>39011</v>
      </c>
      <c r="K887" s="4" t="s">
        <v>4417</v>
      </c>
    </row>
    <row r="888" spans="1:11" ht="15.75" customHeight="1">
      <c r="A888" s="4">
        <v>12829600</v>
      </c>
      <c r="B888" s="4" t="s">
        <v>7924</v>
      </c>
      <c r="C888" s="4" t="s">
        <v>7925</v>
      </c>
      <c r="D888" s="4" t="s">
        <v>7926</v>
      </c>
      <c r="E888" s="4" t="s">
        <v>4064</v>
      </c>
      <c r="F888" s="4" t="s">
        <v>5343</v>
      </c>
      <c r="G888" s="4">
        <v>2003</v>
      </c>
      <c r="H888" s="25">
        <v>37800</v>
      </c>
      <c r="K888" s="4" t="s">
        <v>4065</v>
      </c>
    </row>
    <row r="889" spans="1:11" ht="15.75" customHeight="1">
      <c r="A889" s="4">
        <v>24132547</v>
      </c>
      <c r="B889" s="4" t="s">
        <v>7921</v>
      </c>
      <c r="C889" s="4" t="s">
        <v>7922</v>
      </c>
      <c r="D889" s="4" t="s">
        <v>7923</v>
      </c>
      <c r="E889" s="4" t="s">
        <v>686</v>
      </c>
      <c r="F889" s="4" t="s">
        <v>4923</v>
      </c>
      <c r="G889" s="4">
        <v>2014</v>
      </c>
      <c r="H889" s="25">
        <v>41565</v>
      </c>
      <c r="K889" s="4" t="s">
        <v>2658</v>
      </c>
    </row>
    <row r="890" spans="1:11" ht="15.75" customHeight="1">
      <c r="A890" s="4">
        <v>1846951</v>
      </c>
      <c r="B890" s="4" t="s">
        <v>7617</v>
      </c>
      <c r="C890" s="4" t="s">
        <v>7618</v>
      </c>
      <c r="D890" s="4" t="s">
        <v>7619</v>
      </c>
      <c r="E890" s="4" t="s">
        <v>3041</v>
      </c>
      <c r="F890" s="4" t="s">
        <v>4813</v>
      </c>
      <c r="G890" s="4">
        <v>1991</v>
      </c>
      <c r="H890" s="25">
        <v>33276</v>
      </c>
      <c r="K890" s="4" t="s">
        <v>3055</v>
      </c>
    </row>
    <row r="891" spans="1:11" ht="15.75" customHeight="1">
      <c r="A891" s="4">
        <v>28954348</v>
      </c>
      <c r="B891" s="4" t="s">
        <v>7937</v>
      </c>
      <c r="C891" s="4" t="s">
        <v>7938</v>
      </c>
      <c r="D891" s="4" t="s">
        <v>7939</v>
      </c>
      <c r="E891" s="4" t="s">
        <v>131</v>
      </c>
      <c r="F891" s="4" t="s">
        <v>5874</v>
      </c>
      <c r="G891" s="4">
        <v>2017</v>
      </c>
      <c r="H891" s="25">
        <v>43006</v>
      </c>
      <c r="I891" s="4" t="s">
        <v>7940</v>
      </c>
      <c r="K891" s="4" t="s">
        <v>2276</v>
      </c>
    </row>
    <row r="892" spans="1:11" ht="15.75" customHeight="1">
      <c r="A892" s="4">
        <v>10918408</v>
      </c>
      <c r="B892" s="4" t="s">
        <v>7966</v>
      </c>
      <c r="C892" s="4" t="s">
        <v>7967</v>
      </c>
      <c r="D892" s="4" t="s">
        <v>7968</v>
      </c>
      <c r="E892" s="4" t="s">
        <v>912</v>
      </c>
      <c r="F892" s="4" t="s">
        <v>4863</v>
      </c>
      <c r="G892" s="4">
        <v>2000</v>
      </c>
      <c r="H892" s="25">
        <v>36743</v>
      </c>
      <c r="K892" s="4" t="s">
        <v>913</v>
      </c>
    </row>
    <row r="893" spans="1:11" ht="15.75" customHeight="1">
      <c r="A893" s="4">
        <v>11332675</v>
      </c>
      <c r="B893" s="4" t="s">
        <v>7934</v>
      </c>
      <c r="C893" s="4" t="s">
        <v>7935</v>
      </c>
      <c r="D893" s="4" t="s">
        <v>7936</v>
      </c>
      <c r="E893" s="4" t="s">
        <v>3441</v>
      </c>
      <c r="F893" s="4" t="s">
        <v>5982</v>
      </c>
      <c r="G893" s="4">
        <v>2001</v>
      </c>
      <c r="H893" s="25">
        <v>37014</v>
      </c>
      <c r="K893" s="4" t="s">
        <v>3448</v>
      </c>
    </row>
    <row r="894" spans="1:11" ht="15.75" customHeight="1">
      <c r="A894" s="4">
        <v>10995927</v>
      </c>
      <c r="B894" s="4" t="s">
        <v>7944</v>
      </c>
      <c r="C894" s="4" t="s">
        <v>7945</v>
      </c>
      <c r="D894" s="4" t="s">
        <v>7946</v>
      </c>
      <c r="E894" s="4" t="s">
        <v>1928</v>
      </c>
      <c r="F894" s="4" t="s">
        <v>5696</v>
      </c>
      <c r="G894" s="4">
        <v>2000</v>
      </c>
      <c r="H894" s="25">
        <v>36790</v>
      </c>
      <c r="K894" s="4" t="s">
        <v>1929</v>
      </c>
    </row>
    <row r="895" spans="1:11" ht="15.75" customHeight="1">
      <c r="A895" s="4">
        <v>8212852</v>
      </c>
      <c r="B895" s="4" t="s">
        <v>7941</v>
      </c>
      <c r="C895" s="4" t="s">
        <v>7942</v>
      </c>
      <c r="D895" s="4" t="s">
        <v>7943</v>
      </c>
      <c r="E895" s="4" t="s">
        <v>1459</v>
      </c>
      <c r="F895" s="4" t="s">
        <v>5122</v>
      </c>
      <c r="G895" s="4">
        <v>1993</v>
      </c>
      <c r="H895" s="25">
        <v>34151</v>
      </c>
      <c r="K895" s="4" t="s">
        <v>1461</v>
      </c>
    </row>
    <row r="896" spans="1:11" ht="15.75" customHeight="1">
      <c r="A896" s="4">
        <v>8947298</v>
      </c>
      <c r="B896" s="4" t="s">
        <v>7957</v>
      </c>
      <c r="C896" s="4" t="s">
        <v>7958</v>
      </c>
      <c r="D896" s="4" t="s">
        <v>7959</v>
      </c>
      <c r="E896" s="4" t="s">
        <v>1654</v>
      </c>
      <c r="F896" s="4" t="s">
        <v>5433</v>
      </c>
      <c r="G896" s="4">
        <v>1996</v>
      </c>
      <c r="H896" s="25">
        <v>35389</v>
      </c>
      <c r="K896" s="4" t="s">
        <v>1659</v>
      </c>
    </row>
    <row r="897" spans="1:11" ht="15.75" customHeight="1">
      <c r="A897" s="4">
        <v>28207973</v>
      </c>
      <c r="B897" s="4" t="s">
        <v>7974</v>
      </c>
      <c r="C897" s="4" t="s">
        <v>7975</v>
      </c>
      <c r="D897" s="4" t="s">
        <v>7976</v>
      </c>
      <c r="E897" s="4" t="s">
        <v>745</v>
      </c>
      <c r="F897" s="4" t="s">
        <v>4974</v>
      </c>
      <c r="G897" s="4">
        <v>2017</v>
      </c>
      <c r="H897" s="25">
        <v>42783</v>
      </c>
      <c r="K897" s="4" t="s">
        <v>746</v>
      </c>
    </row>
    <row r="898" spans="1:11" ht="15.75" customHeight="1">
      <c r="A898" s="4">
        <v>22691524</v>
      </c>
      <c r="B898" s="4" t="s">
        <v>7950</v>
      </c>
      <c r="C898" s="4" t="s">
        <v>7951</v>
      </c>
      <c r="D898" s="4" t="s">
        <v>7952</v>
      </c>
      <c r="E898" s="4" t="s">
        <v>2446</v>
      </c>
      <c r="F898" s="4" t="s">
        <v>7953</v>
      </c>
      <c r="G898" s="4">
        <v>2012</v>
      </c>
      <c r="H898" s="25">
        <v>41074</v>
      </c>
      <c r="K898" s="4" t="s">
        <v>2447</v>
      </c>
    </row>
    <row r="899" spans="1:11" ht="15.75" customHeight="1">
      <c r="A899" s="4">
        <v>32028025</v>
      </c>
      <c r="B899" s="4" t="s">
        <v>7960</v>
      </c>
      <c r="C899" s="4" t="s">
        <v>7961</v>
      </c>
      <c r="D899" s="4" t="s">
        <v>7962</v>
      </c>
      <c r="E899" s="4" t="s">
        <v>4349</v>
      </c>
      <c r="F899" s="4" t="s">
        <v>5076</v>
      </c>
      <c r="G899" s="4">
        <v>2020</v>
      </c>
      <c r="H899" s="25">
        <v>43868</v>
      </c>
      <c r="K899" s="4" t="s">
        <v>4350</v>
      </c>
    </row>
    <row r="900" spans="1:11" ht="15.75" customHeight="1">
      <c r="A900" s="4">
        <v>17234516</v>
      </c>
      <c r="B900" s="4" t="s">
        <v>7992</v>
      </c>
      <c r="C900" s="4" t="s">
        <v>7993</v>
      </c>
      <c r="D900" s="4" t="s">
        <v>7994</v>
      </c>
      <c r="E900" s="4" t="s">
        <v>2917</v>
      </c>
      <c r="F900" s="4" t="s">
        <v>7865</v>
      </c>
      <c r="G900" s="4">
        <v>2007</v>
      </c>
      <c r="H900" s="25">
        <v>39102</v>
      </c>
      <c r="K900" s="4" t="s">
        <v>2918</v>
      </c>
    </row>
    <row r="901" spans="1:11" ht="15.75" customHeight="1">
      <c r="A901" s="4">
        <v>11303272</v>
      </c>
      <c r="B901" s="4" t="s">
        <v>7963</v>
      </c>
      <c r="C901" s="4" t="s">
        <v>7964</v>
      </c>
      <c r="D901" s="4" t="s">
        <v>7965</v>
      </c>
      <c r="E901" s="4" t="s">
        <v>1958</v>
      </c>
      <c r="F901" s="4" t="s">
        <v>5080</v>
      </c>
      <c r="G901" s="4">
        <v>2001</v>
      </c>
      <c r="H901" s="25">
        <v>36998</v>
      </c>
      <c r="K901" s="4" t="s">
        <v>1959</v>
      </c>
    </row>
    <row r="902" spans="1:11" ht="15.75" customHeight="1">
      <c r="A902" s="4">
        <v>1337563</v>
      </c>
      <c r="B902" s="4" t="s">
        <v>7995</v>
      </c>
      <c r="C902" s="4" t="s">
        <v>7996</v>
      </c>
      <c r="D902" s="4" t="s">
        <v>7997</v>
      </c>
      <c r="E902" s="4" t="s">
        <v>2632</v>
      </c>
      <c r="F902" s="4" t="s">
        <v>5031</v>
      </c>
      <c r="G902" s="4">
        <v>1992</v>
      </c>
      <c r="H902" s="25">
        <v>33909</v>
      </c>
    </row>
    <row r="903" spans="1:11" ht="15.75" customHeight="1">
      <c r="A903" s="4">
        <v>17110691</v>
      </c>
      <c r="B903" s="4" t="s">
        <v>7998</v>
      </c>
      <c r="C903" s="4" t="s">
        <v>7999</v>
      </c>
      <c r="D903" s="4" t="s">
        <v>8000</v>
      </c>
      <c r="E903" s="4" t="s">
        <v>789</v>
      </c>
      <c r="F903" s="4" t="s">
        <v>8001</v>
      </c>
      <c r="G903" s="4">
        <v>2006</v>
      </c>
      <c r="H903" s="25">
        <v>39039</v>
      </c>
      <c r="I903" s="4" t="s">
        <v>8002</v>
      </c>
    </row>
    <row r="904" spans="1:11" ht="15.75" customHeight="1">
      <c r="A904" s="4">
        <v>22862952</v>
      </c>
      <c r="B904" s="4" t="s">
        <v>7971</v>
      </c>
      <c r="C904" s="4" t="s">
        <v>7972</v>
      </c>
      <c r="D904" s="4" t="s">
        <v>7973</v>
      </c>
      <c r="E904" s="4" t="s">
        <v>1987</v>
      </c>
      <c r="F904" s="4" t="s">
        <v>4974</v>
      </c>
      <c r="G904" s="4">
        <v>2012</v>
      </c>
      <c r="H904" s="25">
        <v>41128</v>
      </c>
      <c r="K904" s="4" t="s">
        <v>1988</v>
      </c>
    </row>
    <row r="905" spans="1:11" ht="15.75" customHeight="1">
      <c r="A905" s="4">
        <v>9630332</v>
      </c>
      <c r="B905" s="4" t="s">
        <v>7969</v>
      </c>
      <c r="C905" s="4" t="s">
        <v>7324</v>
      </c>
      <c r="D905" s="4" t="s">
        <v>7970</v>
      </c>
      <c r="E905" s="4" t="s">
        <v>249</v>
      </c>
      <c r="F905" s="4" t="s">
        <v>4863</v>
      </c>
      <c r="G905" s="4">
        <v>1998</v>
      </c>
      <c r="H905" s="25">
        <v>35964</v>
      </c>
    </row>
    <row r="906" spans="1:11" ht="15.75" customHeight="1">
      <c r="A906" s="4">
        <v>15667619</v>
      </c>
      <c r="B906" s="4" t="s">
        <v>7977</v>
      </c>
      <c r="C906" s="4" t="s">
        <v>7978</v>
      </c>
      <c r="D906" s="4" t="s">
        <v>7979</v>
      </c>
      <c r="E906" s="4" t="s">
        <v>1633</v>
      </c>
      <c r="F906" s="4" t="s">
        <v>5543</v>
      </c>
      <c r="G906" s="4">
        <v>2005</v>
      </c>
      <c r="H906" s="25">
        <v>38378</v>
      </c>
      <c r="K906" s="4" t="s">
        <v>1634</v>
      </c>
    </row>
    <row r="907" spans="1:11" ht="15.75" customHeight="1">
      <c r="A907" s="4">
        <v>15151761</v>
      </c>
      <c r="B907" s="4" t="s">
        <v>7980</v>
      </c>
      <c r="C907" s="4" t="s">
        <v>7981</v>
      </c>
      <c r="D907" s="4" t="s">
        <v>7982</v>
      </c>
      <c r="E907" s="4" t="s">
        <v>2983</v>
      </c>
      <c r="F907" s="4" t="s">
        <v>7983</v>
      </c>
      <c r="G907" s="4">
        <v>2003</v>
      </c>
      <c r="H907" s="25">
        <v>38128</v>
      </c>
    </row>
    <row r="908" spans="1:11" ht="15.75" customHeight="1">
      <c r="A908" s="4">
        <v>22971937</v>
      </c>
      <c r="B908" s="4" t="s">
        <v>8007</v>
      </c>
      <c r="C908" s="4" t="s">
        <v>8008</v>
      </c>
      <c r="D908" s="4" t="s">
        <v>8009</v>
      </c>
      <c r="E908" s="4" t="s">
        <v>2379</v>
      </c>
      <c r="F908" s="4" t="s">
        <v>5271</v>
      </c>
      <c r="G908" s="4">
        <v>2013</v>
      </c>
      <c r="H908" s="25">
        <v>41166</v>
      </c>
      <c r="K908" s="4" t="s">
        <v>2380</v>
      </c>
    </row>
    <row r="909" spans="1:11" ht="15.75" customHeight="1">
      <c r="A909" s="4">
        <v>23354300</v>
      </c>
      <c r="B909" s="4" t="s">
        <v>7984</v>
      </c>
      <c r="C909" s="4" t="s">
        <v>7985</v>
      </c>
      <c r="D909" s="4" t="s">
        <v>7986</v>
      </c>
      <c r="E909" s="4" t="s">
        <v>3017</v>
      </c>
      <c r="F909" s="4" t="s">
        <v>5445</v>
      </c>
      <c r="G909" s="4">
        <v>2013</v>
      </c>
      <c r="H909" s="25">
        <v>41303</v>
      </c>
      <c r="K909" s="4" t="s">
        <v>3018</v>
      </c>
    </row>
    <row r="910" spans="1:11" ht="15.75" customHeight="1">
      <c r="A910" s="4">
        <v>28051106</v>
      </c>
      <c r="B910" s="4" t="s">
        <v>8053</v>
      </c>
      <c r="C910" s="4" t="s">
        <v>8054</v>
      </c>
      <c r="D910" s="4" t="s">
        <v>8055</v>
      </c>
      <c r="E910" s="4" t="s">
        <v>3873</v>
      </c>
      <c r="F910" s="4" t="s">
        <v>5043</v>
      </c>
      <c r="G910" s="4">
        <v>2017</v>
      </c>
      <c r="H910" s="25">
        <v>42740</v>
      </c>
      <c r="I910" s="4" t="s">
        <v>8056</v>
      </c>
      <c r="K910" s="4" t="s">
        <v>3874</v>
      </c>
    </row>
    <row r="911" spans="1:11" ht="15.75" customHeight="1">
      <c r="A911" s="4">
        <v>34790199</v>
      </c>
      <c r="B911" s="4" t="s">
        <v>8003</v>
      </c>
      <c r="C911" s="4" t="s">
        <v>8004</v>
      </c>
      <c r="D911" s="4" t="s">
        <v>8005</v>
      </c>
      <c r="E911" s="4" t="s">
        <v>3173</v>
      </c>
      <c r="F911" s="4" t="s">
        <v>4912</v>
      </c>
      <c r="G911" s="4">
        <v>2021</v>
      </c>
      <c r="H911" s="25">
        <v>44518</v>
      </c>
      <c r="I911" s="4" t="s">
        <v>8006</v>
      </c>
      <c r="K911" s="4" t="s">
        <v>3174</v>
      </c>
    </row>
    <row r="912" spans="1:11" ht="15.75" customHeight="1">
      <c r="A912" s="4">
        <v>8091661</v>
      </c>
      <c r="B912" s="4" t="s">
        <v>8017</v>
      </c>
      <c r="C912" s="4" t="s">
        <v>8018</v>
      </c>
      <c r="D912" s="4" t="s">
        <v>8019</v>
      </c>
      <c r="E912" s="4" t="s">
        <v>4247</v>
      </c>
      <c r="F912" s="4" t="s">
        <v>4950</v>
      </c>
      <c r="G912" s="4">
        <v>1994</v>
      </c>
      <c r="H912" s="25">
        <v>34608</v>
      </c>
      <c r="K912" s="4" t="s">
        <v>4248</v>
      </c>
    </row>
    <row r="913" spans="1:11" ht="15.75" customHeight="1">
      <c r="A913" s="4">
        <v>19790143</v>
      </c>
      <c r="B913" s="4" t="s">
        <v>8020</v>
      </c>
      <c r="C913" s="4" t="s">
        <v>8021</v>
      </c>
      <c r="D913" s="4" t="s">
        <v>8022</v>
      </c>
      <c r="E913" s="4" t="s">
        <v>4363</v>
      </c>
      <c r="F913" s="4" t="s">
        <v>5295</v>
      </c>
      <c r="G913" s="4">
        <v>2009</v>
      </c>
      <c r="H913" s="25">
        <v>40087</v>
      </c>
      <c r="K913" s="4" t="s">
        <v>4366</v>
      </c>
    </row>
    <row r="914" spans="1:11" ht="15.75" customHeight="1">
      <c r="A914" s="4">
        <v>19907110</v>
      </c>
      <c r="B914" s="4" t="s">
        <v>8010</v>
      </c>
      <c r="C914" s="4" t="s">
        <v>4968</v>
      </c>
      <c r="D914" s="4" t="s">
        <v>8011</v>
      </c>
      <c r="E914" s="4" t="s">
        <v>151</v>
      </c>
      <c r="F914" s="4" t="s">
        <v>8012</v>
      </c>
      <c r="G914" s="4">
        <v>2009</v>
      </c>
      <c r="H914" s="25">
        <v>40130</v>
      </c>
      <c r="K914" s="4" t="s">
        <v>3430</v>
      </c>
    </row>
    <row r="915" spans="1:11" ht="15.75" customHeight="1">
      <c r="A915" s="4">
        <v>17867305</v>
      </c>
      <c r="B915" s="4" t="s">
        <v>8026</v>
      </c>
      <c r="C915" s="4" t="s">
        <v>8027</v>
      </c>
      <c r="D915" s="4" t="s">
        <v>8028</v>
      </c>
      <c r="E915" s="4" t="s">
        <v>2479</v>
      </c>
      <c r="F915" s="4" t="s">
        <v>5047</v>
      </c>
      <c r="G915" s="4">
        <v>2007</v>
      </c>
      <c r="H915" s="25">
        <v>39343</v>
      </c>
    </row>
    <row r="916" spans="1:11" ht="15.75" customHeight="1">
      <c r="A916" s="4">
        <v>8770508</v>
      </c>
      <c r="B916" s="4" t="s">
        <v>8013</v>
      </c>
      <c r="C916" s="4" t="s">
        <v>8014</v>
      </c>
      <c r="D916" s="4" t="s">
        <v>8015</v>
      </c>
      <c r="E916" s="4" t="s">
        <v>1341</v>
      </c>
      <c r="F916" s="4" t="s">
        <v>7605</v>
      </c>
      <c r="G916" s="4">
        <v>1996</v>
      </c>
      <c r="H916" s="25">
        <v>35065</v>
      </c>
      <c r="I916" s="4" t="s">
        <v>8016</v>
      </c>
      <c r="K916" s="4" t="s">
        <v>1344</v>
      </c>
    </row>
    <row r="917" spans="1:11" ht="15.75" customHeight="1">
      <c r="A917" s="4">
        <v>30875143</v>
      </c>
      <c r="B917" s="4" t="s">
        <v>8047</v>
      </c>
      <c r="C917" s="4" t="s">
        <v>8048</v>
      </c>
      <c r="D917" s="4" t="s">
        <v>8049</v>
      </c>
      <c r="E917" s="4" t="s">
        <v>915</v>
      </c>
      <c r="F917" s="4" t="s">
        <v>4974</v>
      </c>
      <c r="G917" s="4">
        <v>2019</v>
      </c>
      <c r="H917" s="25">
        <v>43540</v>
      </c>
      <c r="K917" s="4" t="s">
        <v>916</v>
      </c>
    </row>
    <row r="918" spans="1:11" ht="15.75" customHeight="1">
      <c r="A918" s="4">
        <v>33587431</v>
      </c>
      <c r="B918" s="4" t="s">
        <v>8023</v>
      </c>
      <c r="C918" s="4" t="s">
        <v>8024</v>
      </c>
      <c r="D918" s="4" t="s">
        <v>8025</v>
      </c>
      <c r="E918" s="4" t="s">
        <v>4017</v>
      </c>
      <c r="F918" s="4" t="s">
        <v>5445</v>
      </c>
      <c r="G918" s="4">
        <v>2021</v>
      </c>
      <c r="H918" s="25">
        <v>44242</v>
      </c>
      <c r="K918" s="4" t="s">
        <v>4031</v>
      </c>
    </row>
    <row r="919" spans="1:11" ht="15.75" customHeight="1">
      <c r="A919" s="4">
        <v>16363745</v>
      </c>
      <c r="B919" s="4" t="s">
        <v>8029</v>
      </c>
      <c r="C919" s="4" t="s">
        <v>8030</v>
      </c>
      <c r="D919" s="4" t="s">
        <v>8031</v>
      </c>
      <c r="E919" s="4" t="s">
        <v>4459</v>
      </c>
      <c r="F919" s="4" t="s">
        <v>8032</v>
      </c>
      <c r="G919" s="4">
        <v>2005</v>
      </c>
      <c r="H919" s="25">
        <v>38707</v>
      </c>
      <c r="K919" s="4" t="s">
        <v>4460</v>
      </c>
    </row>
    <row r="920" spans="1:11" ht="15.75" customHeight="1">
      <c r="A920" s="4">
        <v>10401640</v>
      </c>
      <c r="B920" s="4" t="s">
        <v>8033</v>
      </c>
      <c r="C920" s="4" t="s">
        <v>8034</v>
      </c>
      <c r="D920" s="4" t="s">
        <v>8035</v>
      </c>
      <c r="E920" s="4" t="s">
        <v>2609</v>
      </c>
      <c r="F920" s="4" t="s">
        <v>8036</v>
      </c>
      <c r="G920" s="4">
        <v>1999</v>
      </c>
      <c r="H920" s="25">
        <v>36354</v>
      </c>
      <c r="K920" s="4" t="s">
        <v>2610</v>
      </c>
    </row>
    <row r="921" spans="1:11" ht="15.75" customHeight="1">
      <c r="A921" s="4">
        <v>12581322</v>
      </c>
      <c r="B921" s="4" t="s">
        <v>8061</v>
      </c>
      <c r="C921" s="4" t="s">
        <v>6689</v>
      </c>
      <c r="D921" s="4" t="s">
        <v>8062</v>
      </c>
      <c r="E921" s="4" t="s">
        <v>195</v>
      </c>
      <c r="F921" s="4" t="s">
        <v>5543</v>
      </c>
      <c r="G921" s="4">
        <v>2003</v>
      </c>
      <c r="H921" s="25">
        <v>37665</v>
      </c>
      <c r="K921" s="4" t="s">
        <v>4661</v>
      </c>
    </row>
    <row r="922" spans="1:11" ht="15.75" customHeight="1">
      <c r="A922" s="4">
        <v>30026111</v>
      </c>
      <c r="B922" s="4" t="s">
        <v>8037</v>
      </c>
      <c r="C922" s="4" t="s">
        <v>8038</v>
      </c>
      <c r="D922" s="4" t="s">
        <v>8039</v>
      </c>
      <c r="E922" s="4" t="s">
        <v>1006</v>
      </c>
      <c r="F922" s="4" t="s">
        <v>5076</v>
      </c>
      <c r="G922" s="4">
        <v>2018</v>
      </c>
      <c r="H922" s="25">
        <v>43302</v>
      </c>
      <c r="K922" s="4" t="s">
        <v>1007</v>
      </c>
    </row>
    <row r="923" spans="1:11" ht="15.75" customHeight="1">
      <c r="A923" s="4">
        <v>16611785</v>
      </c>
      <c r="B923" s="4" t="s">
        <v>8043</v>
      </c>
      <c r="C923" s="4" t="s">
        <v>8044</v>
      </c>
      <c r="D923" s="4" t="s">
        <v>8045</v>
      </c>
      <c r="E923" s="4" t="s">
        <v>2199</v>
      </c>
      <c r="F923" s="4" t="s">
        <v>8001</v>
      </c>
      <c r="G923" s="4">
        <v>2006</v>
      </c>
      <c r="H923" s="25">
        <v>38821</v>
      </c>
      <c r="I923" s="4" t="s">
        <v>8046</v>
      </c>
    </row>
    <row r="924" spans="1:11" ht="15.75" customHeight="1">
      <c r="A924" s="4">
        <v>24384048</v>
      </c>
      <c r="B924" s="4" t="s">
        <v>8040</v>
      </c>
      <c r="C924" s="4" t="s">
        <v>8041</v>
      </c>
      <c r="D924" s="4" t="s">
        <v>8042</v>
      </c>
      <c r="E924" s="4" t="s">
        <v>1140</v>
      </c>
      <c r="F924" s="4" t="s">
        <v>5543</v>
      </c>
      <c r="G924" s="4">
        <v>2014</v>
      </c>
      <c r="H924" s="25">
        <v>41643</v>
      </c>
      <c r="K924" s="4" t="s">
        <v>1141</v>
      </c>
    </row>
    <row r="925" spans="1:11" ht="15.75" customHeight="1">
      <c r="A925" s="4">
        <v>12515195</v>
      </c>
      <c r="B925" s="4" t="s">
        <v>8050</v>
      </c>
      <c r="C925" s="4" t="s">
        <v>8051</v>
      </c>
      <c r="D925" s="4" t="s">
        <v>8052</v>
      </c>
      <c r="E925" s="4" t="s">
        <v>2940</v>
      </c>
      <c r="F925" s="4" t="s">
        <v>6496</v>
      </c>
      <c r="G925" s="4">
        <v>1998</v>
      </c>
      <c r="H925" s="25">
        <v>37629</v>
      </c>
    </row>
    <row r="926" spans="1:11" ht="15.75" customHeight="1">
      <c r="A926" s="4">
        <v>11112030</v>
      </c>
      <c r="B926" s="4" t="s">
        <v>8088</v>
      </c>
      <c r="C926" s="4" t="s">
        <v>8089</v>
      </c>
      <c r="D926" s="4" t="s">
        <v>8090</v>
      </c>
      <c r="E926" s="4" t="s">
        <v>2875</v>
      </c>
      <c r="F926" s="4" t="s">
        <v>4900</v>
      </c>
      <c r="G926" s="4">
        <v>2000</v>
      </c>
      <c r="H926" s="25">
        <v>36869</v>
      </c>
      <c r="K926" s="4" t="s">
        <v>2882</v>
      </c>
    </row>
    <row r="927" spans="1:11" ht="15.75" customHeight="1">
      <c r="A927" s="4">
        <v>19297473</v>
      </c>
      <c r="B927" s="4" t="s">
        <v>8067</v>
      </c>
      <c r="C927" s="4" t="s">
        <v>8068</v>
      </c>
      <c r="D927" s="4" t="s">
        <v>8069</v>
      </c>
      <c r="E927" s="4" t="s">
        <v>2244</v>
      </c>
      <c r="F927" s="4" t="s">
        <v>4891</v>
      </c>
      <c r="G927" s="4">
        <v>2009</v>
      </c>
      <c r="H927" s="25">
        <v>39892</v>
      </c>
      <c r="I927" s="4" t="s">
        <v>8070</v>
      </c>
      <c r="K927" s="4" t="s">
        <v>2245</v>
      </c>
    </row>
    <row r="928" spans="1:11" ht="15.75" customHeight="1">
      <c r="A928" s="4">
        <v>21282374</v>
      </c>
      <c r="B928" s="4" t="s">
        <v>8084</v>
      </c>
      <c r="C928" s="4" t="s">
        <v>8085</v>
      </c>
      <c r="D928" s="4" t="s">
        <v>8086</v>
      </c>
      <c r="E928" s="4" t="s">
        <v>1164</v>
      </c>
      <c r="F928" s="4" t="s">
        <v>8087</v>
      </c>
      <c r="G928" s="4">
        <v>2011</v>
      </c>
      <c r="H928" s="25">
        <v>40576</v>
      </c>
      <c r="K928" s="4" t="s">
        <v>1165</v>
      </c>
    </row>
    <row r="929" spans="1:11" ht="15.75" customHeight="1">
      <c r="A929" s="4">
        <v>12149755</v>
      </c>
      <c r="B929" s="4" t="s">
        <v>8077</v>
      </c>
      <c r="C929" s="4" t="s">
        <v>8078</v>
      </c>
      <c r="D929" s="4" t="s">
        <v>8079</v>
      </c>
      <c r="E929" s="4" t="s">
        <v>3695</v>
      </c>
      <c r="F929" s="4" t="s">
        <v>5295</v>
      </c>
      <c r="G929" s="4">
        <v>2002</v>
      </c>
      <c r="H929" s="25">
        <v>37469</v>
      </c>
      <c r="K929" s="4" t="s">
        <v>3704</v>
      </c>
    </row>
    <row r="930" spans="1:11" ht="15.75" customHeight="1">
      <c r="A930" s="4">
        <v>24011959</v>
      </c>
      <c r="B930" s="4" t="s">
        <v>8057</v>
      </c>
      <c r="C930" s="4" t="s">
        <v>8058</v>
      </c>
      <c r="D930" s="4" t="s">
        <v>8059</v>
      </c>
      <c r="E930" s="4" t="s">
        <v>1838</v>
      </c>
      <c r="F930" s="4" t="s">
        <v>8060</v>
      </c>
      <c r="G930" s="4">
        <v>2013</v>
      </c>
      <c r="H930" s="25">
        <v>41527</v>
      </c>
      <c r="K930" s="4" t="s">
        <v>1839</v>
      </c>
    </row>
    <row r="931" spans="1:11" ht="15.75" customHeight="1">
      <c r="A931" s="4">
        <v>14987992</v>
      </c>
      <c r="B931" s="4" t="s">
        <v>8080</v>
      </c>
      <c r="C931" s="4" t="s">
        <v>8081</v>
      </c>
      <c r="D931" s="4" t="s">
        <v>8082</v>
      </c>
      <c r="E931" s="4" t="s">
        <v>1788</v>
      </c>
      <c r="F931" s="4" t="s">
        <v>8083</v>
      </c>
      <c r="G931" s="4">
        <v>2004</v>
      </c>
      <c r="H931" s="25">
        <v>38045</v>
      </c>
      <c r="K931" s="4" t="s">
        <v>1795</v>
      </c>
    </row>
    <row r="932" spans="1:11" ht="15.75" customHeight="1">
      <c r="A932" s="4">
        <v>12628547</v>
      </c>
      <c r="B932" s="4" t="s">
        <v>8063</v>
      </c>
      <c r="C932" s="4" t="s">
        <v>8064</v>
      </c>
      <c r="D932" s="4" t="s">
        <v>8065</v>
      </c>
      <c r="E932" s="4" t="s">
        <v>3508</v>
      </c>
      <c r="F932" s="4" t="s">
        <v>8066</v>
      </c>
      <c r="G932" s="4">
        <v>2003</v>
      </c>
      <c r="H932" s="25">
        <v>37692</v>
      </c>
      <c r="K932" s="4" t="s">
        <v>3509</v>
      </c>
    </row>
    <row r="933" spans="1:11" ht="15.75" customHeight="1">
      <c r="A933" s="4">
        <v>2177773</v>
      </c>
      <c r="B933" s="4" t="s">
        <v>8100</v>
      </c>
      <c r="C933" s="4" t="s">
        <v>8101</v>
      </c>
      <c r="D933" s="4" t="s">
        <v>8102</v>
      </c>
      <c r="E933" s="4" t="s">
        <v>465</v>
      </c>
      <c r="F933" s="4" t="s">
        <v>4923</v>
      </c>
      <c r="G933" s="4">
        <v>1990</v>
      </c>
      <c r="H933" s="25">
        <v>33147</v>
      </c>
      <c r="K933" s="4" t="s">
        <v>1221</v>
      </c>
    </row>
    <row r="934" spans="1:11" ht="15.75" customHeight="1">
      <c r="A934" s="4">
        <v>7712236</v>
      </c>
      <c r="B934" s="4" t="s">
        <v>8071</v>
      </c>
      <c r="C934" s="4" t="s">
        <v>6073</v>
      </c>
      <c r="D934" s="4" t="s">
        <v>8072</v>
      </c>
      <c r="E934" s="4" t="s">
        <v>2724</v>
      </c>
      <c r="F934" s="4" t="s">
        <v>6115</v>
      </c>
      <c r="G934" s="4">
        <v>1995</v>
      </c>
      <c r="H934" s="25">
        <v>34820</v>
      </c>
    </row>
    <row r="935" spans="1:11" ht="15.75" customHeight="1">
      <c r="A935" s="4">
        <v>10738970</v>
      </c>
      <c r="B935" s="4" t="s">
        <v>8126</v>
      </c>
      <c r="C935" s="4" t="s">
        <v>8127</v>
      </c>
      <c r="D935" s="4" t="s">
        <v>8128</v>
      </c>
      <c r="E935" s="4" t="s">
        <v>4355</v>
      </c>
      <c r="F935" s="4" t="s">
        <v>8129</v>
      </c>
      <c r="G935" s="4">
        <v>2000</v>
      </c>
      <c r="H935" s="25">
        <v>36615</v>
      </c>
      <c r="K935" s="4" t="s">
        <v>4356</v>
      </c>
    </row>
    <row r="936" spans="1:11" ht="15.75" customHeight="1">
      <c r="A936" s="4">
        <v>9223462</v>
      </c>
      <c r="B936" s="4" t="s">
        <v>8073</v>
      </c>
      <c r="C936" s="4" t="s">
        <v>8074</v>
      </c>
      <c r="D936" s="4" t="s">
        <v>8075</v>
      </c>
      <c r="E936" s="4" t="s">
        <v>4085</v>
      </c>
      <c r="F936" s="4" t="s">
        <v>4891</v>
      </c>
      <c r="G936" s="4">
        <v>1997</v>
      </c>
      <c r="H936" s="25">
        <v>35643</v>
      </c>
      <c r="I936" s="4" t="s">
        <v>8076</v>
      </c>
      <c r="K936" s="4" t="s">
        <v>4086</v>
      </c>
    </row>
    <row r="937" spans="1:11" ht="15.75" customHeight="1">
      <c r="A937" s="4">
        <v>9798697</v>
      </c>
      <c r="B937" s="4" t="s">
        <v>8091</v>
      </c>
      <c r="C937" s="4" t="s">
        <v>8092</v>
      </c>
      <c r="D937" s="4" t="s">
        <v>8093</v>
      </c>
      <c r="E937" s="4" t="s">
        <v>3687</v>
      </c>
      <c r="F937" s="4" t="s">
        <v>5445</v>
      </c>
      <c r="G937" s="4">
        <v>1998</v>
      </c>
      <c r="H937" s="25">
        <v>36102</v>
      </c>
      <c r="K937" s="4" t="s">
        <v>3688</v>
      </c>
    </row>
    <row r="938" spans="1:11" ht="15.75" customHeight="1">
      <c r="A938" s="4">
        <v>37661776</v>
      </c>
      <c r="B938" s="4" t="s">
        <v>8111</v>
      </c>
      <c r="C938" s="4" t="s">
        <v>8112</v>
      </c>
      <c r="D938" s="4" t="s">
        <v>8113</v>
      </c>
      <c r="E938" s="4" t="s">
        <v>1442</v>
      </c>
      <c r="F938" s="4" t="s">
        <v>8114</v>
      </c>
      <c r="G938" s="4">
        <v>2023</v>
      </c>
      <c r="H938" s="25">
        <v>45173</v>
      </c>
      <c r="K938" s="4" t="s">
        <v>1443</v>
      </c>
    </row>
    <row r="939" spans="1:11" ht="15.75" customHeight="1">
      <c r="A939" s="4">
        <v>12557285</v>
      </c>
      <c r="B939" s="4" t="s">
        <v>8094</v>
      </c>
      <c r="C939" s="4" t="s">
        <v>8095</v>
      </c>
      <c r="D939" s="4" t="s">
        <v>8096</v>
      </c>
      <c r="E939" s="4" t="s">
        <v>4226</v>
      </c>
      <c r="F939" s="4" t="s">
        <v>7649</v>
      </c>
      <c r="G939" s="4">
        <v>2003</v>
      </c>
      <c r="H939" s="25">
        <v>37652</v>
      </c>
      <c r="K939" s="4" t="s">
        <v>4229</v>
      </c>
    </row>
    <row r="940" spans="1:11" ht="15.75" customHeight="1">
      <c r="A940" s="4">
        <v>18536223</v>
      </c>
      <c r="B940" s="4" t="s">
        <v>8097</v>
      </c>
      <c r="C940" s="4" t="s">
        <v>8098</v>
      </c>
      <c r="D940" s="4" t="s">
        <v>8099</v>
      </c>
      <c r="E940" s="4" t="s">
        <v>4688</v>
      </c>
      <c r="F940" s="4" t="s">
        <v>6968</v>
      </c>
      <c r="G940" s="4">
        <v>2008</v>
      </c>
      <c r="H940" s="25">
        <v>39609</v>
      </c>
    </row>
    <row r="941" spans="1:11" ht="15.75" customHeight="1">
      <c r="A941" s="4">
        <v>16444956</v>
      </c>
      <c r="B941" s="4" t="s">
        <v>8103</v>
      </c>
      <c r="C941" s="4" t="s">
        <v>7227</v>
      </c>
      <c r="D941" s="4" t="s">
        <v>8104</v>
      </c>
      <c r="E941" s="4" t="s">
        <v>4579</v>
      </c>
      <c r="F941" s="4" t="s">
        <v>5047</v>
      </c>
      <c r="G941" s="4">
        <v>2005</v>
      </c>
      <c r="H941" s="25">
        <v>38749</v>
      </c>
    </row>
    <row r="942" spans="1:11" ht="15.75" customHeight="1">
      <c r="A942" s="4">
        <v>15608657</v>
      </c>
      <c r="B942" s="4" t="s">
        <v>8108</v>
      </c>
      <c r="C942" s="4" t="s">
        <v>8109</v>
      </c>
      <c r="D942" s="4" t="s">
        <v>8110</v>
      </c>
      <c r="E942" s="4" t="s">
        <v>766</v>
      </c>
      <c r="F942" s="4" t="s">
        <v>4863</v>
      </c>
      <c r="G942" s="4">
        <v>2005</v>
      </c>
      <c r="H942" s="25">
        <v>38342</v>
      </c>
      <c r="K942" s="4" t="s">
        <v>3319</v>
      </c>
    </row>
    <row r="943" spans="1:11" ht="15.75" customHeight="1">
      <c r="A943" s="4">
        <v>10516706</v>
      </c>
      <c r="B943" s="4" t="s">
        <v>8169</v>
      </c>
      <c r="C943" s="4" t="s">
        <v>8170</v>
      </c>
      <c r="D943" s="4" t="s">
        <v>8171</v>
      </c>
      <c r="E943" s="4" t="s">
        <v>3145</v>
      </c>
      <c r="F943" s="4" t="s">
        <v>4863</v>
      </c>
      <c r="G943" s="4">
        <v>1999</v>
      </c>
      <c r="H943" s="25">
        <v>36445</v>
      </c>
      <c r="K943" s="4" t="s">
        <v>3146</v>
      </c>
    </row>
    <row r="944" spans="1:11" ht="15.75" customHeight="1">
      <c r="A944" s="4">
        <v>23000642</v>
      </c>
      <c r="B944" s="4" t="s">
        <v>8105</v>
      </c>
      <c r="C944" s="4" t="s">
        <v>8106</v>
      </c>
      <c r="D944" s="4" t="s">
        <v>8107</v>
      </c>
      <c r="E944" s="4" t="s">
        <v>3905</v>
      </c>
      <c r="F944" s="4" t="s">
        <v>4863</v>
      </c>
      <c r="G944" s="4">
        <v>2013</v>
      </c>
      <c r="H944" s="25">
        <v>41177</v>
      </c>
      <c r="K944" s="4" t="s">
        <v>3906</v>
      </c>
    </row>
    <row r="945" spans="1:11" ht="15.75" customHeight="1">
      <c r="A945" s="4">
        <v>11938792</v>
      </c>
      <c r="B945" s="4" t="s">
        <v>8115</v>
      </c>
      <c r="C945" s="4" t="s">
        <v>8116</v>
      </c>
      <c r="D945" s="4" t="s">
        <v>8117</v>
      </c>
      <c r="E945" s="4" t="s">
        <v>4412</v>
      </c>
      <c r="F945" s="4" t="s">
        <v>7601</v>
      </c>
      <c r="G945" s="4">
        <v>1999</v>
      </c>
      <c r="H945" s="25">
        <v>37356</v>
      </c>
    </row>
    <row r="946" spans="1:11" ht="15.75" customHeight="1">
      <c r="A946" s="4">
        <v>8737717</v>
      </c>
      <c r="B946" s="4" t="s">
        <v>8122</v>
      </c>
      <c r="C946" s="4" t="s">
        <v>8123</v>
      </c>
      <c r="D946" s="4" t="s">
        <v>8124</v>
      </c>
      <c r="E946" s="4" t="s">
        <v>2028</v>
      </c>
      <c r="F946" s="4" t="s">
        <v>8125</v>
      </c>
      <c r="G946" s="4">
        <v>1996</v>
      </c>
      <c r="H946" s="25">
        <v>35125</v>
      </c>
    </row>
    <row r="947" spans="1:11" ht="15.75" customHeight="1">
      <c r="A947" s="4">
        <v>17448218</v>
      </c>
      <c r="B947" s="4" t="s">
        <v>8118</v>
      </c>
      <c r="C947" s="4" t="s">
        <v>8119</v>
      </c>
      <c r="D947" s="4" t="s">
        <v>8120</v>
      </c>
      <c r="E947" s="4" t="s">
        <v>814</v>
      </c>
      <c r="F947" s="4" t="s">
        <v>8121</v>
      </c>
      <c r="G947" s="4">
        <v>2007</v>
      </c>
      <c r="H947" s="25">
        <v>39196</v>
      </c>
      <c r="K947" s="4" t="s">
        <v>815</v>
      </c>
    </row>
    <row r="948" spans="1:11" ht="15.75" customHeight="1">
      <c r="A948" s="4">
        <v>23347211</v>
      </c>
      <c r="B948" s="4" t="s">
        <v>8130</v>
      </c>
      <c r="C948" s="4" t="s">
        <v>8131</v>
      </c>
      <c r="D948" s="4" t="s">
        <v>8132</v>
      </c>
      <c r="E948" s="4" t="s">
        <v>4070</v>
      </c>
      <c r="F948" s="4" t="s">
        <v>5726</v>
      </c>
      <c r="G948" s="4">
        <v>2013</v>
      </c>
      <c r="H948" s="25">
        <v>41300</v>
      </c>
      <c r="K948" s="4" t="s">
        <v>4071</v>
      </c>
    </row>
    <row r="949" spans="1:11" ht="15.75" customHeight="1">
      <c r="A949" s="4">
        <v>1677066</v>
      </c>
      <c r="B949" s="4" t="s">
        <v>8143</v>
      </c>
      <c r="C949" s="4" t="s">
        <v>8144</v>
      </c>
      <c r="D949" s="4" t="s">
        <v>8145</v>
      </c>
      <c r="E949" s="4" t="s">
        <v>513</v>
      </c>
      <c r="F949" s="4" t="s">
        <v>6147</v>
      </c>
      <c r="G949" s="4">
        <v>1991</v>
      </c>
      <c r="H949" s="25">
        <v>33439</v>
      </c>
      <c r="K949" s="4" t="s">
        <v>1528</v>
      </c>
    </row>
    <row r="950" spans="1:11" ht="15.75" customHeight="1">
      <c r="A950" s="4">
        <v>21620083</v>
      </c>
      <c r="B950" s="4" t="s">
        <v>8133</v>
      </c>
      <c r="C950" s="4" t="s">
        <v>8134</v>
      </c>
      <c r="D950" s="4" t="s">
        <v>8135</v>
      </c>
      <c r="E950" s="4" t="s">
        <v>3085</v>
      </c>
      <c r="F950" s="4" t="s">
        <v>5696</v>
      </c>
      <c r="G950" s="4">
        <v>2011</v>
      </c>
      <c r="H950" s="25">
        <v>40694</v>
      </c>
      <c r="K950" s="4" t="s">
        <v>3086</v>
      </c>
    </row>
    <row r="951" spans="1:11" ht="15.75" customHeight="1">
      <c r="A951" s="4">
        <v>18181741</v>
      </c>
      <c r="B951" s="4" t="s">
        <v>8181</v>
      </c>
      <c r="C951" s="4" t="s">
        <v>8182</v>
      </c>
      <c r="D951" s="4" t="s">
        <v>8183</v>
      </c>
      <c r="E951" s="4" t="s">
        <v>2265</v>
      </c>
      <c r="F951" s="4" t="s">
        <v>5080</v>
      </c>
      <c r="G951" s="4">
        <v>2008</v>
      </c>
      <c r="H951" s="25">
        <v>39457</v>
      </c>
      <c r="K951" s="4" t="s">
        <v>2268</v>
      </c>
    </row>
    <row r="952" spans="1:11" ht="15.75" customHeight="1">
      <c r="A952" s="4">
        <v>22641196</v>
      </c>
      <c r="B952" s="4" t="s">
        <v>8138</v>
      </c>
      <c r="C952" s="4" t="s">
        <v>8139</v>
      </c>
      <c r="D952" s="4" t="s">
        <v>8140</v>
      </c>
      <c r="E952" s="4" t="s">
        <v>197</v>
      </c>
      <c r="F952" s="4" t="s">
        <v>5076</v>
      </c>
      <c r="G952" s="4">
        <v>2012</v>
      </c>
      <c r="H952" s="25">
        <v>41059</v>
      </c>
      <c r="I952" s="4" t="s">
        <v>8141</v>
      </c>
      <c r="J952" s="4" t="s">
        <v>8142</v>
      </c>
      <c r="K952" s="4" t="s">
        <v>1018</v>
      </c>
    </row>
    <row r="953" spans="1:11" ht="15.75" customHeight="1">
      <c r="A953" s="4">
        <v>30374827</v>
      </c>
      <c r="B953" s="4" t="s">
        <v>8146</v>
      </c>
      <c r="C953" s="4" t="s">
        <v>8147</v>
      </c>
      <c r="D953" s="4" t="s">
        <v>8148</v>
      </c>
      <c r="E953" s="4" t="s">
        <v>2975</v>
      </c>
      <c r="F953" s="4" t="s">
        <v>8149</v>
      </c>
      <c r="G953" s="4">
        <v>2018</v>
      </c>
      <c r="H953" s="25">
        <v>43404</v>
      </c>
      <c r="I953" s="4" t="s">
        <v>8150</v>
      </c>
      <c r="K953" s="4" t="s">
        <v>2976</v>
      </c>
    </row>
    <row r="954" spans="1:11" ht="15.75" customHeight="1">
      <c r="A954" s="4">
        <v>8083655</v>
      </c>
      <c r="B954" s="4" t="s">
        <v>8151</v>
      </c>
      <c r="C954" s="4" t="s">
        <v>8152</v>
      </c>
      <c r="D954" s="4" t="s">
        <v>8153</v>
      </c>
      <c r="E954" s="4" t="s">
        <v>2603</v>
      </c>
      <c r="F954" s="4" t="s">
        <v>4923</v>
      </c>
      <c r="G954" s="4">
        <v>1994</v>
      </c>
      <c r="H954" s="25">
        <v>34455</v>
      </c>
      <c r="K954" s="4" t="s">
        <v>2604</v>
      </c>
    </row>
    <row r="955" spans="1:11" ht="15.75" customHeight="1">
      <c r="A955" s="4">
        <v>8106867</v>
      </c>
      <c r="B955" s="4" t="s">
        <v>8200</v>
      </c>
      <c r="C955" s="4" t="s">
        <v>8201</v>
      </c>
      <c r="D955" s="4" t="s">
        <v>8202</v>
      </c>
      <c r="E955" s="4" t="s">
        <v>195</v>
      </c>
      <c r="F955" s="4" t="s">
        <v>4923</v>
      </c>
      <c r="G955" s="4">
        <v>1993</v>
      </c>
      <c r="H955" s="25">
        <v>34304</v>
      </c>
      <c r="K955" s="4" t="s">
        <v>4663</v>
      </c>
    </row>
    <row r="956" spans="1:11" ht="15.75" customHeight="1">
      <c r="A956" s="4">
        <v>11380440</v>
      </c>
      <c r="B956" s="4" t="s">
        <v>8159</v>
      </c>
      <c r="C956" s="4" t="s">
        <v>8160</v>
      </c>
      <c r="D956" s="4" t="s">
        <v>8161</v>
      </c>
      <c r="E956" s="4" t="s">
        <v>2952</v>
      </c>
      <c r="F956" s="4" t="s">
        <v>5211</v>
      </c>
      <c r="G956" s="4">
        <v>2001</v>
      </c>
      <c r="H956" s="25">
        <v>37042</v>
      </c>
      <c r="K956" s="4" t="s">
        <v>2953</v>
      </c>
    </row>
    <row r="957" spans="1:11" ht="15.75" customHeight="1">
      <c r="A957" s="4">
        <v>1658424</v>
      </c>
      <c r="B957" s="4" t="s">
        <v>8162</v>
      </c>
      <c r="C957" s="4" t="s">
        <v>8163</v>
      </c>
      <c r="D957" s="4" t="s">
        <v>8164</v>
      </c>
      <c r="E957" s="4" t="s">
        <v>4480</v>
      </c>
      <c r="F957" s="4" t="s">
        <v>7492</v>
      </c>
      <c r="G957" s="4">
        <v>1991</v>
      </c>
      <c r="H957" s="25">
        <v>33482</v>
      </c>
    </row>
    <row r="958" spans="1:11" ht="15.75" customHeight="1">
      <c r="A958" s="4">
        <v>22421649</v>
      </c>
      <c r="B958" s="4" t="s">
        <v>8165</v>
      </c>
      <c r="C958" s="4" t="s">
        <v>8166</v>
      </c>
      <c r="D958" s="4" t="s">
        <v>8167</v>
      </c>
      <c r="E958" s="4" t="s">
        <v>3755</v>
      </c>
      <c r="F958" s="4" t="s">
        <v>8168</v>
      </c>
      <c r="G958" s="4">
        <v>2012</v>
      </c>
      <c r="H958" s="25">
        <v>40985</v>
      </c>
      <c r="K958" s="4" t="s">
        <v>3756</v>
      </c>
    </row>
    <row r="959" spans="1:11" ht="15.75" customHeight="1">
      <c r="A959" s="4">
        <v>24852190</v>
      </c>
      <c r="B959" s="4" t="s">
        <v>8172</v>
      </c>
      <c r="C959" s="4" t="s">
        <v>8173</v>
      </c>
      <c r="D959" s="4" t="s">
        <v>8174</v>
      </c>
      <c r="E959" s="4" t="s">
        <v>3259</v>
      </c>
      <c r="F959" s="4" t="s">
        <v>8175</v>
      </c>
      <c r="G959" s="4">
        <v>2013</v>
      </c>
      <c r="H959" s="25">
        <v>41783</v>
      </c>
      <c r="K959" s="4" t="s">
        <v>3260</v>
      </c>
    </row>
    <row r="960" spans="1:11" ht="15.75" customHeight="1">
      <c r="A960" s="4">
        <v>16628583</v>
      </c>
      <c r="B960" s="4" t="s">
        <v>8203</v>
      </c>
      <c r="C960" s="4" t="s">
        <v>8204</v>
      </c>
      <c r="D960" s="4" t="s">
        <v>8205</v>
      </c>
      <c r="E960" s="4" t="s">
        <v>2294</v>
      </c>
      <c r="F960" s="4" t="s">
        <v>4923</v>
      </c>
      <c r="G960" s="4">
        <v>2006</v>
      </c>
      <c r="H960" s="25">
        <v>38829</v>
      </c>
      <c r="K960" s="4" t="s">
        <v>2303</v>
      </c>
    </row>
    <row r="961" spans="1:11" ht="15.75" customHeight="1">
      <c r="A961" s="4">
        <v>29181879</v>
      </c>
      <c r="B961" s="4" t="s">
        <v>8176</v>
      </c>
      <c r="C961" s="4" t="s">
        <v>8177</v>
      </c>
      <c r="D961" s="4" t="s">
        <v>8178</v>
      </c>
      <c r="E961" s="4" t="s">
        <v>300</v>
      </c>
      <c r="F961" s="4" t="s">
        <v>5543</v>
      </c>
      <c r="G961" s="4">
        <v>2018</v>
      </c>
      <c r="H961" s="25">
        <v>43068</v>
      </c>
      <c r="I961" s="4" t="s">
        <v>8179</v>
      </c>
      <c r="J961" s="4" t="s">
        <v>8180</v>
      </c>
      <c r="K961" s="4" t="s">
        <v>432</v>
      </c>
    </row>
    <row r="962" spans="1:11" ht="15.75" customHeight="1">
      <c r="A962" s="4">
        <v>15920733</v>
      </c>
      <c r="B962" s="4" t="s">
        <v>8190</v>
      </c>
      <c r="C962" s="4" t="s">
        <v>8191</v>
      </c>
      <c r="D962" s="4" t="s">
        <v>8192</v>
      </c>
      <c r="E962" s="4" t="s">
        <v>1556</v>
      </c>
      <c r="F962" s="4" t="s">
        <v>5358</v>
      </c>
      <c r="G962" s="4">
        <v>2005</v>
      </c>
      <c r="H962" s="25">
        <v>38500</v>
      </c>
      <c r="K962" s="4" t="s">
        <v>1557</v>
      </c>
    </row>
    <row r="963" spans="1:11" ht="15.75" customHeight="1">
      <c r="A963" s="4">
        <v>28008656</v>
      </c>
      <c r="B963" s="4" t="s">
        <v>8187</v>
      </c>
      <c r="C963" s="4" t="s">
        <v>8188</v>
      </c>
      <c r="D963" s="4" t="s">
        <v>8189</v>
      </c>
      <c r="E963" s="4" t="s">
        <v>2577</v>
      </c>
      <c r="F963" s="4" t="s">
        <v>8114</v>
      </c>
      <c r="G963" s="4">
        <v>2017</v>
      </c>
      <c r="H963" s="25">
        <v>42728</v>
      </c>
      <c r="K963" s="4" t="s">
        <v>2578</v>
      </c>
    </row>
    <row r="964" spans="1:11" ht="15.75" customHeight="1">
      <c r="A964" s="4">
        <v>25072620</v>
      </c>
      <c r="B964" s="4" t="s">
        <v>8184</v>
      </c>
      <c r="C964" s="4" t="s">
        <v>8185</v>
      </c>
      <c r="D964" s="4" t="s">
        <v>8186</v>
      </c>
      <c r="E964" s="4" t="s">
        <v>139</v>
      </c>
      <c r="F964" s="4" t="s">
        <v>6982</v>
      </c>
      <c r="G964" s="4">
        <v>2014</v>
      </c>
      <c r="H964" s="25">
        <v>41850</v>
      </c>
      <c r="K964" s="4" t="s">
        <v>377</v>
      </c>
    </row>
    <row r="965" spans="1:11" ht="15.75" customHeight="1">
      <c r="A965" s="4">
        <v>8627701</v>
      </c>
      <c r="B965" s="4" t="s">
        <v>8193</v>
      </c>
      <c r="C965" s="4" t="s">
        <v>8194</v>
      </c>
      <c r="D965" s="4" t="s">
        <v>8195</v>
      </c>
      <c r="E965" s="4" t="s">
        <v>2051</v>
      </c>
      <c r="F965" s="4" t="s">
        <v>4891</v>
      </c>
      <c r="G965" s="4">
        <v>1996</v>
      </c>
      <c r="H965" s="25">
        <v>35125</v>
      </c>
      <c r="I965" s="4" t="s">
        <v>8196</v>
      </c>
      <c r="K965" s="4" t="s">
        <v>2057</v>
      </c>
    </row>
    <row r="966" spans="1:11" ht="15.75" customHeight="1">
      <c r="A966" s="4">
        <v>8673847</v>
      </c>
      <c r="B966" s="4" t="s">
        <v>8211</v>
      </c>
      <c r="C966" s="4" t="s">
        <v>8212</v>
      </c>
      <c r="D966" s="4" t="s">
        <v>8213</v>
      </c>
      <c r="E966" s="4" t="s">
        <v>1570</v>
      </c>
      <c r="F966" s="4" t="s">
        <v>5103</v>
      </c>
      <c r="G966" s="4">
        <v>1996</v>
      </c>
      <c r="H966" s="25">
        <v>35065</v>
      </c>
    </row>
    <row r="967" spans="1:11" ht="15.75" customHeight="1">
      <c r="A967" s="4">
        <v>16123732</v>
      </c>
      <c r="B967" s="4" t="s">
        <v>8197</v>
      </c>
      <c r="C967" s="4" t="s">
        <v>8198</v>
      </c>
      <c r="D967" s="4" t="s">
        <v>8199</v>
      </c>
      <c r="E967" s="4" t="s">
        <v>1806</v>
      </c>
      <c r="F967" s="4" t="s">
        <v>5445</v>
      </c>
      <c r="G967" s="4">
        <v>2005</v>
      </c>
      <c r="H967" s="25">
        <v>38591</v>
      </c>
      <c r="K967" s="4" t="s">
        <v>1807</v>
      </c>
    </row>
    <row r="968" spans="1:11" ht="15.75" customHeight="1">
      <c r="A968" s="4">
        <v>36286647</v>
      </c>
      <c r="B968" s="4" t="s">
        <v>8220</v>
      </c>
      <c r="C968" s="4" t="s">
        <v>8221</v>
      </c>
      <c r="D968" s="4" t="s">
        <v>8222</v>
      </c>
      <c r="E968" s="4" t="s">
        <v>1934</v>
      </c>
      <c r="F968" s="4" t="s">
        <v>8223</v>
      </c>
      <c r="G968" s="4">
        <v>2021</v>
      </c>
      <c r="H968" s="25">
        <v>44860</v>
      </c>
      <c r="K968" s="4" t="s">
        <v>1935</v>
      </c>
    </row>
    <row r="969" spans="1:11" ht="15.75" customHeight="1">
      <c r="A969" s="4">
        <v>24367281</v>
      </c>
      <c r="B969" s="4" t="s">
        <v>8206</v>
      </c>
      <c r="C969" s="4" t="s">
        <v>8207</v>
      </c>
      <c r="D969" s="4" t="s">
        <v>8208</v>
      </c>
      <c r="E969" s="4" t="s">
        <v>3649</v>
      </c>
      <c r="F969" s="4" t="s">
        <v>8209</v>
      </c>
      <c r="G969" s="4">
        <v>2013</v>
      </c>
      <c r="H969" s="25">
        <v>41633</v>
      </c>
      <c r="I969" s="4" t="s">
        <v>8210</v>
      </c>
      <c r="K969" s="4" t="s">
        <v>3650</v>
      </c>
    </row>
    <row r="970" spans="1:11" ht="15.75" customHeight="1">
      <c r="A970" s="4">
        <v>16687586</v>
      </c>
      <c r="B970" s="4" t="s">
        <v>8214</v>
      </c>
      <c r="C970" s="4" t="s">
        <v>8215</v>
      </c>
      <c r="D970" s="4" t="s">
        <v>8216</v>
      </c>
      <c r="E970" s="4" t="s">
        <v>1570</v>
      </c>
      <c r="F970" s="4" t="s">
        <v>5005</v>
      </c>
      <c r="G970" s="4">
        <v>2006</v>
      </c>
      <c r="H970" s="25">
        <v>38849</v>
      </c>
      <c r="K970" s="4" t="s">
        <v>1576</v>
      </c>
    </row>
    <row r="971" spans="1:11" ht="15.75" customHeight="1">
      <c r="A971" s="4">
        <v>12361757</v>
      </c>
      <c r="B971" s="4" t="s">
        <v>8217</v>
      </c>
      <c r="C971" s="4" t="s">
        <v>8218</v>
      </c>
      <c r="D971" s="4" t="s">
        <v>8219</v>
      </c>
      <c r="E971" s="4" t="s">
        <v>2875</v>
      </c>
      <c r="F971" s="4" t="s">
        <v>4896</v>
      </c>
      <c r="G971" s="4">
        <v>2002</v>
      </c>
      <c r="H971" s="25">
        <v>37533</v>
      </c>
      <c r="K971" s="4" t="s">
        <v>2884</v>
      </c>
    </row>
    <row r="972" spans="1:11" ht="15.75" customHeight="1">
      <c r="A972" s="4">
        <v>10477848</v>
      </c>
      <c r="B972" s="4" t="s">
        <v>8224</v>
      </c>
      <c r="C972" s="4" t="s">
        <v>8225</v>
      </c>
      <c r="D972" s="4" t="s">
        <v>8226</v>
      </c>
      <c r="E972" s="4" t="s">
        <v>3535</v>
      </c>
      <c r="F972" s="4" t="s">
        <v>8227</v>
      </c>
      <c r="G972" s="4">
        <v>1999</v>
      </c>
      <c r="H972" s="25">
        <v>36412</v>
      </c>
      <c r="K972" s="4" t="s">
        <v>3536</v>
      </c>
    </row>
    <row r="973" spans="1:11" ht="15.75" customHeight="1">
      <c r="A973" s="4">
        <v>15494267</v>
      </c>
      <c r="B973" s="4" t="s">
        <v>8232</v>
      </c>
      <c r="C973" s="4" t="s">
        <v>8233</v>
      </c>
      <c r="D973" s="4" t="s">
        <v>8234</v>
      </c>
      <c r="E973" s="4" t="s">
        <v>1520</v>
      </c>
      <c r="F973" s="4" t="s">
        <v>4896</v>
      </c>
      <c r="G973" s="4">
        <v>2004</v>
      </c>
      <c r="H973" s="25">
        <v>38281</v>
      </c>
      <c r="K973" s="4" t="s">
        <v>1521</v>
      </c>
    </row>
    <row r="974" spans="1:11" ht="15.75" customHeight="1">
      <c r="A974" s="4">
        <v>27646062</v>
      </c>
      <c r="B974" s="4" t="s">
        <v>8235</v>
      </c>
      <c r="C974" s="4" t="s">
        <v>8236</v>
      </c>
      <c r="D974" s="4" t="s">
        <v>8237</v>
      </c>
      <c r="E974" s="4" t="s">
        <v>1772</v>
      </c>
      <c r="F974" s="4" t="s">
        <v>7865</v>
      </c>
      <c r="G974" s="4">
        <v>2016</v>
      </c>
      <c r="H974" s="25">
        <v>42634</v>
      </c>
      <c r="K974" s="4" t="s">
        <v>1775</v>
      </c>
    </row>
    <row r="975" spans="1:11" ht="15.75" customHeight="1">
      <c r="A975" s="4">
        <v>37071595</v>
      </c>
      <c r="B975" s="4" t="s">
        <v>8238</v>
      </c>
      <c r="C975" s="4" t="s">
        <v>8239</v>
      </c>
      <c r="D975" s="4" t="s">
        <v>8240</v>
      </c>
      <c r="E975" s="4" t="s">
        <v>2504</v>
      </c>
      <c r="F975" s="4" t="s">
        <v>5453</v>
      </c>
      <c r="G975" s="4">
        <v>2023</v>
      </c>
      <c r="H975" s="25">
        <v>45034</v>
      </c>
      <c r="K975" s="4" t="s">
        <v>2505</v>
      </c>
    </row>
    <row r="976" spans="1:11" ht="15.75" customHeight="1">
      <c r="A976" s="4">
        <v>10773849</v>
      </c>
      <c r="B976" s="4" t="s">
        <v>8261</v>
      </c>
      <c r="C976" s="4" t="s">
        <v>8262</v>
      </c>
      <c r="D976" s="4" t="s">
        <v>8263</v>
      </c>
      <c r="E976" s="4" t="s">
        <v>2333</v>
      </c>
      <c r="F976" s="4" t="s">
        <v>5191</v>
      </c>
      <c r="G976" s="4">
        <v>2000</v>
      </c>
      <c r="H976" s="25">
        <v>36641</v>
      </c>
      <c r="K976" s="4" t="s">
        <v>2334</v>
      </c>
    </row>
    <row r="977" spans="1:11" ht="15.75" customHeight="1">
      <c r="A977" s="4">
        <v>27459097</v>
      </c>
      <c r="B977" s="4" t="s">
        <v>8241</v>
      </c>
      <c r="C977" s="4" t="s">
        <v>8242</v>
      </c>
      <c r="D977" s="4" t="s">
        <v>8243</v>
      </c>
      <c r="E977" s="4" t="s">
        <v>3285</v>
      </c>
      <c r="F977" s="4" t="s">
        <v>4974</v>
      </c>
      <c r="G977" s="4">
        <v>2016</v>
      </c>
      <c r="H977" s="25">
        <v>42578</v>
      </c>
      <c r="K977" s="4" t="s">
        <v>3286</v>
      </c>
    </row>
    <row r="978" spans="1:11" ht="15.75" customHeight="1">
      <c r="A978" s="4">
        <v>9120486</v>
      </c>
      <c r="B978" s="4" t="s">
        <v>8264</v>
      </c>
      <c r="C978" s="4" t="s">
        <v>8265</v>
      </c>
      <c r="D978" s="4" t="s">
        <v>8266</v>
      </c>
      <c r="E978" s="4" t="s">
        <v>3185</v>
      </c>
      <c r="F978" s="4" t="s">
        <v>7352</v>
      </c>
      <c r="G978" s="4">
        <v>1996</v>
      </c>
      <c r="H978" s="25">
        <v>35156</v>
      </c>
      <c r="K978" s="4" t="s">
        <v>3188</v>
      </c>
    </row>
    <row r="979" spans="1:11" ht="15.75" customHeight="1">
      <c r="A979" s="4">
        <v>9586694</v>
      </c>
      <c r="B979" s="4" t="s">
        <v>8244</v>
      </c>
      <c r="C979" s="4" t="s">
        <v>8245</v>
      </c>
      <c r="D979" s="4" t="s">
        <v>8246</v>
      </c>
      <c r="E979" s="4" t="s">
        <v>2749</v>
      </c>
      <c r="F979" s="4" t="s">
        <v>7855</v>
      </c>
      <c r="G979" s="4">
        <v>1998</v>
      </c>
      <c r="H979" s="25">
        <v>35935</v>
      </c>
      <c r="K979" s="4" t="s">
        <v>2750</v>
      </c>
    </row>
    <row r="980" spans="1:11" ht="15.75" customHeight="1">
      <c r="A980" s="4">
        <v>12833890</v>
      </c>
      <c r="B980" s="4" t="s">
        <v>8253</v>
      </c>
      <c r="C980" s="4" t="s">
        <v>8254</v>
      </c>
      <c r="D980" s="4" t="s">
        <v>8255</v>
      </c>
      <c r="E980" s="4" t="s">
        <v>3288</v>
      </c>
      <c r="F980" s="4" t="s">
        <v>8256</v>
      </c>
      <c r="G980" s="4">
        <v>2003</v>
      </c>
      <c r="H980" s="25">
        <v>37804</v>
      </c>
    </row>
    <row r="981" spans="1:11" ht="15.75" customHeight="1">
      <c r="A981" s="4">
        <v>9443944</v>
      </c>
      <c r="B981" s="4" t="s">
        <v>8247</v>
      </c>
      <c r="C981" s="4" t="s">
        <v>8248</v>
      </c>
      <c r="D981" s="4" t="s">
        <v>8249</v>
      </c>
      <c r="E981" s="4" t="s">
        <v>3370</v>
      </c>
      <c r="F981" s="4" t="s">
        <v>6356</v>
      </c>
      <c r="G981" s="4">
        <v>1998</v>
      </c>
      <c r="H981" s="25">
        <v>35823</v>
      </c>
      <c r="K981" s="4" t="s">
        <v>3371</v>
      </c>
    </row>
    <row r="982" spans="1:11" ht="15.75" customHeight="1">
      <c r="A982" s="4">
        <v>11512088</v>
      </c>
      <c r="B982" s="4" t="s">
        <v>4844</v>
      </c>
      <c r="C982" s="4" t="s">
        <v>8301</v>
      </c>
      <c r="D982" s="4" t="s">
        <v>8302</v>
      </c>
      <c r="E982" s="4" t="s">
        <v>1543</v>
      </c>
      <c r="F982" s="4" t="s">
        <v>5080</v>
      </c>
      <c r="G982" s="4">
        <v>2001</v>
      </c>
      <c r="H982" s="25">
        <v>37124</v>
      </c>
      <c r="K982" s="4" t="s">
        <v>1552</v>
      </c>
    </row>
    <row r="983" spans="1:11" ht="15.75" customHeight="1">
      <c r="A983" s="4">
        <v>24400550</v>
      </c>
      <c r="B983" s="4" t="s">
        <v>8250</v>
      </c>
      <c r="C983" s="4" t="s">
        <v>8251</v>
      </c>
      <c r="D983" s="4" t="s">
        <v>8252</v>
      </c>
      <c r="E983" s="4" t="s">
        <v>4112</v>
      </c>
      <c r="F983" s="4" t="s">
        <v>8032</v>
      </c>
      <c r="G983" s="4">
        <v>2013</v>
      </c>
      <c r="H983" s="25">
        <v>41649</v>
      </c>
      <c r="K983" s="4" t="s">
        <v>4113</v>
      </c>
    </row>
    <row r="984" spans="1:11" ht="15.75" customHeight="1">
      <c r="A984" s="4">
        <v>11874884</v>
      </c>
      <c r="B984" s="4" t="s">
        <v>8257</v>
      </c>
      <c r="C984" s="4" t="s">
        <v>8258</v>
      </c>
      <c r="D984" s="4" t="s">
        <v>8259</v>
      </c>
      <c r="E984" s="4" t="s">
        <v>4621</v>
      </c>
      <c r="F984" s="4" t="s">
        <v>7605</v>
      </c>
      <c r="G984" s="4">
        <v>2002</v>
      </c>
      <c r="H984" s="25">
        <v>37320</v>
      </c>
      <c r="I984" s="4" t="s">
        <v>8260</v>
      </c>
      <c r="K984" s="4" t="s">
        <v>4628</v>
      </c>
    </row>
    <row r="985" spans="1:11" ht="15.75" customHeight="1">
      <c r="A985" s="4">
        <v>34721381</v>
      </c>
      <c r="B985" s="4" t="s">
        <v>8281</v>
      </c>
      <c r="C985" s="4" t="s">
        <v>8282</v>
      </c>
      <c r="D985" s="4" t="s">
        <v>8283</v>
      </c>
      <c r="E985" s="4" t="s">
        <v>1593</v>
      </c>
      <c r="F985" s="4" t="s">
        <v>4912</v>
      </c>
      <c r="G985" s="4">
        <v>2021</v>
      </c>
      <c r="H985" s="25">
        <v>44501</v>
      </c>
      <c r="I985" s="4" t="s">
        <v>8284</v>
      </c>
      <c r="K985" s="4" t="s">
        <v>1594</v>
      </c>
    </row>
    <row r="986" spans="1:11" ht="15.75" customHeight="1">
      <c r="A986" s="4">
        <v>9529560</v>
      </c>
      <c r="B986" s="4" t="s">
        <v>8288</v>
      </c>
      <c r="C986" s="4" t="s">
        <v>8289</v>
      </c>
      <c r="D986" s="4" t="s">
        <v>8290</v>
      </c>
      <c r="E986" s="4" t="s">
        <v>1905</v>
      </c>
      <c r="F986" s="4" t="s">
        <v>8291</v>
      </c>
      <c r="G986" s="4">
        <v>1997</v>
      </c>
      <c r="H986" s="25">
        <v>35431</v>
      </c>
      <c r="K986" s="4" t="s">
        <v>1914</v>
      </c>
    </row>
    <row r="987" spans="1:11" ht="15.75" customHeight="1">
      <c r="A987" s="4">
        <v>8380842</v>
      </c>
      <c r="B987" s="4" t="s">
        <v>8267</v>
      </c>
      <c r="C987" s="4" t="s">
        <v>8268</v>
      </c>
      <c r="D987" s="4" t="s">
        <v>8269</v>
      </c>
      <c r="E987" s="4" t="s">
        <v>4435</v>
      </c>
      <c r="F987" s="4" t="s">
        <v>4923</v>
      </c>
      <c r="G987" s="4">
        <v>1993</v>
      </c>
      <c r="H987" s="25">
        <v>33970</v>
      </c>
      <c r="K987" s="4" t="s">
        <v>4444</v>
      </c>
    </row>
    <row r="988" spans="1:11" ht="15.75" customHeight="1">
      <c r="A988" s="4">
        <v>31722836</v>
      </c>
      <c r="B988" s="4" t="s">
        <v>8270</v>
      </c>
      <c r="C988" s="4" t="s">
        <v>8271</v>
      </c>
      <c r="D988" s="4" t="s">
        <v>8272</v>
      </c>
      <c r="E988" s="4" t="s">
        <v>2929</v>
      </c>
      <c r="F988" s="4" t="s">
        <v>8273</v>
      </c>
      <c r="G988" s="4">
        <v>2020</v>
      </c>
      <c r="H988" s="25">
        <v>43784</v>
      </c>
      <c r="K988" s="4" t="s">
        <v>2930</v>
      </c>
    </row>
    <row r="989" spans="1:11" ht="15.75" customHeight="1">
      <c r="A989" s="4">
        <v>10590066</v>
      </c>
      <c r="B989" s="4" t="s">
        <v>8274</v>
      </c>
      <c r="C989" s="4" t="s">
        <v>8275</v>
      </c>
      <c r="D989" s="4" t="s">
        <v>8276</v>
      </c>
      <c r="E989" s="4" t="s">
        <v>2201</v>
      </c>
      <c r="F989" s="4" t="s">
        <v>5343</v>
      </c>
      <c r="G989" s="4">
        <v>1999</v>
      </c>
      <c r="H989" s="25">
        <v>36504</v>
      </c>
    </row>
    <row r="990" spans="1:11" ht="15.75" customHeight="1">
      <c r="A990" s="4">
        <v>9244628</v>
      </c>
      <c r="B990" s="4" t="s">
        <v>8277</v>
      </c>
      <c r="C990" s="4" t="s">
        <v>8278</v>
      </c>
      <c r="D990" s="4" t="s">
        <v>8279</v>
      </c>
      <c r="E990" s="4" t="s">
        <v>1211</v>
      </c>
      <c r="F990" s="4" t="s">
        <v>8280</v>
      </c>
      <c r="G990" s="4">
        <v>1997</v>
      </c>
      <c r="H990" s="25">
        <v>35582</v>
      </c>
    </row>
    <row r="991" spans="1:11" ht="15.75" customHeight="1">
      <c r="A991" s="4">
        <v>1851860</v>
      </c>
      <c r="B991" s="4" t="s">
        <v>8310</v>
      </c>
      <c r="C991" s="4" t="s">
        <v>8311</v>
      </c>
      <c r="D991" s="4" t="s">
        <v>8312</v>
      </c>
      <c r="E991" s="4" t="s">
        <v>1587</v>
      </c>
      <c r="F991" s="4" t="s">
        <v>4891</v>
      </c>
      <c r="G991" s="4">
        <v>1991</v>
      </c>
      <c r="H991" s="25">
        <v>33390</v>
      </c>
      <c r="I991" s="4" t="s">
        <v>8313</v>
      </c>
      <c r="K991" s="4" t="s">
        <v>1588</v>
      </c>
    </row>
    <row r="992" spans="1:11" ht="15.75" customHeight="1">
      <c r="A992" s="4">
        <v>16504686</v>
      </c>
      <c r="B992" s="4" t="s">
        <v>8285</v>
      </c>
      <c r="C992" s="4" t="s">
        <v>8286</v>
      </c>
      <c r="D992" s="4" t="s">
        <v>8287</v>
      </c>
      <c r="E992" s="4" t="s">
        <v>1832</v>
      </c>
      <c r="F992" s="4" t="s">
        <v>5696</v>
      </c>
      <c r="G992" s="4">
        <v>2006</v>
      </c>
      <c r="H992" s="25">
        <v>38777</v>
      </c>
      <c r="K992" s="4" t="s">
        <v>1836</v>
      </c>
    </row>
    <row r="993" spans="1:11" ht="15.75" customHeight="1">
      <c r="A993" s="4">
        <v>22750998</v>
      </c>
      <c r="B993" s="4" t="s">
        <v>8317</v>
      </c>
      <c r="C993" s="4" t="s">
        <v>8318</v>
      </c>
      <c r="D993" s="4" t="s">
        <v>8319</v>
      </c>
      <c r="E993" s="4" t="s">
        <v>151</v>
      </c>
      <c r="F993" s="4" t="s">
        <v>4863</v>
      </c>
      <c r="G993" s="4">
        <v>2013</v>
      </c>
      <c r="H993" s="25">
        <v>41094</v>
      </c>
      <c r="K993" s="4" t="s">
        <v>801</v>
      </c>
    </row>
    <row r="994" spans="1:11" ht="15.75" customHeight="1">
      <c r="A994" s="4">
        <v>17936368</v>
      </c>
      <c r="B994" s="4" t="s">
        <v>8292</v>
      </c>
      <c r="C994" s="4" t="s">
        <v>8293</v>
      </c>
      <c r="D994" s="4" t="s">
        <v>8294</v>
      </c>
      <c r="E994" s="4" t="s">
        <v>1225</v>
      </c>
      <c r="F994" s="4" t="s">
        <v>7473</v>
      </c>
      <c r="G994" s="4">
        <v>2007</v>
      </c>
      <c r="H994" s="25">
        <v>39371</v>
      </c>
      <c r="I994" s="4" t="s">
        <v>8295</v>
      </c>
      <c r="J994" s="4" t="s">
        <v>8296</v>
      </c>
      <c r="K994" s="4" t="s">
        <v>1226</v>
      </c>
    </row>
    <row r="995" spans="1:11" ht="15.75" customHeight="1">
      <c r="A995" s="4">
        <v>10423975</v>
      </c>
      <c r="B995" s="4" t="s">
        <v>8297</v>
      </c>
      <c r="C995" s="4" t="s">
        <v>8298</v>
      </c>
      <c r="D995" s="4" t="s">
        <v>8299</v>
      </c>
      <c r="E995" s="4" t="s">
        <v>1308</v>
      </c>
      <c r="F995" s="4" t="s">
        <v>8300</v>
      </c>
      <c r="G995" s="4">
        <v>1999</v>
      </c>
      <c r="H995" s="25">
        <v>36370</v>
      </c>
    </row>
    <row r="996" spans="1:11" ht="15.75" customHeight="1">
      <c r="A996" s="4">
        <v>11965036</v>
      </c>
      <c r="B996" s="4" t="s">
        <v>8303</v>
      </c>
      <c r="C996" s="4" t="s">
        <v>8304</v>
      </c>
      <c r="D996" s="4" t="s">
        <v>8305</v>
      </c>
      <c r="E996" s="4" t="s">
        <v>3076</v>
      </c>
      <c r="F996" s="4" t="s">
        <v>5445</v>
      </c>
      <c r="G996" s="4">
        <v>2002</v>
      </c>
      <c r="H996" s="25">
        <v>37366</v>
      </c>
      <c r="K996" s="4" t="s">
        <v>3077</v>
      </c>
    </row>
    <row r="997" spans="1:11" ht="15.75" customHeight="1">
      <c r="A997" s="4">
        <v>36243759</v>
      </c>
      <c r="B997" s="4" t="s">
        <v>8306</v>
      </c>
      <c r="C997" s="4" t="s">
        <v>8307</v>
      </c>
      <c r="D997" s="4" t="s">
        <v>8308</v>
      </c>
      <c r="E997" s="4" t="s">
        <v>994</v>
      </c>
      <c r="F997" s="4" t="s">
        <v>4863</v>
      </c>
      <c r="G997" s="4">
        <v>2023</v>
      </c>
      <c r="H997" s="25">
        <v>44849</v>
      </c>
      <c r="I997" s="4" t="s">
        <v>8309</v>
      </c>
      <c r="K997" s="4" t="s">
        <v>995</v>
      </c>
    </row>
    <row r="998" spans="1:11" ht="15.75" customHeight="1">
      <c r="A998" s="4">
        <v>20881490</v>
      </c>
      <c r="B998" s="4" t="s">
        <v>8323</v>
      </c>
      <c r="C998" s="4" t="s">
        <v>7159</v>
      </c>
      <c r="D998" s="4" t="s">
        <v>8324</v>
      </c>
      <c r="E998" s="4" t="s">
        <v>3695</v>
      </c>
      <c r="F998" s="4" t="s">
        <v>8325</v>
      </c>
      <c r="G998" s="4">
        <v>2010</v>
      </c>
      <c r="H998" s="25">
        <v>40452</v>
      </c>
      <c r="K998" s="4" t="s">
        <v>3706</v>
      </c>
    </row>
    <row r="999" spans="1:11" ht="15.75" customHeight="1">
      <c r="A999" s="4">
        <v>12120696</v>
      </c>
      <c r="B999" s="4" t="s">
        <v>8320</v>
      </c>
      <c r="C999" s="4" t="s">
        <v>8321</v>
      </c>
      <c r="D999" s="4" t="s">
        <v>8322</v>
      </c>
      <c r="E999" s="4" t="s">
        <v>2400</v>
      </c>
      <c r="F999" s="4" t="s">
        <v>5191</v>
      </c>
      <c r="G999" s="4">
        <v>2002</v>
      </c>
      <c r="H999" s="25">
        <v>37455</v>
      </c>
      <c r="K999" s="4" t="s">
        <v>2401</v>
      </c>
    </row>
    <row r="1000" spans="1:11" ht="15.75" customHeight="1">
      <c r="A1000" s="4">
        <v>22301197</v>
      </c>
      <c r="B1000" s="4" t="s">
        <v>8330</v>
      </c>
      <c r="C1000" s="4" t="s">
        <v>8331</v>
      </c>
      <c r="D1000" s="4" t="s">
        <v>8332</v>
      </c>
      <c r="E1000" s="4" t="s">
        <v>2614</v>
      </c>
      <c r="F1000" s="4" t="s">
        <v>5267</v>
      </c>
      <c r="G1000" s="4">
        <v>2012</v>
      </c>
      <c r="H1000" s="25">
        <v>40943</v>
      </c>
      <c r="K1000" s="4" t="s">
        <v>2615</v>
      </c>
    </row>
    <row r="1001" spans="1:11" ht="15.75" customHeight="1">
      <c r="A1001" s="4">
        <v>15365027</v>
      </c>
      <c r="B1001" s="4" t="s">
        <v>8336</v>
      </c>
      <c r="C1001" s="4" t="s">
        <v>8337</v>
      </c>
      <c r="D1001" s="4" t="s">
        <v>8338</v>
      </c>
      <c r="E1001" s="4" t="s">
        <v>3920</v>
      </c>
      <c r="F1001" s="4" t="s">
        <v>5331</v>
      </c>
      <c r="G1001" s="4">
        <v>2004</v>
      </c>
      <c r="H1001" s="25">
        <v>38245</v>
      </c>
      <c r="I1001" s="4" t="s">
        <v>8339</v>
      </c>
      <c r="K1001" s="4" t="s">
        <v>3921</v>
      </c>
    </row>
    <row r="1002" spans="1:11" ht="15.75" customHeight="1">
      <c r="A1002" s="4">
        <v>11757726</v>
      </c>
      <c r="B1002" s="4" t="s">
        <v>8333</v>
      </c>
      <c r="C1002" s="4" t="s">
        <v>8334</v>
      </c>
      <c r="D1002" s="4" t="s">
        <v>8335</v>
      </c>
      <c r="E1002" s="4" t="s">
        <v>2797</v>
      </c>
      <c r="F1002" s="4" t="s">
        <v>5319</v>
      </c>
      <c r="G1002" s="4">
        <v>2001</v>
      </c>
      <c r="H1002" s="25">
        <v>37261</v>
      </c>
      <c r="K1002" s="4" t="s">
        <v>2798</v>
      </c>
    </row>
    <row r="1003" spans="1:11" ht="15.75" customHeight="1">
      <c r="A1003" s="4">
        <v>18250297</v>
      </c>
      <c r="B1003" s="4" t="s">
        <v>8344</v>
      </c>
      <c r="C1003" s="4" t="s">
        <v>8345</v>
      </c>
      <c r="D1003" s="4" t="s">
        <v>8346</v>
      </c>
      <c r="E1003" s="4" t="s">
        <v>1581</v>
      </c>
      <c r="F1003" s="4" t="s">
        <v>7413</v>
      </c>
      <c r="G1003" s="4">
        <v>2008</v>
      </c>
      <c r="H1003" s="25">
        <v>39484</v>
      </c>
      <c r="K1003" s="4" t="s">
        <v>1582</v>
      </c>
    </row>
    <row r="1004" spans="1:11" ht="15.75" customHeight="1">
      <c r="A1004" s="4">
        <v>31818546</v>
      </c>
      <c r="B1004" s="4" t="s">
        <v>8347</v>
      </c>
      <c r="C1004" s="4" t="s">
        <v>8348</v>
      </c>
      <c r="D1004" s="4" t="s">
        <v>8349</v>
      </c>
      <c r="E1004" s="4" t="s">
        <v>3831</v>
      </c>
      <c r="F1004" s="4" t="s">
        <v>8350</v>
      </c>
      <c r="G1004" s="4">
        <v>2020</v>
      </c>
      <c r="H1004" s="25">
        <v>43810</v>
      </c>
      <c r="I1004" s="4" t="s">
        <v>8351</v>
      </c>
      <c r="J1004" s="4" t="s">
        <v>8352</v>
      </c>
      <c r="K1004" s="4" t="s">
        <v>3832</v>
      </c>
    </row>
    <row r="1005" spans="1:11" ht="15.75" customHeight="1">
      <c r="A1005" s="4">
        <v>29744372</v>
      </c>
      <c r="B1005" s="4" t="s">
        <v>8340</v>
      </c>
      <c r="C1005" s="4" t="s">
        <v>8341</v>
      </c>
      <c r="D1005" s="4" t="s">
        <v>8342</v>
      </c>
      <c r="E1005" s="4" t="s">
        <v>4456</v>
      </c>
      <c r="F1005" s="4" t="s">
        <v>5017</v>
      </c>
      <c r="G1005" s="4">
        <v>2018</v>
      </c>
      <c r="H1005" s="25">
        <v>43231</v>
      </c>
      <c r="I1005" s="4" t="s">
        <v>8343</v>
      </c>
      <c r="K1005" s="4" t="s">
        <v>4457</v>
      </c>
    </row>
    <row r="1006" spans="1:11" ht="15.75" customHeight="1">
      <c r="A1006" s="4">
        <v>9414312</v>
      </c>
      <c r="B1006" s="4" t="s">
        <v>8353</v>
      </c>
      <c r="C1006" s="4" t="s">
        <v>8354</v>
      </c>
      <c r="D1006" s="4" t="s">
        <v>8355</v>
      </c>
      <c r="E1006" s="4" t="s">
        <v>820</v>
      </c>
      <c r="F1006" s="4" t="s">
        <v>5343</v>
      </c>
      <c r="G1006" s="4">
        <v>1998</v>
      </c>
      <c r="H1006" s="25">
        <v>35833</v>
      </c>
    </row>
    <row r="1007" spans="1:11" ht="15.75" customHeight="1">
      <c r="A1007" s="4">
        <v>35176506</v>
      </c>
      <c r="B1007" s="4" t="s">
        <v>8367</v>
      </c>
      <c r="C1007" s="4" t="s">
        <v>8368</v>
      </c>
      <c r="D1007" s="4" t="s">
        <v>8369</v>
      </c>
      <c r="E1007" s="4" t="s">
        <v>2270</v>
      </c>
      <c r="F1007" s="4" t="s">
        <v>8370</v>
      </c>
      <c r="G1007" s="4">
        <v>2022</v>
      </c>
      <c r="H1007" s="25">
        <v>44609</v>
      </c>
      <c r="I1007" s="4" t="s">
        <v>8371</v>
      </c>
      <c r="J1007" s="4" t="s">
        <v>8372</v>
      </c>
      <c r="K1007" s="4" t="s">
        <v>2271</v>
      </c>
    </row>
    <row r="1008" spans="1:11" ht="15.75" customHeight="1">
      <c r="A1008" s="4">
        <v>9878013</v>
      </c>
      <c r="B1008" s="4" t="s">
        <v>8383</v>
      </c>
      <c r="C1008" s="4" t="s">
        <v>8384</v>
      </c>
      <c r="D1008" s="4" t="s">
        <v>8385</v>
      </c>
      <c r="E1008" s="4" t="s">
        <v>539</v>
      </c>
      <c r="F1008" s="4" t="s">
        <v>4992</v>
      </c>
      <c r="G1008" s="4">
        <v>1999</v>
      </c>
      <c r="H1008" s="25">
        <v>36167</v>
      </c>
      <c r="K1008" s="4" t="s">
        <v>1703</v>
      </c>
    </row>
    <row r="1009" spans="1:11" ht="15.75" customHeight="1">
      <c r="A1009" s="4">
        <v>37796084</v>
      </c>
      <c r="B1009" s="4" t="s">
        <v>8391</v>
      </c>
      <c r="C1009" s="4" t="s">
        <v>8392</v>
      </c>
      <c r="D1009" s="4" t="s">
        <v>8393</v>
      </c>
      <c r="E1009" s="4" t="s">
        <v>1998</v>
      </c>
      <c r="F1009" s="4" t="s">
        <v>4923</v>
      </c>
      <c r="G1009" s="4">
        <v>2023</v>
      </c>
      <c r="H1009" s="25">
        <v>45204</v>
      </c>
      <c r="K1009" s="4" t="s">
        <v>1999</v>
      </c>
    </row>
    <row r="1010" spans="1:11" ht="15.75" customHeight="1">
      <c r="A1010" s="4">
        <v>32053411</v>
      </c>
      <c r="B1010" s="4" t="s">
        <v>8356</v>
      </c>
      <c r="C1010" s="4" t="s">
        <v>8357</v>
      </c>
      <c r="D1010" s="4" t="s">
        <v>8358</v>
      </c>
      <c r="E1010" s="4" t="s">
        <v>1216</v>
      </c>
      <c r="F1010" s="4" t="s">
        <v>8359</v>
      </c>
      <c r="G1010" s="4">
        <v>2020</v>
      </c>
      <c r="H1010" s="25">
        <v>43875</v>
      </c>
      <c r="K1010" s="4" t="s">
        <v>1217</v>
      </c>
    </row>
    <row r="1011" spans="1:11" ht="15.75" customHeight="1">
      <c r="A1011" s="4">
        <v>16732999</v>
      </c>
      <c r="B1011" s="4" t="s">
        <v>8136</v>
      </c>
      <c r="C1011" s="4" t="s">
        <v>4915</v>
      </c>
      <c r="D1011" s="4" t="s">
        <v>8137</v>
      </c>
      <c r="E1011" s="4" t="s">
        <v>197</v>
      </c>
      <c r="F1011" s="4" t="s">
        <v>5449</v>
      </c>
      <c r="G1011" s="4">
        <v>2006</v>
      </c>
      <c r="H1011" s="25">
        <v>38868</v>
      </c>
    </row>
    <row r="1012" spans="1:11" ht="15.75" customHeight="1">
      <c r="A1012" s="4">
        <v>9695306</v>
      </c>
      <c r="B1012" s="4" t="s">
        <v>8363</v>
      </c>
      <c r="C1012" s="4" t="s">
        <v>8364</v>
      </c>
      <c r="D1012" s="4" t="s">
        <v>8365</v>
      </c>
      <c r="E1012" s="4" t="s">
        <v>195</v>
      </c>
      <c r="F1012" s="4" t="s">
        <v>8366</v>
      </c>
      <c r="G1012" s="4">
        <v>1998</v>
      </c>
      <c r="H1012" s="25">
        <v>36015</v>
      </c>
      <c r="K1012" s="4" t="s">
        <v>4665</v>
      </c>
    </row>
    <row r="1013" spans="1:11" ht="15.75" customHeight="1">
      <c r="A1013" s="4">
        <v>18059145</v>
      </c>
      <c r="B1013" s="4" t="s">
        <v>8360</v>
      </c>
      <c r="C1013" s="4" t="s">
        <v>6498</v>
      </c>
      <c r="D1013" s="4" t="s">
        <v>8361</v>
      </c>
      <c r="E1013" s="4" t="s">
        <v>4264</v>
      </c>
      <c r="F1013" s="4" t="s">
        <v>8362</v>
      </c>
      <c r="G1013" s="4">
        <v>2007</v>
      </c>
      <c r="H1013" s="25">
        <v>39423</v>
      </c>
    </row>
    <row r="1014" spans="1:11" ht="15.75" customHeight="1">
      <c r="A1014" s="4">
        <v>32188617</v>
      </c>
      <c r="B1014" s="4" t="s">
        <v>8154</v>
      </c>
      <c r="C1014" s="4" t="s">
        <v>8155</v>
      </c>
      <c r="D1014" s="4" t="s">
        <v>8156</v>
      </c>
      <c r="E1014" s="4" t="s">
        <v>1083</v>
      </c>
      <c r="F1014" s="4" t="s">
        <v>8157</v>
      </c>
      <c r="G1014" s="4">
        <v>2020</v>
      </c>
      <c r="H1014" s="25">
        <v>43910</v>
      </c>
      <c r="I1014" s="4" t="s">
        <v>8158</v>
      </c>
      <c r="K1014" s="4" t="s">
        <v>1084</v>
      </c>
    </row>
    <row r="1015" spans="1:11" ht="15.75" customHeight="1">
      <c r="A1015" s="4">
        <v>24275367</v>
      </c>
      <c r="B1015" s="4" t="s">
        <v>8386</v>
      </c>
      <c r="C1015" s="4" t="s">
        <v>8387</v>
      </c>
      <c r="D1015" s="4" t="s">
        <v>8388</v>
      </c>
      <c r="E1015" s="4" t="s">
        <v>2230</v>
      </c>
      <c r="F1015" s="4" t="s">
        <v>8389</v>
      </c>
      <c r="G1015" s="4">
        <v>2014</v>
      </c>
      <c r="H1015" s="25">
        <v>41605</v>
      </c>
      <c r="I1015" s="4" t="s">
        <v>8390</v>
      </c>
      <c r="K1015" s="4" t="s">
        <v>2233</v>
      </c>
    </row>
    <row r="1016" spans="1:11" ht="15.75" customHeight="1">
      <c r="A1016" s="4">
        <v>22171136</v>
      </c>
      <c r="B1016" s="4" t="s">
        <v>8376</v>
      </c>
      <c r="C1016" s="4" t="s">
        <v>8377</v>
      </c>
      <c r="D1016" s="4" t="s">
        <v>8378</v>
      </c>
      <c r="E1016" s="4" t="s">
        <v>3239</v>
      </c>
      <c r="F1016" s="4" t="s">
        <v>6632</v>
      </c>
      <c r="G1016" s="4">
        <v>2011</v>
      </c>
      <c r="H1016" s="25">
        <v>40893</v>
      </c>
      <c r="I1016" s="4" t="s">
        <v>8379</v>
      </c>
      <c r="K1016" s="4" t="s">
        <v>3240</v>
      </c>
    </row>
    <row r="1017" spans="1:11" ht="15.75" customHeight="1">
      <c r="A1017" s="4">
        <v>19034008</v>
      </c>
      <c r="B1017" s="4" t="s">
        <v>8373</v>
      </c>
      <c r="C1017" s="4" t="s">
        <v>8374</v>
      </c>
      <c r="D1017" s="4" t="s">
        <v>8375</v>
      </c>
      <c r="E1017" s="4" t="s">
        <v>545</v>
      </c>
      <c r="F1017" s="4" t="s">
        <v>5445</v>
      </c>
      <c r="G1017" s="4">
        <v>2008</v>
      </c>
      <c r="H1017" s="25">
        <v>39779</v>
      </c>
      <c r="K1017" s="4" t="s">
        <v>546</v>
      </c>
    </row>
    <row r="1018" spans="1:11" ht="15.75" customHeight="1">
      <c r="A1018" s="4">
        <v>18044207</v>
      </c>
      <c r="B1018" s="4" t="s">
        <v>8380</v>
      </c>
      <c r="C1018" s="4" t="s">
        <v>8381</v>
      </c>
      <c r="D1018" s="4" t="s">
        <v>8382</v>
      </c>
      <c r="E1018" s="4" t="s">
        <v>2655</v>
      </c>
      <c r="F1018" s="4" t="s">
        <v>4970</v>
      </c>
      <c r="G1018" s="4">
        <v>2007</v>
      </c>
      <c r="H1018" s="25">
        <v>39416</v>
      </c>
    </row>
    <row r="1019" spans="1:11" ht="15.75" customHeight="1">
      <c r="A1019" s="4">
        <v>15287524</v>
      </c>
      <c r="B1019" s="4" t="s">
        <v>8431</v>
      </c>
      <c r="C1019" s="4" t="s">
        <v>8432</v>
      </c>
      <c r="D1019" s="4" t="s">
        <v>8433</v>
      </c>
      <c r="E1019" s="4" t="s">
        <v>1625</v>
      </c>
      <c r="F1019" s="4" t="s">
        <v>5047</v>
      </c>
      <c r="G1019" s="4">
        <v>2004</v>
      </c>
      <c r="H1019" s="25">
        <v>38203</v>
      </c>
    </row>
    <row r="1020" spans="1:11" ht="15.75" customHeight="1">
      <c r="A1020" s="4">
        <v>24395026</v>
      </c>
      <c r="B1020" s="4" t="s">
        <v>8394</v>
      </c>
      <c r="C1020" s="4" t="s">
        <v>8395</v>
      </c>
      <c r="D1020" s="4" t="s">
        <v>8396</v>
      </c>
      <c r="E1020" s="4" t="s">
        <v>2821</v>
      </c>
      <c r="F1020" s="4" t="s">
        <v>4923</v>
      </c>
      <c r="G1020" s="4">
        <v>2014</v>
      </c>
      <c r="H1020" s="25">
        <v>41647</v>
      </c>
      <c r="K1020" s="4" t="s">
        <v>2824</v>
      </c>
    </row>
    <row r="1021" spans="1:11" ht="15.75" customHeight="1">
      <c r="A1021" s="4">
        <v>35482424</v>
      </c>
      <c r="B1021" s="4" t="s">
        <v>8408</v>
      </c>
      <c r="C1021" s="4" t="s">
        <v>8409</v>
      </c>
      <c r="D1021" s="4" t="s">
        <v>8410</v>
      </c>
      <c r="E1021" s="4" t="s">
        <v>1731</v>
      </c>
      <c r="F1021" s="4" t="s">
        <v>8411</v>
      </c>
      <c r="G1021" s="4">
        <v>2022</v>
      </c>
      <c r="H1021" s="25">
        <v>44679</v>
      </c>
      <c r="I1021" s="4" t="s">
        <v>8412</v>
      </c>
      <c r="K1021" s="4" t="s">
        <v>1732</v>
      </c>
    </row>
    <row r="1022" spans="1:11" ht="15.75" customHeight="1">
      <c r="A1022" s="4">
        <v>15899185</v>
      </c>
      <c r="B1022" s="4" t="s">
        <v>8401</v>
      </c>
      <c r="C1022" s="4" t="s">
        <v>8402</v>
      </c>
      <c r="D1022" s="4" t="s">
        <v>8403</v>
      </c>
      <c r="E1022" s="4" t="s">
        <v>1357</v>
      </c>
      <c r="F1022" s="4" t="s">
        <v>5143</v>
      </c>
      <c r="G1022" s="4">
        <v>2005</v>
      </c>
      <c r="H1022" s="25">
        <v>38491</v>
      </c>
      <c r="K1022" s="4" t="s">
        <v>1358</v>
      </c>
    </row>
    <row r="1023" spans="1:11" ht="15.75" customHeight="1">
      <c r="A1023" s="4">
        <v>30429336</v>
      </c>
      <c r="B1023" s="4" t="s">
        <v>8397</v>
      </c>
      <c r="C1023" s="4" t="s">
        <v>8398</v>
      </c>
      <c r="D1023" s="4" t="s">
        <v>8399</v>
      </c>
      <c r="E1023" s="4" t="s">
        <v>221</v>
      </c>
      <c r="F1023" s="4" t="s">
        <v>4891</v>
      </c>
      <c r="G1023" s="4">
        <v>2019</v>
      </c>
      <c r="H1023" s="25">
        <v>43420</v>
      </c>
      <c r="I1023" s="4" t="s">
        <v>8400</v>
      </c>
      <c r="K1023" s="4" t="s">
        <v>2371</v>
      </c>
    </row>
    <row r="1024" spans="1:11" ht="15.75" customHeight="1">
      <c r="A1024" s="4">
        <v>28958731</v>
      </c>
      <c r="B1024" s="4" t="s">
        <v>8404</v>
      </c>
      <c r="C1024" s="4" t="s">
        <v>8405</v>
      </c>
      <c r="D1024" s="4" t="s">
        <v>8406</v>
      </c>
      <c r="E1024" s="4" t="s">
        <v>4380</v>
      </c>
      <c r="F1024" s="4" t="s">
        <v>8407</v>
      </c>
      <c r="G1024" s="4">
        <v>2018</v>
      </c>
      <c r="H1024" s="25">
        <v>43008</v>
      </c>
      <c r="K1024" s="4" t="s">
        <v>4381</v>
      </c>
    </row>
    <row r="1025" spans="1:11" ht="15.75" customHeight="1">
      <c r="A1025" s="4">
        <v>10762575</v>
      </c>
      <c r="B1025" s="4" t="s">
        <v>8437</v>
      </c>
      <c r="C1025" s="4" t="s">
        <v>8438</v>
      </c>
      <c r="D1025" s="4" t="s">
        <v>8439</v>
      </c>
      <c r="E1025" s="4" t="s">
        <v>651</v>
      </c>
      <c r="F1025" s="4" t="s">
        <v>4992</v>
      </c>
      <c r="G1025" s="4">
        <v>2000</v>
      </c>
      <c r="H1025" s="25">
        <v>36630</v>
      </c>
      <c r="K1025" s="4" t="s">
        <v>2454</v>
      </c>
    </row>
    <row r="1026" spans="1:11" ht="15.75" customHeight="1">
      <c r="A1026" s="4">
        <v>29434005</v>
      </c>
      <c r="B1026" s="4" t="s">
        <v>8413</v>
      </c>
      <c r="C1026" s="4" t="s">
        <v>8414</v>
      </c>
      <c r="D1026" s="4" t="s">
        <v>8415</v>
      </c>
      <c r="E1026" s="4" t="s">
        <v>2042</v>
      </c>
      <c r="F1026" s="4" t="s">
        <v>8416</v>
      </c>
      <c r="G1026" s="4">
        <v>2018</v>
      </c>
      <c r="H1026" s="25">
        <v>43145</v>
      </c>
      <c r="K1026" s="4" t="s">
        <v>2043</v>
      </c>
    </row>
    <row r="1027" spans="1:11" ht="15.75" customHeight="1">
      <c r="A1027" s="4">
        <v>26499513</v>
      </c>
      <c r="B1027" s="4" t="s">
        <v>8417</v>
      </c>
      <c r="C1027" s="4" t="s">
        <v>8418</v>
      </c>
      <c r="D1027" s="4" t="s">
        <v>8419</v>
      </c>
      <c r="E1027" s="4" t="s">
        <v>4014</v>
      </c>
      <c r="F1027" s="4" t="s">
        <v>8420</v>
      </c>
      <c r="G1027" s="4">
        <v>2016</v>
      </c>
      <c r="H1027" s="25">
        <v>42304</v>
      </c>
      <c r="I1027" s="4" t="s">
        <v>8421</v>
      </c>
      <c r="J1027" s="4" t="s">
        <v>8422</v>
      </c>
      <c r="K1027" s="4" t="s">
        <v>4015</v>
      </c>
    </row>
    <row r="1028" spans="1:11" ht="15.75" customHeight="1">
      <c r="A1028" s="4">
        <v>9455510</v>
      </c>
      <c r="B1028" s="4" t="s">
        <v>8440</v>
      </c>
      <c r="C1028" s="4" t="s">
        <v>8441</v>
      </c>
      <c r="D1028" s="4" t="s">
        <v>8442</v>
      </c>
      <c r="E1028" s="4" t="s">
        <v>1590</v>
      </c>
      <c r="F1028" s="4" t="s">
        <v>5080</v>
      </c>
      <c r="G1028" s="4">
        <v>1998</v>
      </c>
      <c r="H1028" s="25">
        <v>35836</v>
      </c>
      <c r="K1028" s="4" t="s">
        <v>1591</v>
      </c>
    </row>
    <row r="1029" spans="1:11" ht="15.75" customHeight="1">
      <c r="A1029" s="4">
        <v>23138414</v>
      </c>
      <c r="B1029" s="4" t="s">
        <v>8423</v>
      </c>
      <c r="C1029" s="4" t="s">
        <v>8424</v>
      </c>
      <c r="D1029" s="4" t="s">
        <v>8425</v>
      </c>
      <c r="E1029" s="4" t="s">
        <v>2597</v>
      </c>
      <c r="F1029" s="4" t="s">
        <v>8426</v>
      </c>
      <c r="G1029" s="4">
        <v>2012</v>
      </c>
      <c r="H1029" s="25">
        <v>41223</v>
      </c>
      <c r="K1029" s="4" t="s">
        <v>2598</v>
      </c>
    </row>
    <row r="1030" spans="1:11" ht="15.75" customHeight="1">
      <c r="A1030" s="4">
        <v>29022282</v>
      </c>
      <c r="B1030" s="4" t="s">
        <v>8458</v>
      </c>
      <c r="C1030" s="4" t="s">
        <v>8459</v>
      </c>
      <c r="D1030" s="4" t="s">
        <v>8460</v>
      </c>
      <c r="E1030" s="4" t="s">
        <v>936</v>
      </c>
      <c r="F1030" s="4" t="s">
        <v>4927</v>
      </c>
      <c r="G1030" s="4">
        <v>2018</v>
      </c>
      <c r="H1030" s="25">
        <v>43021</v>
      </c>
      <c r="K1030" s="4" t="s">
        <v>937</v>
      </c>
    </row>
    <row r="1031" spans="1:11" ht="15.75" customHeight="1">
      <c r="A1031" s="4">
        <v>32076716</v>
      </c>
      <c r="B1031" s="4" t="s">
        <v>8427</v>
      </c>
      <c r="C1031" s="4" t="s">
        <v>8428</v>
      </c>
      <c r="D1031" s="4" t="s">
        <v>8429</v>
      </c>
      <c r="E1031" s="4" t="s">
        <v>221</v>
      </c>
      <c r="F1031" s="4" t="s">
        <v>5343</v>
      </c>
      <c r="G1031" s="4">
        <v>2020</v>
      </c>
      <c r="H1031" s="25">
        <v>43882</v>
      </c>
      <c r="I1031" s="4" t="s">
        <v>8430</v>
      </c>
      <c r="K1031" s="4" t="s">
        <v>641</v>
      </c>
    </row>
    <row r="1032" spans="1:11" ht="15.75" customHeight="1">
      <c r="A1032" s="4">
        <v>12709076</v>
      </c>
      <c r="B1032" s="4" t="s">
        <v>8434</v>
      </c>
      <c r="C1032" s="4" t="s">
        <v>8435</v>
      </c>
      <c r="D1032" s="4" t="s">
        <v>8436</v>
      </c>
      <c r="E1032" s="4" t="s">
        <v>3695</v>
      </c>
      <c r="F1032" s="4" t="s">
        <v>5243</v>
      </c>
      <c r="G1032" s="4">
        <v>2003</v>
      </c>
      <c r="H1032" s="25">
        <v>37735</v>
      </c>
      <c r="K1032" s="4" t="s">
        <v>3708</v>
      </c>
    </row>
    <row r="1033" spans="1:11" ht="15.75" customHeight="1">
      <c r="A1033" s="4">
        <v>22552456</v>
      </c>
      <c r="B1033" s="4" t="s">
        <v>8449</v>
      </c>
      <c r="C1033" s="4" t="s">
        <v>8450</v>
      </c>
      <c r="D1033" s="4" t="s">
        <v>8451</v>
      </c>
      <c r="E1033" s="4" t="s">
        <v>3932</v>
      </c>
      <c r="F1033" s="4" t="s">
        <v>8389</v>
      </c>
      <c r="G1033" s="4">
        <v>2012</v>
      </c>
      <c r="H1033" s="25">
        <v>41033</v>
      </c>
      <c r="K1033" s="4" t="s">
        <v>3933</v>
      </c>
    </row>
    <row r="1034" spans="1:11" ht="15.75" customHeight="1">
      <c r="A1034" s="4">
        <v>16019484</v>
      </c>
      <c r="B1034" s="4" t="s">
        <v>8468</v>
      </c>
      <c r="C1034" s="4" t="s">
        <v>8469</v>
      </c>
      <c r="D1034" s="4" t="s">
        <v>8470</v>
      </c>
      <c r="E1034" s="4" t="s">
        <v>4183</v>
      </c>
      <c r="F1034" s="4" t="s">
        <v>5099</v>
      </c>
      <c r="G1034" s="4">
        <v>2005</v>
      </c>
      <c r="H1034" s="25">
        <v>38549</v>
      </c>
      <c r="K1034" s="4" t="s">
        <v>4184</v>
      </c>
    </row>
    <row r="1035" spans="1:11" ht="15.75" customHeight="1">
      <c r="A1035" s="4">
        <v>22564265</v>
      </c>
      <c r="B1035" s="4" t="s">
        <v>10981</v>
      </c>
      <c r="C1035" s="4" t="s">
        <v>8478</v>
      </c>
      <c r="D1035" s="4" t="s">
        <v>8479</v>
      </c>
      <c r="E1035" s="4" t="s">
        <v>221</v>
      </c>
      <c r="F1035" s="4" t="s">
        <v>5076</v>
      </c>
      <c r="G1035" s="4">
        <v>2012</v>
      </c>
      <c r="H1035" s="25">
        <v>41038</v>
      </c>
      <c r="I1035" s="4" t="s">
        <v>8480</v>
      </c>
      <c r="J1035" s="4" t="s">
        <v>8481</v>
      </c>
      <c r="K1035" s="4" t="s">
        <v>643</v>
      </c>
    </row>
    <row r="1036" spans="1:11" ht="15.75" customHeight="1">
      <c r="A1036" s="4">
        <v>7699322</v>
      </c>
      <c r="B1036" s="4" t="s">
        <v>8228</v>
      </c>
      <c r="C1036" s="4" t="s">
        <v>8229</v>
      </c>
      <c r="D1036" s="4" t="s">
        <v>8230</v>
      </c>
      <c r="E1036" s="4" t="s">
        <v>3041</v>
      </c>
      <c r="F1036" s="4" t="s">
        <v>5170</v>
      </c>
      <c r="G1036" s="4">
        <v>1995</v>
      </c>
      <c r="H1036" s="25">
        <v>34790</v>
      </c>
      <c r="I1036" s="4" t="s">
        <v>8231</v>
      </c>
      <c r="K1036" s="4" t="s">
        <v>3057</v>
      </c>
    </row>
    <row r="1037" spans="1:11" ht="15.75" customHeight="1">
      <c r="A1037" s="4">
        <v>26918962</v>
      </c>
      <c r="B1037" s="4" t="s">
        <v>8443</v>
      </c>
      <c r="C1037" s="4" t="s">
        <v>8444</v>
      </c>
      <c r="D1037" s="4" t="s">
        <v>8445</v>
      </c>
      <c r="E1037" s="4" t="s">
        <v>3911</v>
      </c>
      <c r="F1037" s="4" t="s">
        <v>4974</v>
      </c>
      <c r="G1037" s="4">
        <v>2016</v>
      </c>
      <c r="H1037" s="25">
        <v>42427</v>
      </c>
      <c r="K1037" s="4" t="s">
        <v>3912</v>
      </c>
    </row>
    <row r="1038" spans="1:11" ht="15.75" customHeight="1">
      <c r="A1038" s="4">
        <v>30414316</v>
      </c>
      <c r="B1038" s="4" t="s">
        <v>8446</v>
      </c>
      <c r="C1038" s="4" t="s">
        <v>8447</v>
      </c>
      <c r="D1038" s="4" t="s">
        <v>8448</v>
      </c>
      <c r="E1038" s="4" t="s">
        <v>663</v>
      </c>
      <c r="F1038" s="4" t="s">
        <v>4974</v>
      </c>
      <c r="G1038" s="4">
        <v>2019</v>
      </c>
      <c r="H1038" s="25">
        <v>43415</v>
      </c>
      <c r="K1038" s="4" t="s">
        <v>664</v>
      </c>
    </row>
    <row r="1039" spans="1:11" ht="15.75" customHeight="1">
      <c r="A1039" s="4">
        <v>18978824</v>
      </c>
      <c r="B1039" s="4" t="s">
        <v>8461</v>
      </c>
      <c r="C1039" s="4" t="s">
        <v>8462</v>
      </c>
      <c r="D1039" s="4" t="s">
        <v>8463</v>
      </c>
      <c r="E1039" s="4" t="s">
        <v>766</v>
      </c>
      <c r="F1039" s="4" t="s">
        <v>4863</v>
      </c>
      <c r="G1039" s="4">
        <v>2009</v>
      </c>
      <c r="H1039" s="25">
        <v>39756</v>
      </c>
      <c r="K1039" s="4" t="s">
        <v>767</v>
      </c>
    </row>
    <row r="1040" spans="1:11" ht="15.75" customHeight="1">
      <c r="A1040" s="4">
        <v>14966435</v>
      </c>
      <c r="B1040" s="4" t="s">
        <v>8452</v>
      </c>
      <c r="C1040" s="4" t="s">
        <v>8453</v>
      </c>
      <c r="D1040" s="4" t="s">
        <v>8454</v>
      </c>
      <c r="E1040" s="4" t="s">
        <v>3091</v>
      </c>
      <c r="F1040" s="4" t="s">
        <v>5445</v>
      </c>
      <c r="G1040" s="4">
        <v>2004</v>
      </c>
      <c r="H1040" s="25">
        <v>38035</v>
      </c>
      <c r="K1040" s="4" t="s">
        <v>3092</v>
      </c>
    </row>
    <row r="1041" spans="1:11" ht="15.75" customHeight="1">
      <c r="A1041" s="4">
        <v>29542206</v>
      </c>
      <c r="B1041" s="4" t="s">
        <v>8455</v>
      </c>
      <c r="C1041" s="4" t="s">
        <v>8456</v>
      </c>
      <c r="D1041" s="4" t="s">
        <v>8457</v>
      </c>
      <c r="E1041" s="4" t="s">
        <v>224</v>
      </c>
      <c r="F1041" s="4" t="s">
        <v>7613</v>
      </c>
      <c r="G1041" s="4">
        <v>2018</v>
      </c>
      <c r="H1041" s="25">
        <v>43175</v>
      </c>
      <c r="K1041" s="4" t="s">
        <v>356</v>
      </c>
    </row>
    <row r="1042" spans="1:11" ht="15.75" customHeight="1">
      <c r="A1042" s="4">
        <v>9153879</v>
      </c>
      <c r="B1042" s="4" t="s">
        <v>8464</v>
      </c>
      <c r="C1042" s="4" t="s">
        <v>8465</v>
      </c>
      <c r="D1042" s="4" t="s">
        <v>8466</v>
      </c>
      <c r="E1042" s="4" t="s">
        <v>2678</v>
      </c>
      <c r="F1042" s="4" t="s">
        <v>8467</v>
      </c>
      <c r="G1042" s="4">
        <v>1997</v>
      </c>
      <c r="H1042" s="25">
        <v>35491</v>
      </c>
    </row>
    <row r="1043" spans="1:11" ht="15.75" customHeight="1">
      <c r="A1043" s="4">
        <v>19465942</v>
      </c>
      <c r="B1043" s="4" t="s">
        <v>8482</v>
      </c>
      <c r="C1043" s="4" t="s">
        <v>8483</v>
      </c>
      <c r="D1043" s="4" t="s">
        <v>8484</v>
      </c>
      <c r="E1043" s="4" t="s">
        <v>151</v>
      </c>
      <c r="F1043" s="4" t="s">
        <v>4863</v>
      </c>
      <c r="G1043" s="4">
        <v>2010</v>
      </c>
      <c r="H1043" s="25">
        <v>39959</v>
      </c>
      <c r="K1043" s="4" t="s">
        <v>804</v>
      </c>
    </row>
    <row r="1044" spans="1:11" ht="15.75" customHeight="1">
      <c r="A1044" s="4">
        <v>11986964</v>
      </c>
      <c r="B1044" s="4" t="s">
        <v>8474</v>
      </c>
      <c r="C1044" s="4" t="s">
        <v>8475</v>
      </c>
      <c r="D1044" s="4" t="s">
        <v>8476</v>
      </c>
      <c r="E1044" s="4" t="s">
        <v>689</v>
      </c>
      <c r="F1044" s="4" t="s">
        <v>6382</v>
      </c>
      <c r="G1044" s="4">
        <v>2002</v>
      </c>
      <c r="H1044" s="25">
        <v>37379</v>
      </c>
      <c r="K1044" s="4" t="s">
        <v>690</v>
      </c>
    </row>
    <row r="1045" spans="1:11" ht="15.75" customHeight="1">
      <c r="A1045" s="4">
        <v>23287444</v>
      </c>
      <c r="B1045" s="4" t="s">
        <v>8471</v>
      </c>
      <c r="C1045" s="4" t="s">
        <v>8472</v>
      </c>
      <c r="D1045" s="4" t="s">
        <v>8473</v>
      </c>
      <c r="E1045" s="4" t="s">
        <v>200</v>
      </c>
      <c r="F1045" s="4" t="s">
        <v>4896</v>
      </c>
      <c r="G1045" s="4">
        <v>2013</v>
      </c>
      <c r="H1045" s="25">
        <v>41279</v>
      </c>
      <c r="K1045" s="4" t="s">
        <v>1617</v>
      </c>
    </row>
    <row r="1046" spans="1:11" ht="15.75" customHeight="1">
      <c r="A1046" s="4">
        <v>7911957</v>
      </c>
      <c r="B1046" s="4" t="s">
        <v>8489</v>
      </c>
      <c r="C1046" s="4" t="s">
        <v>6073</v>
      </c>
      <c r="D1046" s="4" t="s">
        <v>8490</v>
      </c>
      <c r="E1046" s="4" t="s">
        <v>2724</v>
      </c>
      <c r="F1046" s="4" t="s">
        <v>6147</v>
      </c>
      <c r="G1046" s="4">
        <v>1994</v>
      </c>
      <c r="H1046" s="25">
        <v>34510</v>
      </c>
    </row>
    <row r="1047" spans="1:11" ht="15.75" customHeight="1">
      <c r="A1047" s="4">
        <v>31053550</v>
      </c>
      <c r="B1047" s="4" t="s">
        <v>8485</v>
      </c>
      <c r="C1047" s="4" t="s">
        <v>8486</v>
      </c>
      <c r="D1047" s="4" t="s">
        <v>8487</v>
      </c>
      <c r="E1047" s="4" t="s">
        <v>854</v>
      </c>
      <c r="F1047" s="4" t="s">
        <v>8488</v>
      </c>
      <c r="G1047" s="4">
        <v>2019</v>
      </c>
      <c r="H1047" s="25">
        <v>43590</v>
      </c>
      <c r="K1047" s="4" t="s">
        <v>855</v>
      </c>
    </row>
    <row r="1048" spans="1:11" ht="15.75" customHeight="1">
      <c r="A1048" s="4">
        <v>14625584</v>
      </c>
      <c r="B1048" s="4" t="s">
        <v>8494</v>
      </c>
      <c r="C1048" s="4" t="s">
        <v>8495</v>
      </c>
      <c r="D1048" s="4" t="s">
        <v>8496</v>
      </c>
      <c r="E1048" s="4" t="s">
        <v>783</v>
      </c>
      <c r="F1048" s="4" t="s">
        <v>4863</v>
      </c>
      <c r="G1048" s="4">
        <v>2003</v>
      </c>
      <c r="H1048" s="25">
        <v>37945</v>
      </c>
      <c r="K1048" s="4" t="s">
        <v>784</v>
      </c>
    </row>
    <row r="1049" spans="1:11" ht="15.75" customHeight="1">
      <c r="A1049" s="4">
        <v>35037602</v>
      </c>
      <c r="B1049" s="4" t="s">
        <v>8491</v>
      </c>
      <c r="C1049" s="4" t="s">
        <v>8492</v>
      </c>
      <c r="D1049" s="4" t="s">
        <v>8493</v>
      </c>
      <c r="E1049" s="4" t="s">
        <v>3885</v>
      </c>
      <c r="F1049" s="4" t="s">
        <v>5706</v>
      </c>
      <c r="G1049" s="4">
        <v>2022</v>
      </c>
      <c r="H1049" s="25">
        <v>44578</v>
      </c>
      <c r="K1049" s="4" t="s">
        <v>3886</v>
      </c>
    </row>
    <row r="1050" spans="1:11" ht="15.75" customHeight="1">
      <c r="A1050" s="4">
        <v>18679368</v>
      </c>
      <c r="B1050" s="4" t="s">
        <v>8497</v>
      </c>
      <c r="C1050" s="4" t="s">
        <v>8498</v>
      </c>
      <c r="D1050" s="4" t="s">
        <v>8499</v>
      </c>
      <c r="E1050" s="4" t="s">
        <v>726</v>
      </c>
      <c r="F1050" s="4" t="s">
        <v>4863</v>
      </c>
      <c r="G1050" s="4">
        <v>2008</v>
      </c>
      <c r="H1050" s="25">
        <v>39666</v>
      </c>
      <c r="K1050" s="4" t="s">
        <v>727</v>
      </c>
    </row>
    <row r="1051" spans="1:11" ht="15.75" customHeight="1">
      <c r="A1051" s="4">
        <v>21794043</v>
      </c>
      <c r="B1051" s="4" t="s">
        <v>8541</v>
      </c>
      <c r="C1051" s="4" t="s">
        <v>8542</v>
      </c>
      <c r="D1051" s="4" t="s">
        <v>8543</v>
      </c>
      <c r="E1051" s="4" t="s">
        <v>186</v>
      </c>
      <c r="F1051" s="4" t="s">
        <v>4974</v>
      </c>
      <c r="G1051" s="4">
        <v>2012</v>
      </c>
      <c r="H1051" s="25">
        <v>40753</v>
      </c>
      <c r="K1051" s="4" t="s">
        <v>667</v>
      </c>
    </row>
    <row r="1052" spans="1:11" ht="15.75" customHeight="1">
      <c r="A1052" s="4">
        <v>11243630</v>
      </c>
      <c r="B1052" s="4" t="s">
        <v>8524</v>
      </c>
      <c r="C1052" s="4" t="s">
        <v>8525</v>
      </c>
      <c r="D1052" s="4" t="s">
        <v>8526</v>
      </c>
      <c r="E1052" s="4" t="s">
        <v>2716</v>
      </c>
      <c r="F1052" s="4" t="s">
        <v>6990</v>
      </c>
      <c r="G1052" s="4">
        <v>2000</v>
      </c>
      <c r="H1052" s="25">
        <v>36963</v>
      </c>
      <c r="K1052" s="4" t="s">
        <v>2717</v>
      </c>
    </row>
    <row r="1053" spans="1:11" ht="15.75" customHeight="1">
      <c r="A1053" s="4">
        <v>10534732</v>
      </c>
      <c r="B1053" s="4" t="s">
        <v>8500</v>
      </c>
      <c r="C1053" s="4" t="s">
        <v>8501</v>
      </c>
      <c r="D1053" s="4" t="s">
        <v>8502</v>
      </c>
      <c r="E1053" s="4" t="s">
        <v>2214</v>
      </c>
      <c r="F1053" s="4" t="s">
        <v>4923</v>
      </c>
      <c r="G1053" s="4">
        <v>1999</v>
      </c>
      <c r="H1053" s="25">
        <v>36460</v>
      </c>
      <c r="K1053" s="4" t="s">
        <v>2217</v>
      </c>
    </row>
    <row r="1054" spans="1:11" ht="15.75" customHeight="1">
      <c r="A1054" s="4">
        <v>24601914</v>
      </c>
      <c r="B1054" s="4" t="s">
        <v>8503</v>
      </c>
      <c r="C1054" s="4" t="s">
        <v>8504</v>
      </c>
      <c r="D1054" s="4" t="s">
        <v>8505</v>
      </c>
      <c r="E1054" s="4" t="s">
        <v>3438</v>
      </c>
      <c r="F1054" s="4" t="s">
        <v>7207</v>
      </c>
      <c r="G1054" s="4">
        <v>2014</v>
      </c>
      <c r="H1054" s="25">
        <v>41706</v>
      </c>
      <c r="K1054" s="4" t="s">
        <v>3439</v>
      </c>
    </row>
    <row r="1055" spans="1:11" ht="15.75" customHeight="1">
      <c r="A1055" s="4">
        <v>7893982</v>
      </c>
      <c r="B1055" s="4" t="s">
        <v>8506</v>
      </c>
      <c r="C1055" s="4" t="s">
        <v>8507</v>
      </c>
      <c r="D1055" s="4" t="s">
        <v>8508</v>
      </c>
      <c r="E1055" s="4" t="s">
        <v>1063</v>
      </c>
      <c r="F1055" s="4" t="s">
        <v>4954</v>
      </c>
      <c r="G1055" s="4">
        <v>1994</v>
      </c>
      <c r="H1055" s="25">
        <v>34516</v>
      </c>
    </row>
    <row r="1056" spans="1:11" ht="15.75" customHeight="1">
      <c r="A1056" s="4">
        <v>1337560</v>
      </c>
      <c r="B1056" s="4" t="s">
        <v>8555</v>
      </c>
      <c r="C1056" s="4" t="s">
        <v>8556</v>
      </c>
      <c r="D1056" s="4" t="s">
        <v>8557</v>
      </c>
      <c r="E1056" s="4" t="s">
        <v>3381</v>
      </c>
      <c r="F1056" s="4" t="s">
        <v>5031</v>
      </c>
      <c r="G1056" s="4">
        <v>1992</v>
      </c>
      <c r="H1056" s="25">
        <v>33909</v>
      </c>
    </row>
    <row r="1057" spans="1:11" ht="15.75" customHeight="1">
      <c r="A1057" s="4">
        <v>8617868</v>
      </c>
      <c r="B1057" s="4" t="s">
        <v>8519</v>
      </c>
      <c r="C1057" s="4" t="s">
        <v>8520</v>
      </c>
      <c r="D1057" s="4" t="s">
        <v>8521</v>
      </c>
      <c r="E1057" s="4" t="s">
        <v>2051</v>
      </c>
      <c r="F1057" s="4" t="s">
        <v>8522</v>
      </c>
      <c r="G1057" s="4">
        <v>1996</v>
      </c>
      <c r="H1057" s="25">
        <v>35139</v>
      </c>
      <c r="I1057" s="4" t="s">
        <v>8523</v>
      </c>
      <c r="K1057" s="4" t="s">
        <v>2059</v>
      </c>
    </row>
    <row r="1058" spans="1:11" ht="15.75" customHeight="1">
      <c r="A1058" s="4">
        <v>17151208</v>
      </c>
      <c r="B1058" s="4" t="s">
        <v>8509</v>
      </c>
      <c r="C1058" s="4" t="s">
        <v>8510</v>
      </c>
      <c r="D1058" s="4" t="s">
        <v>8511</v>
      </c>
      <c r="E1058" s="4" t="s">
        <v>1281</v>
      </c>
      <c r="F1058" s="4" t="s">
        <v>5331</v>
      </c>
      <c r="G1058" s="4">
        <v>2007</v>
      </c>
      <c r="H1058" s="25">
        <v>39059</v>
      </c>
      <c r="I1058" s="4" t="s">
        <v>8512</v>
      </c>
      <c r="K1058" s="4" t="s">
        <v>1282</v>
      </c>
    </row>
    <row r="1059" spans="1:11" ht="15.75" customHeight="1">
      <c r="A1059" s="4">
        <v>20832191</v>
      </c>
      <c r="B1059" s="4" t="s">
        <v>8527</v>
      </c>
      <c r="C1059" s="4" t="s">
        <v>4956</v>
      </c>
      <c r="D1059" s="4" t="s">
        <v>8528</v>
      </c>
      <c r="E1059" s="4" t="s">
        <v>1118</v>
      </c>
      <c r="F1059" s="4" t="s">
        <v>8060</v>
      </c>
      <c r="G1059" s="4">
        <v>2011</v>
      </c>
      <c r="H1059" s="25">
        <v>40435</v>
      </c>
      <c r="K1059" s="4" t="s">
        <v>1128</v>
      </c>
    </row>
    <row r="1060" spans="1:11" ht="15.75" customHeight="1">
      <c r="A1060" s="4">
        <v>29975251</v>
      </c>
      <c r="B1060" s="4" t="s">
        <v>8513</v>
      </c>
      <c r="C1060" s="4" t="s">
        <v>8514</v>
      </c>
      <c r="D1060" s="4" t="s">
        <v>8515</v>
      </c>
      <c r="E1060" s="4" t="s">
        <v>1259</v>
      </c>
      <c r="F1060" s="4" t="s">
        <v>8516</v>
      </c>
      <c r="G1060" s="4">
        <v>2018</v>
      </c>
      <c r="H1060" s="25">
        <v>43287</v>
      </c>
      <c r="I1060" s="4" t="s">
        <v>8517</v>
      </c>
      <c r="J1060" s="4" t="s">
        <v>8518</v>
      </c>
      <c r="K1060" s="4" t="s">
        <v>1260</v>
      </c>
    </row>
    <row r="1061" spans="1:11" ht="15.75" customHeight="1">
      <c r="A1061" s="4">
        <v>21620128</v>
      </c>
      <c r="B1061" s="4" t="s">
        <v>8532</v>
      </c>
      <c r="C1061" s="4" t="s">
        <v>8533</v>
      </c>
      <c r="D1061" s="4" t="s">
        <v>8534</v>
      </c>
      <c r="E1061" s="4" t="s">
        <v>3863</v>
      </c>
      <c r="F1061" s="4" t="s">
        <v>5696</v>
      </c>
      <c r="G1061" s="4">
        <v>2011</v>
      </c>
      <c r="H1061" s="25">
        <v>40694</v>
      </c>
      <c r="K1061" s="4" t="s">
        <v>3866</v>
      </c>
    </row>
    <row r="1062" spans="1:11" ht="15.75" customHeight="1">
      <c r="A1062" s="4">
        <v>30351743</v>
      </c>
      <c r="B1062" s="4" t="s">
        <v>8529</v>
      </c>
      <c r="C1062" s="4" t="s">
        <v>8530</v>
      </c>
      <c r="D1062" s="4" t="s">
        <v>8531</v>
      </c>
      <c r="E1062" s="4" t="s">
        <v>4294</v>
      </c>
      <c r="F1062" s="4" t="s">
        <v>7712</v>
      </c>
      <c r="G1062" s="4">
        <v>2016</v>
      </c>
      <c r="H1062" s="25">
        <v>43397</v>
      </c>
    </row>
    <row r="1063" spans="1:11" ht="15.75" customHeight="1">
      <c r="A1063" s="4">
        <v>12073575</v>
      </c>
      <c r="B1063" s="4" t="s">
        <v>8535</v>
      </c>
      <c r="C1063" s="4" t="s">
        <v>8536</v>
      </c>
      <c r="D1063" s="4" t="s">
        <v>8537</v>
      </c>
      <c r="E1063" s="4" t="s">
        <v>4588</v>
      </c>
      <c r="F1063" s="4" t="s">
        <v>6675</v>
      </c>
      <c r="G1063" s="4">
        <v>2002</v>
      </c>
      <c r="H1063" s="25">
        <v>37428</v>
      </c>
      <c r="K1063" s="4" t="s">
        <v>4589</v>
      </c>
    </row>
    <row r="1064" spans="1:11" ht="15.75" customHeight="1">
      <c r="A1064" s="4">
        <v>21805894</v>
      </c>
      <c r="B1064" s="4" t="s">
        <v>8544</v>
      </c>
      <c r="C1064" s="4" t="s">
        <v>8545</v>
      </c>
      <c r="D1064" s="4" t="s">
        <v>8546</v>
      </c>
      <c r="E1064" s="4" t="s">
        <v>2875</v>
      </c>
      <c r="F1064" s="4" t="s">
        <v>8547</v>
      </c>
      <c r="G1064" s="4">
        <v>2011</v>
      </c>
      <c r="H1064" s="25">
        <v>40758</v>
      </c>
    </row>
    <row r="1065" spans="1:11" ht="15.75" customHeight="1">
      <c r="A1065" s="4">
        <v>16365449</v>
      </c>
      <c r="B1065" s="4" t="s">
        <v>8558</v>
      </c>
      <c r="C1065" s="4" t="s">
        <v>8559</v>
      </c>
      <c r="D1065" s="4" t="s">
        <v>8560</v>
      </c>
      <c r="E1065" s="4" t="s">
        <v>1865</v>
      </c>
      <c r="F1065" s="4" t="s">
        <v>6293</v>
      </c>
      <c r="G1065" s="4">
        <v>2006</v>
      </c>
      <c r="H1065" s="25">
        <v>38707</v>
      </c>
      <c r="K1065" s="4" t="s">
        <v>1866</v>
      </c>
    </row>
    <row r="1066" spans="1:11" ht="15.75" customHeight="1">
      <c r="A1066" s="4">
        <v>37515280</v>
      </c>
      <c r="B1066" s="4" t="s">
        <v>8551</v>
      </c>
      <c r="C1066" s="4" t="s">
        <v>8552</v>
      </c>
      <c r="D1066" s="4" t="s">
        <v>8553</v>
      </c>
      <c r="E1066" s="4" t="s">
        <v>3104</v>
      </c>
      <c r="F1066" s="4" t="s">
        <v>4842</v>
      </c>
      <c r="G1066" s="4">
        <v>2023</v>
      </c>
      <c r="H1066" s="25">
        <v>45136</v>
      </c>
      <c r="I1066" s="4" t="s">
        <v>8554</v>
      </c>
      <c r="K1066" s="4" t="s">
        <v>3105</v>
      </c>
    </row>
    <row r="1067" spans="1:11" ht="15.75" customHeight="1">
      <c r="A1067" s="4">
        <v>1317489</v>
      </c>
      <c r="B1067" s="4" t="s">
        <v>8548</v>
      </c>
      <c r="C1067" s="4" t="s">
        <v>8549</v>
      </c>
      <c r="D1067" s="4" t="s">
        <v>8550</v>
      </c>
      <c r="E1067" s="4" t="s">
        <v>4157</v>
      </c>
      <c r="F1067" s="4" t="s">
        <v>6382</v>
      </c>
      <c r="G1067" s="4">
        <v>1992</v>
      </c>
      <c r="H1067" s="25">
        <v>33725</v>
      </c>
    </row>
    <row r="1068" spans="1:11" ht="15.75" customHeight="1">
      <c r="A1068" s="4">
        <v>19935727</v>
      </c>
      <c r="B1068" s="4" t="s">
        <v>8538</v>
      </c>
      <c r="C1068" s="4" t="s">
        <v>8539</v>
      </c>
      <c r="D1068" s="4" t="s">
        <v>8540</v>
      </c>
      <c r="E1068" s="4" t="s">
        <v>200</v>
      </c>
      <c r="F1068" s="4" t="s">
        <v>4863</v>
      </c>
      <c r="G1068" s="4">
        <v>2010</v>
      </c>
      <c r="H1068" s="25">
        <v>40143</v>
      </c>
      <c r="K1068" s="4" t="s">
        <v>314</v>
      </c>
    </row>
    <row r="1069" spans="1:11" ht="15.75" customHeight="1">
      <c r="A1069" s="4">
        <v>26226409</v>
      </c>
      <c r="B1069" s="4" t="s">
        <v>8561</v>
      </c>
      <c r="C1069" s="4" t="s">
        <v>8562</v>
      </c>
      <c r="D1069" s="4" t="s">
        <v>8563</v>
      </c>
      <c r="E1069" s="4" t="s">
        <v>457</v>
      </c>
      <c r="F1069" s="4" t="s">
        <v>5076</v>
      </c>
      <c r="G1069" s="4">
        <v>2015</v>
      </c>
      <c r="H1069" s="25">
        <v>42216</v>
      </c>
      <c r="K1069" s="4" t="s">
        <v>458</v>
      </c>
    </row>
    <row r="1070" spans="1:11" ht="15.75" customHeight="1">
      <c r="A1070" s="4">
        <v>12829900</v>
      </c>
      <c r="B1070" s="4" t="s">
        <v>8564</v>
      </c>
      <c r="C1070" s="4" t="s">
        <v>8565</v>
      </c>
      <c r="D1070" s="4" t="s">
        <v>8566</v>
      </c>
      <c r="E1070" s="4" t="s">
        <v>2535</v>
      </c>
      <c r="F1070" s="4" t="s">
        <v>5445</v>
      </c>
      <c r="G1070" s="4">
        <v>2003</v>
      </c>
      <c r="H1070" s="25">
        <v>37800</v>
      </c>
      <c r="K1070" s="4" t="s">
        <v>2536</v>
      </c>
    </row>
    <row r="1071" spans="1:11" ht="15.75" customHeight="1">
      <c r="A1071" s="4">
        <v>16679694</v>
      </c>
      <c r="B1071" s="4" t="s">
        <v>8567</v>
      </c>
      <c r="C1071" s="4" t="s">
        <v>6689</v>
      </c>
      <c r="D1071" s="4" t="s">
        <v>8568</v>
      </c>
      <c r="E1071" s="4" t="s">
        <v>195</v>
      </c>
      <c r="F1071" s="4" t="s">
        <v>8569</v>
      </c>
      <c r="G1071" s="4">
        <v>2006</v>
      </c>
      <c r="H1071" s="25">
        <v>38846</v>
      </c>
      <c r="K1071" s="4" t="s">
        <v>4667</v>
      </c>
    </row>
    <row r="1072" spans="1:11" ht="15.75" customHeight="1">
      <c r="A1072" s="4">
        <v>19937484</v>
      </c>
      <c r="B1072" s="4" t="s">
        <v>8570</v>
      </c>
      <c r="C1072" s="4" t="s">
        <v>8571</v>
      </c>
      <c r="D1072" s="4" t="s">
        <v>8572</v>
      </c>
      <c r="E1072" s="4" t="s">
        <v>3347</v>
      </c>
      <c r="F1072" s="4" t="s">
        <v>4927</v>
      </c>
      <c r="G1072" s="4">
        <v>2009</v>
      </c>
      <c r="H1072" s="25">
        <v>40143</v>
      </c>
      <c r="K1072" s="4" t="s">
        <v>3348</v>
      </c>
    </row>
    <row r="1073" spans="1:11" ht="15.75" customHeight="1">
      <c r="A1073" s="4">
        <v>19222466</v>
      </c>
      <c r="B1073" s="4" t="s">
        <v>8573</v>
      </c>
      <c r="C1073" s="4" t="s">
        <v>8574</v>
      </c>
      <c r="D1073" s="4" t="s">
        <v>8575</v>
      </c>
      <c r="E1073" s="4" t="s">
        <v>2437</v>
      </c>
      <c r="F1073" s="4" t="s">
        <v>5211</v>
      </c>
      <c r="G1073" s="4">
        <v>2009</v>
      </c>
      <c r="H1073" s="25">
        <v>39863</v>
      </c>
      <c r="K1073" s="4" t="s">
        <v>2444</v>
      </c>
    </row>
    <row r="1074" spans="1:11" ht="15.75" customHeight="1">
      <c r="A1074" s="4">
        <v>33533228</v>
      </c>
      <c r="B1074" s="4" t="s">
        <v>8576</v>
      </c>
      <c r="C1074" s="4" t="s">
        <v>8577</v>
      </c>
      <c r="D1074" s="4" t="s">
        <v>8578</v>
      </c>
      <c r="E1074" s="4" t="s">
        <v>2841</v>
      </c>
      <c r="F1074" s="4" t="s">
        <v>7389</v>
      </c>
      <c r="G1074" s="4">
        <v>2021</v>
      </c>
      <c r="H1074" s="25">
        <v>44230</v>
      </c>
      <c r="K1074" s="4" t="s">
        <v>2842</v>
      </c>
    </row>
    <row r="1075" spans="1:11" ht="15.75" customHeight="1">
      <c r="A1075" s="4">
        <v>16176416</v>
      </c>
      <c r="B1075" s="4" t="s">
        <v>8591</v>
      </c>
      <c r="C1075" s="4" t="s">
        <v>8592</v>
      </c>
      <c r="D1075" s="4" t="s">
        <v>8593</v>
      </c>
      <c r="E1075" s="4" t="s">
        <v>3941</v>
      </c>
      <c r="F1075" s="4" t="s">
        <v>5543</v>
      </c>
      <c r="G1075" s="4">
        <v>2005</v>
      </c>
      <c r="H1075" s="25">
        <v>38619</v>
      </c>
      <c r="K1075" s="4" t="s">
        <v>3942</v>
      </c>
    </row>
    <row r="1076" spans="1:11" ht="15.75" customHeight="1">
      <c r="A1076" s="4">
        <v>10483141</v>
      </c>
      <c r="B1076" s="4" t="s">
        <v>8606</v>
      </c>
      <c r="C1076" s="4" t="s">
        <v>8607</v>
      </c>
      <c r="D1076" s="4" t="s">
        <v>8608</v>
      </c>
      <c r="E1076" s="4" t="s">
        <v>2311</v>
      </c>
      <c r="F1076" s="4" t="s">
        <v>5047</v>
      </c>
      <c r="G1076" s="4">
        <v>1999</v>
      </c>
      <c r="H1076" s="25">
        <v>36417</v>
      </c>
    </row>
    <row r="1077" spans="1:11" ht="15.75" customHeight="1">
      <c r="A1077" s="4">
        <v>18310542</v>
      </c>
      <c r="B1077" s="4" t="s">
        <v>8579</v>
      </c>
      <c r="C1077" s="4" t="s">
        <v>8580</v>
      </c>
      <c r="D1077" s="4" t="s">
        <v>8581</v>
      </c>
      <c r="E1077" s="4" t="s">
        <v>4142</v>
      </c>
      <c r="F1077" s="4" t="s">
        <v>6289</v>
      </c>
      <c r="G1077" s="4">
        <v>2008</v>
      </c>
      <c r="H1077" s="25">
        <v>39511</v>
      </c>
      <c r="K1077" s="4" t="s">
        <v>4143</v>
      </c>
    </row>
    <row r="1078" spans="1:11" ht="15.75" customHeight="1">
      <c r="A1078" s="4">
        <v>30014227</v>
      </c>
      <c r="B1078" s="4" t="s">
        <v>8597</v>
      </c>
      <c r="C1078" s="4" t="s">
        <v>8598</v>
      </c>
      <c r="D1078" s="4" t="s">
        <v>8599</v>
      </c>
      <c r="E1078" s="4" t="s">
        <v>905</v>
      </c>
      <c r="F1078" s="4" t="s">
        <v>4927</v>
      </c>
      <c r="G1078" s="4">
        <v>2018</v>
      </c>
      <c r="H1078" s="25">
        <v>43299</v>
      </c>
      <c r="K1078" s="4" t="s">
        <v>908</v>
      </c>
    </row>
    <row r="1079" spans="1:11" ht="15.75" customHeight="1">
      <c r="A1079" s="4">
        <v>20466275</v>
      </c>
      <c r="B1079" s="4" t="s">
        <v>8609</v>
      </c>
      <c r="C1079" s="4" t="s">
        <v>8610</v>
      </c>
      <c r="D1079" s="4" t="s">
        <v>8611</v>
      </c>
      <c r="E1079" s="4" t="s">
        <v>3973</v>
      </c>
      <c r="F1079" s="4" t="s">
        <v>8612</v>
      </c>
      <c r="G1079" s="4">
        <v>2010</v>
      </c>
      <c r="H1079" s="25">
        <v>40313</v>
      </c>
      <c r="K1079" s="4" t="s">
        <v>3974</v>
      </c>
    </row>
    <row r="1080" spans="1:11" ht="15.75" customHeight="1">
      <c r="A1080" s="4">
        <v>12098068</v>
      </c>
      <c r="B1080" s="4" t="s">
        <v>8584</v>
      </c>
      <c r="C1080" s="4" t="s">
        <v>8585</v>
      </c>
      <c r="D1080" s="4" t="s">
        <v>8586</v>
      </c>
      <c r="E1080" s="4" t="s">
        <v>1630</v>
      </c>
      <c r="F1080" s="4" t="s">
        <v>4863</v>
      </c>
      <c r="G1080" s="4">
        <v>2002</v>
      </c>
      <c r="H1080" s="25">
        <v>37442</v>
      </c>
      <c r="K1080" s="4" t="s">
        <v>1631</v>
      </c>
    </row>
    <row r="1081" spans="1:11" ht="15.75" customHeight="1">
      <c r="A1081" s="4">
        <v>14624112</v>
      </c>
      <c r="B1081" s="4" t="s">
        <v>8582</v>
      </c>
      <c r="C1081" s="4" t="s">
        <v>6689</v>
      </c>
      <c r="D1081" s="4" t="s">
        <v>8583</v>
      </c>
      <c r="E1081" s="4" t="s">
        <v>195</v>
      </c>
      <c r="F1081" s="4" t="s">
        <v>5035</v>
      </c>
      <c r="G1081" s="4">
        <v>2003</v>
      </c>
      <c r="H1081" s="25">
        <v>37944</v>
      </c>
      <c r="K1081" s="4" t="s">
        <v>4669</v>
      </c>
    </row>
    <row r="1082" spans="1:11" ht="15.75" customHeight="1">
      <c r="A1082" s="4">
        <v>34696402</v>
      </c>
      <c r="B1082" s="4" t="s">
        <v>8587</v>
      </c>
      <c r="C1082" s="4" t="s">
        <v>8588</v>
      </c>
      <c r="D1082" s="4" t="s">
        <v>8589</v>
      </c>
      <c r="E1082" s="4" t="s">
        <v>4204</v>
      </c>
      <c r="F1082" s="4" t="s">
        <v>4842</v>
      </c>
      <c r="G1082" s="4">
        <v>2021</v>
      </c>
      <c r="H1082" s="25">
        <v>44495</v>
      </c>
      <c r="I1082" s="4" t="s">
        <v>8590</v>
      </c>
      <c r="K1082" s="4" t="s">
        <v>4205</v>
      </c>
    </row>
    <row r="1083" spans="1:11" ht="15.75" customHeight="1">
      <c r="A1083" s="4">
        <v>9177444</v>
      </c>
      <c r="B1083" s="4" t="s">
        <v>8594</v>
      </c>
      <c r="C1083" s="4" t="s">
        <v>8595</v>
      </c>
      <c r="D1083" s="4" t="s">
        <v>8596</v>
      </c>
      <c r="E1083" s="4" t="s">
        <v>1764</v>
      </c>
      <c r="F1083" s="4" t="s">
        <v>6382</v>
      </c>
      <c r="G1083" s="4">
        <v>1997</v>
      </c>
      <c r="H1083" s="25">
        <v>35582</v>
      </c>
      <c r="K1083" s="4" t="s">
        <v>1767</v>
      </c>
    </row>
    <row r="1084" spans="1:11" ht="15.75" customHeight="1">
      <c r="A1084" s="4">
        <v>11926744</v>
      </c>
      <c r="B1084" s="4" t="s">
        <v>8603</v>
      </c>
      <c r="C1084" s="4" t="s">
        <v>8604</v>
      </c>
      <c r="D1084" s="4" t="s">
        <v>8605</v>
      </c>
      <c r="E1084" s="4" t="s">
        <v>3540</v>
      </c>
      <c r="F1084" s="4" t="s">
        <v>4974</v>
      </c>
      <c r="G1084" s="4">
        <v>2001</v>
      </c>
      <c r="H1084" s="25">
        <v>37349</v>
      </c>
      <c r="K1084" s="4" t="s">
        <v>3541</v>
      </c>
    </row>
    <row r="1085" spans="1:11" ht="15.75" customHeight="1">
      <c r="A1085" s="4">
        <v>24335203</v>
      </c>
      <c r="B1085" s="4" t="s">
        <v>8600</v>
      </c>
      <c r="C1085" s="4" t="s">
        <v>8601</v>
      </c>
      <c r="D1085" s="4" t="s">
        <v>8602</v>
      </c>
      <c r="E1085" s="4" t="s">
        <v>1905</v>
      </c>
      <c r="F1085" s="4" t="s">
        <v>8291</v>
      </c>
      <c r="G1085" s="4">
        <v>2014</v>
      </c>
      <c r="H1085" s="25">
        <v>41625</v>
      </c>
      <c r="K1085" s="4" t="s">
        <v>1916</v>
      </c>
    </row>
    <row r="1086" spans="1:11" ht="15.75" customHeight="1">
      <c r="A1086" s="4">
        <v>10868648</v>
      </c>
      <c r="B1086" s="4" t="s">
        <v>8629</v>
      </c>
      <c r="C1086" s="4" t="s">
        <v>8630</v>
      </c>
      <c r="D1086" s="4" t="s">
        <v>8631</v>
      </c>
      <c r="E1086" s="4" t="s">
        <v>2697</v>
      </c>
      <c r="F1086" s="4" t="s">
        <v>5445</v>
      </c>
      <c r="G1086" s="4">
        <v>2000</v>
      </c>
      <c r="H1086" s="25">
        <v>36704</v>
      </c>
      <c r="K1086" s="4" t="s">
        <v>2698</v>
      </c>
    </row>
    <row r="1087" spans="1:11" ht="15.75" customHeight="1">
      <c r="A1087" s="4">
        <v>20956957</v>
      </c>
      <c r="B1087" s="4" t="s">
        <v>8613</v>
      </c>
      <c r="C1087" s="4" t="s">
        <v>8614</v>
      </c>
      <c r="D1087" s="4" t="s">
        <v>8615</v>
      </c>
      <c r="E1087" s="4" t="s">
        <v>505</v>
      </c>
      <c r="F1087" s="4" t="s">
        <v>4863</v>
      </c>
      <c r="G1087" s="4">
        <v>2011</v>
      </c>
      <c r="H1087" s="25">
        <v>40471</v>
      </c>
      <c r="K1087" s="4" t="s">
        <v>506</v>
      </c>
    </row>
    <row r="1088" spans="1:11" ht="15.75" customHeight="1">
      <c r="A1088" s="4">
        <v>16303014</v>
      </c>
      <c r="B1088" s="4" t="s">
        <v>8616</v>
      </c>
      <c r="C1088" s="4" t="s">
        <v>8617</v>
      </c>
      <c r="D1088" s="4" t="s">
        <v>8618</v>
      </c>
      <c r="E1088" s="4" t="s">
        <v>3364</v>
      </c>
      <c r="F1088" s="4" t="s">
        <v>5726</v>
      </c>
      <c r="G1088" s="4">
        <v>2005</v>
      </c>
      <c r="H1088" s="25">
        <v>38680</v>
      </c>
      <c r="K1088" s="4" t="s">
        <v>3365</v>
      </c>
    </row>
    <row r="1089" spans="1:11" ht="15.75" customHeight="1">
      <c r="A1089" s="4">
        <v>16148562</v>
      </c>
      <c r="B1089" s="4" t="s">
        <v>8619</v>
      </c>
      <c r="C1089" s="4" t="s">
        <v>8620</v>
      </c>
      <c r="D1089" s="4" t="s">
        <v>8621</v>
      </c>
      <c r="E1089" s="4" t="s">
        <v>2829</v>
      </c>
      <c r="F1089" s="4" t="s">
        <v>8622</v>
      </c>
      <c r="G1089" s="4">
        <v>2005</v>
      </c>
      <c r="H1089" s="25">
        <v>38604</v>
      </c>
      <c r="K1089" s="4" t="s">
        <v>2830</v>
      </c>
    </row>
    <row r="1090" spans="1:11" ht="15.75" customHeight="1">
      <c r="A1090" s="4">
        <v>31338899</v>
      </c>
      <c r="B1090" s="4" t="s">
        <v>8638</v>
      </c>
      <c r="C1090" s="4" t="s">
        <v>8639</v>
      </c>
      <c r="D1090" s="4" t="s">
        <v>8640</v>
      </c>
      <c r="E1090" s="4" t="s">
        <v>1386</v>
      </c>
      <c r="F1090" s="4" t="s">
        <v>8641</v>
      </c>
      <c r="G1090" s="4">
        <v>2019</v>
      </c>
      <c r="H1090" s="25">
        <v>43671</v>
      </c>
      <c r="K1090" s="4" t="s">
        <v>1387</v>
      </c>
    </row>
    <row r="1091" spans="1:11" ht="15.75" customHeight="1">
      <c r="A1091" s="4">
        <v>20685258</v>
      </c>
      <c r="B1091" s="4" t="s">
        <v>8658</v>
      </c>
      <c r="C1091" s="4" t="s">
        <v>8659</v>
      </c>
      <c r="D1091" s="4" t="s">
        <v>8660</v>
      </c>
      <c r="E1091" s="4" t="s">
        <v>757</v>
      </c>
      <c r="F1091" s="4" t="s">
        <v>5076</v>
      </c>
      <c r="G1091" s="4">
        <v>2010</v>
      </c>
      <c r="H1091" s="25">
        <v>40396</v>
      </c>
      <c r="K1091" s="4" t="s">
        <v>758</v>
      </c>
    </row>
    <row r="1092" spans="1:11" ht="15.75" customHeight="1">
      <c r="A1092" s="4">
        <v>1346889</v>
      </c>
      <c r="B1092" s="4" t="s">
        <v>8623</v>
      </c>
      <c r="C1092" s="4" t="s">
        <v>8624</v>
      </c>
      <c r="D1092" s="4" t="s">
        <v>8625</v>
      </c>
      <c r="E1092" s="4" t="s">
        <v>3367</v>
      </c>
      <c r="F1092" s="4" t="s">
        <v>6147</v>
      </c>
      <c r="G1092" s="4">
        <v>1992</v>
      </c>
      <c r="H1092" s="25">
        <v>33663</v>
      </c>
      <c r="K1092" s="4" t="s">
        <v>3368</v>
      </c>
    </row>
    <row r="1093" spans="1:11" ht="15.75" customHeight="1">
      <c r="A1093" s="4">
        <v>19522847</v>
      </c>
      <c r="B1093" s="4" t="s">
        <v>8626</v>
      </c>
      <c r="C1093" s="4" t="s">
        <v>8627</v>
      </c>
      <c r="D1093" s="4" t="s">
        <v>8628</v>
      </c>
      <c r="E1093" s="4" t="s">
        <v>2119</v>
      </c>
      <c r="F1093" s="4" t="s">
        <v>6939</v>
      </c>
      <c r="G1093" s="4">
        <v>2010</v>
      </c>
      <c r="H1093" s="25">
        <v>39980</v>
      </c>
      <c r="K1093" s="4" t="s">
        <v>2120</v>
      </c>
    </row>
    <row r="1094" spans="1:11" ht="15.75" customHeight="1">
      <c r="A1094" s="4">
        <v>7998088</v>
      </c>
      <c r="B1094" s="4" t="s">
        <v>8632</v>
      </c>
      <c r="C1094" s="4" t="s">
        <v>8633</v>
      </c>
      <c r="D1094" s="4" t="s">
        <v>8634</v>
      </c>
      <c r="E1094" s="4" t="s">
        <v>669</v>
      </c>
      <c r="F1094" s="4" t="s">
        <v>5696</v>
      </c>
      <c r="G1094" s="4">
        <v>1994</v>
      </c>
      <c r="H1094" s="25">
        <v>34669</v>
      </c>
    </row>
    <row r="1095" spans="1:11" ht="15.75" customHeight="1">
      <c r="A1095" s="4">
        <v>26132825</v>
      </c>
      <c r="B1095" s="4" t="s">
        <v>8655</v>
      </c>
      <c r="C1095" s="4" t="s">
        <v>8656</v>
      </c>
      <c r="D1095" s="4" t="s">
        <v>8657</v>
      </c>
      <c r="E1095" s="4" t="s">
        <v>290</v>
      </c>
      <c r="F1095" s="4" t="s">
        <v>5982</v>
      </c>
      <c r="G1095" s="4">
        <v>2015</v>
      </c>
      <c r="H1095" s="25">
        <v>42187</v>
      </c>
      <c r="K1095" s="4" t="s">
        <v>420</v>
      </c>
    </row>
    <row r="1096" spans="1:11" ht="15.75" customHeight="1">
      <c r="A1096" s="4">
        <v>8610400</v>
      </c>
      <c r="B1096" s="4" t="s">
        <v>8635</v>
      </c>
      <c r="C1096" s="4" t="s">
        <v>8636</v>
      </c>
      <c r="D1096" s="4" t="s">
        <v>8637</v>
      </c>
      <c r="E1096" s="4" t="s">
        <v>3923</v>
      </c>
      <c r="F1096" s="4" t="s">
        <v>5445</v>
      </c>
      <c r="G1096" s="4">
        <v>1996</v>
      </c>
      <c r="H1096" s="25">
        <v>35122</v>
      </c>
      <c r="K1096" s="4" t="s">
        <v>3925</v>
      </c>
    </row>
    <row r="1097" spans="1:11" ht="15.75" customHeight="1">
      <c r="A1097" s="4">
        <v>28213954</v>
      </c>
      <c r="B1097" s="4" t="s">
        <v>8661</v>
      </c>
      <c r="C1097" s="4" t="s">
        <v>8662</v>
      </c>
      <c r="D1097" s="4" t="s">
        <v>8663</v>
      </c>
      <c r="E1097" s="4" t="s">
        <v>4603</v>
      </c>
      <c r="F1097" s="4" t="s">
        <v>5543</v>
      </c>
      <c r="G1097" s="4">
        <v>2017</v>
      </c>
      <c r="H1097" s="25">
        <v>42785</v>
      </c>
      <c r="K1097" s="4" t="s">
        <v>4604</v>
      </c>
    </row>
    <row r="1098" spans="1:11" ht="15.75" customHeight="1">
      <c r="A1098" s="4">
        <v>28551368</v>
      </c>
      <c r="B1098" s="4" t="s">
        <v>10982</v>
      </c>
      <c r="C1098" s="4" t="s">
        <v>8672</v>
      </c>
      <c r="D1098" s="4" t="s">
        <v>8673</v>
      </c>
      <c r="E1098" s="4" t="s">
        <v>536</v>
      </c>
      <c r="F1098" s="4" t="s">
        <v>5051</v>
      </c>
      <c r="G1098" s="4">
        <v>2017</v>
      </c>
      <c r="H1098" s="25">
        <v>42884</v>
      </c>
      <c r="K1098" s="4" t="s">
        <v>537</v>
      </c>
    </row>
    <row r="1099" spans="1:11" ht="15.75" customHeight="1">
      <c r="A1099" s="4">
        <v>19100492</v>
      </c>
      <c r="B1099" s="4" t="s">
        <v>8645</v>
      </c>
      <c r="C1099" s="4" t="s">
        <v>8646</v>
      </c>
      <c r="D1099" s="4" t="s">
        <v>8647</v>
      </c>
      <c r="E1099" s="4" t="s">
        <v>1868</v>
      </c>
      <c r="F1099" s="4" t="s">
        <v>5696</v>
      </c>
      <c r="G1099" s="4">
        <v>2008</v>
      </c>
      <c r="H1099" s="25">
        <v>39805</v>
      </c>
      <c r="K1099" s="4" t="s">
        <v>1869</v>
      </c>
    </row>
    <row r="1100" spans="1:11" ht="15.75" customHeight="1">
      <c r="A1100" s="4">
        <v>9236842</v>
      </c>
      <c r="B1100" s="4" t="s">
        <v>8677</v>
      </c>
      <c r="C1100" s="4" t="s">
        <v>8678</v>
      </c>
      <c r="D1100" s="4" t="s">
        <v>8679</v>
      </c>
      <c r="E1100" s="4" t="s">
        <v>3671</v>
      </c>
      <c r="F1100" s="4" t="s">
        <v>8516</v>
      </c>
      <c r="G1100" s="4">
        <v>1997</v>
      </c>
      <c r="H1100" s="25">
        <v>35612</v>
      </c>
      <c r="K1100" s="4" t="s">
        <v>3672</v>
      </c>
    </row>
    <row r="1101" spans="1:11" ht="15.75" customHeight="1">
      <c r="A1101" s="4">
        <v>2162397</v>
      </c>
      <c r="B1101" s="4" t="s">
        <v>8651</v>
      </c>
      <c r="C1101" s="4" t="s">
        <v>8652</v>
      </c>
      <c r="D1101" s="4" t="s">
        <v>8653</v>
      </c>
      <c r="E1101" s="4" t="s">
        <v>2177</v>
      </c>
      <c r="F1101" s="4" t="s">
        <v>8654</v>
      </c>
      <c r="G1101" s="4">
        <v>1990</v>
      </c>
      <c r="H1101" s="25">
        <v>33058</v>
      </c>
      <c r="K1101" s="4" t="s">
        <v>2178</v>
      </c>
    </row>
    <row r="1102" spans="1:11" ht="15.75" customHeight="1">
      <c r="A1102" s="4">
        <v>11420457</v>
      </c>
      <c r="B1102" s="4" t="s">
        <v>8648</v>
      </c>
      <c r="C1102" s="4" t="s">
        <v>8649</v>
      </c>
      <c r="D1102" s="4" t="s">
        <v>8650</v>
      </c>
      <c r="E1102" s="4" t="s">
        <v>1158</v>
      </c>
      <c r="F1102" s="4" t="s">
        <v>8516</v>
      </c>
      <c r="G1102" s="4">
        <v>2001</v>
      </c>
      <c r="H1102" s="25">
        <v>37065</v>
      </c>
      <c r="K1102" s="4" t="s">
        <v>1159</v>
      </c>
    </row>
    <row r="1103" spans="1:11" ht="15.75" customHeight="1">
      <c r="A1103" s="4">
        <v>25073037</v>
      </c>
      <c r="B1103" s="4" t="s">
        <v>8674</v>
      </c>
      <c r="C1103" s="4" t="s">
        <v>8675</v>
      </c>
      <c r="D1103" s="4" t="s">
        <v>8676</v>
      </c>
      <c r="E1103" s="4" t="s">
        <v>2025</v>
      </c>
      <c r="F1103" s="4" t="s">
        <v>5445</v>
      </c>
      <c r="G1103" s="4">
        <v>2015</v>
      </c>
      <c r="H1103" s="25">
        <v>41850</v>
      </c>
      <c r="K1103" s="4" t="s">
        <v>2026</v>
      </c>
    </row>
    <row r="1104" spans="1:11" ht="15.75" customHeight="1">
      <c r="A1104" s="4">
        <v>16289345</v>
      </c>
      <c r="B1104" s="4" t="s">
        <v>8314</v>
      </c>
      <c r="C1104" s="4" t="s">
        <v>8315</v>
      </c>
      <c r="D1104" s="4" t="s">
        <v>8316</v>
      </c>
      <c r="E1104" s="4" t="s">
        <v>4145</v>
      </c>
      <c r="F1104" s="4" t="s">
        <v>5267</v>
      </c>
      <c r="G1104" s="4">
        <v>2006</v>
      </c>
      <c r="H1104" s="25">
        <v>38674</v>
      </c>
      <c r="K1104" s="4" t="s">
        <v>4146</v>
      </c>
    </row>
    <row r="1105" spans="1:11" ht="15.75" customHeight="1">
      <c r="A1105" s="4">
        <v>20534025</v>
      </c>
      <c r="B1105" s="4" t="s">
        <v>8664</v>
      </c>
      <c r="C1105" s="4" t="s">
        <v>8665</v>
      </c>
      <c r="D1105" s="4" t="s">
        <v>8666</v>
      </c>
      <c r="E1105" s="4" t="s">
        <v>528</v>
      </c>
      <c r="F1105" s="4" t="s">
        <v>5543</v>
      </c>
      <c r="G1105" s="4">
        <v>2010</v>
      </c>
      <c r="H1105" s="25">
        <v>40340</v>
      </c>
      <c r="K1105" s="4" t="s">
        <v>529</v>
      </c>
    </row>
    <row r="1106" spans="1:11" ht="15.75" customHeight="1">
      <c r="A1106" s="4">
        <v>29499037</v>
      </c>
      <c r="B1106" s="4" t="s">
        <v>8667</v>
      </c>
      <c r="C1106" s="4" t="s">
        <v>8668</v>
      </c>
      <c r="D1106" s="4" t="s">
        <v>8669</v>
      </c>
      <c r="E1106" s="4" t="s">
        <v>1902</v>
      </c>
      <c r="F1106" s="4" t="s">
        <v>4978</v>
      </c>
      <c r="G1106" s="4">
        <v>2018</v>
      </c>
      <c r="H1106" s="25">
        <v>43162</v>
      </c>
      <c r="I1106" s="4" t="s">
        <v>8670</v>
      </c>
      <c r="K1106" s="4" t="s">
        <v>1903</v>
      </c>
    </row>
    <row r="1107" spans="1:11" ht="15.75" customHeight="1">
      <c r="A1107" s="4">
        <v>16313481</v>
      </c>
      <c r="B1107" s="4" t="s">
        <v>8697</v>
      </c>
      <c r="C1107" s="4" t="s">
        <v>8698</v>
      </c>
      <c r="D1107" s="4" t="s">
        <v>8699</v>
      </c>
      <c r="E1107" s="4" t="s">
        <v>1472</v>
      </c>
      <c r="F1107" s="4" t="s">
        <v>8700</v>
      </c>
      <c r="G1107" s="4">
        <v>2005</v>
      </c>
      <c r="H1107" s="25">
        <v>38686</v>
      </c>
      <c r="K1107" s="4" t="s">
        <v>1473</v>
      </c>
    </row>
    <row r="1108" spans="1:11" ht="15.75" customHeight="1">
      <c r="A1108" s="4">
        <v>10555198</v>
      </c>
      <c r="B1108" s="4" t="s">
        <v>8694</v>
      </c>
      <c r="C1108" s="4" t="s">
        <v>8695</v>
      </c>
      <c r="D1108" s="4" t="s">
        <v>8696</v>
      </c>
      <c r="E1108" s="4" t="s">
        <v>1199</v>
      </c>
      <c r="F1108" s="4" t="s">
        <v>5103</v>
      </c>
      <c r="G1108" s="4">
        <v>1999</v>
      </c>
      <c r="H1108" s="25">
        <v>36475</v>
      </c>
    </row>
    <row r="1109" spans="1:11" ht="15.75" customHeight="1">
      <c r="A1109" s="4">
        <v>23676599</v>
      </c>
      <c r="B1109" s="4" t="s">
        <v>8680</v>
      </c>
      <c r="C1109" s="4" t="s">
        <v>8681</v>
      </c>
      <c r="D1109" s="4" t="s">
        <v>8682</v>
      </c>
      <c r="E1109" s="4" t="s">
        <v>2652</v>
      </c>
      <c r="F1109" s="4" t="s">
        <v>8569</v>
      </c>
      <c r="G1109" s="4">
        <v>2013</v>
      </c>
      <c r="H1109" s="25">
        <v>41411</v>
      </c>
      <c r="K1109" s="4" t="s">
        <v>2653</v>
      </c>
    </row>
    <row r="1110" spans="1:11" ht="15.75" customHeight="1">
      <c r="A1110" s="4">
        <v>12399232</v>
      </c>
      <c r="B1110" s="4" t="s">
        <v>8683</v>
      </c>
      <c r="C1110" s="4" t="s">
        <v>8684</v>
      </c>
      <c r="D1110" s="4" t="s">
        <v>8685</v>
      </c>
      <c r="E1110" s="4" t="s">
        <v>2875</v>
      </c>
      <c r="F1110" s="4" t="s">
        <v>7312</v>
      </c>
      <c r="G1110" s="4">
        <v>2002</v>
      </c>
      <c r="H1110" s="25">
        <v>37555</v>
      </c>
      <c r="K1110" s="4" t="s">
        <v>2887</v>
      </c>
    </row>
    <row r="1111" spans="1:11" ht="15.75" customHeight="1">
      <c r="A1111" s="4">
        <v>11594915</v>
      </c>
      <c r="B1111" s="4" t="s">
        <v>8686</v>
      </c>
      <c r="C1111" s="4" t="s">
        <v>8687</v>
      </c>
      <c r="D1111" s="4" t="s">
        <v>8688</v>
      </c>
      <c r="E1111" s="4" t="s">
        <v>2385</v>
      </c>
      <c r="F1111" s="4" t="s">
        <v>8689</v>
      </c>
      <c r="G1111" s="4">
        <v>2001</v>
      </c>
      <c r="H1111" s="25">
        <v>37191</v>
      </c>
      <c r="K1111" s="4" t="s">
        <v>2386</v>
      </c>
    </row>
    <row r="1112" spans="1:11" ht="15.75" customHeight="1">
      <c r="A1112" s="4">
        <v>10398670</v>
      </c>
      <c r="B1112" s="4" t="s">
        <v>8690</v>
      </c>
      <c r="C1112" s="4" t="s">
        <v>8691</v>
      </c>
      <c r="D1112" s="4" t="s">
        <v>8692</v>
      </c>
      <c r="E1112" s="4" t="s">
        <v>1896</v>
      </c>
      <c r="F1112" s="4" t="s">
        <v>4819</v>
      </c>
      <c r="G1112" s="4">
        <v>1999</v>
      </c>
      <c r="H1112" s="25">
        <v>36351</v>
      </c>
      <c r="I1112" s="4" t="s">
        <v>8693</v>
      </c>
      <c r="K1112" s="4" t="s">
        <v>1897</v>
      </c>
    </row>
    <row r="1113" spans="1:11" ht="15.75" customHeight="1">
      <c r="A1113" s="4">
        <v>32529583</v>
      </c>
      <c r="B1113" s="4" t="s">
        <v>8701</v>
      </c>
      <c r="C1113" s="4" t="s">
        <v>8702</v>
      </c>
      <c r="D1113" s="4" t="s">
        <v>8703</v>
      </c>
      <c r="E1113" s="4" t="s">
        <v>3848</v>
      </c>
      <c r="F1113" s="4" t="s">
        <v>4927</v>
      </c>
      <c r="G1113" s="4">
        <v>2020</v>
      </c>
      <c r="H1113" s="25">
        <v>43995</v>
      </c>
      <c r="K1113" s="4" t="s">
        <v>3849</v>
      </c>
    </row>
    <row r="1114" spans="1:11" ht="15.75" customHeight="1">
      <c r="A1114" s="4">
        <v>7866272</v>
      </c>
      <c r="B1114" s="4" t="s">
        <v>8707</v>
      </c>
      <c r="C1114" s="4" t="s">
        <v>8708</v>
      </c>
      <c r="D1114" s="4" t="s">
        <v>8709</v>
      </c>
      <c r="E1114" s="4" t="s">
        <v>539</v>
      </c>
      <c r="F1114" s="4" t="s">
        <v>5099</v>
      </c>
      <c r="G1114" s="4">
        <v>1994</v>
      </c>
      <c r="H1114" s="25">
        <v>34608</v>
      </c>
      <c r="K1114" s="4" t="s">
        <v>1705</v>
      </c>
    </row>
    <row r="1115" spans="1:11" ht="15.75" customHeight="1">
      <c r="A1115" s="4">
        <v>11263334</v>
      </c>
      <c r="B1115" s="4" t="s">
        <v>8704</v>
      </c>
      <c r="C1115" s="4" t="s">
        <v>8705</v>
      </c>
      <c r="D1115" s="4" t="s">
        <v>8706</v>
      </c>
      <c r="E1115" s="4" t="s">
        <v>4562</v>
      </c>
      <c r="F1115" s="4" t="s">
        <v>5874</v>
      </c>
      <c r="G1115" s="4">
        <v>1998</v>
      </c>
      <c r="H1115" s="25">
        <v>36977</v>
      </c>
    </row>
    <row r="1116" spans="1:11" ht="15.75" customHeight="1">
      <c r="A1116" s="4">
        <v>15041393</v>
      </c>
      <c r="B1116" s="4" t="s">
        <v>8726</v>
      </c>
      <c r="C1116" s="4" t="s">
        <v>8727</v>
      </c>
      <c r="D1116" s="4" t="s">
        <v>8728</v>
      </c>
      <c r="E1116" s="4" t="s">
        <v>1086</v>
      </c>
      <c r="F1116" s="4" t="s">
        <v>5696</v>
      </c>
      <c r="G1116" s="4">
        <v>2004</v>
      </c>
      <c r="H1116" s="25">
        <v>38072</v>
      </c>
      <c r="K1116" s="4" t="s">
        <v>1087</v>
      </c>
    </row>
    <row r="1117" spans="1:11" ht="15.75" customHeight="1">
      <c r="A1117" s="4">
        <v>11959211</v>
      </c>
      <c r="B1117" s="4" t="s">
        <v>8710</v>
      </c>
      <c r="C1117" s="4" t="s">
        <v>8711</v>
      </c>
      <c r="D1117" s="4" t="s">
        <v>8712</v>
      </c>
      <c r="E1117" s="4" t="s">
        <v>3752</v>
      </c>
      <c r="F1117" s="4" t="s">
        <v>5696</v>
      </c>
      <c r="G1117" s="4">
        <v>2002</v>
      </c>
      <c r="H1117" s="25">
        <v>37364</v>
      </c>
      <c r="K1117" s="4" t="s">
        <v>3753</v>
      </c>
    </row>
    <row r="1118" spans="1:11" ht="15.75" customHeight="1">
      <c r="A1118" s="4">
        <v>19295317</v>
      </c>
      <c r="B1118" s="4" t="s">
        <v>8735</v>
      </c>
      <c r="C1118" s="4" t="s">
        <v>8736</v>
      </c>
      <c r="D1118" s="4" t="s">
        <v>8737</v>
      </c>
      <c r="E1118" s="4" t="s">
        <v>3119</v>
      </c>
      <c r="F1118" s="4" t="s">
        <v>5445</v>
      </c>
      <c r="G1118" s="4">
        <v>2009</v>
      </c>
      <c r="H1118" s="25">
        <v>39892</v>
      </c>
      <c r="K1118" s="4" t="s">
        <v>3120</v>
      </c>
    </row>
    <row r="1119" spans="1:11" ht="15.75" customHeight="1">
      <c r="A1119" s="4">
        <v>19863339</v>
      </c>
      <c r="B1119" s="4" t="s">
        <v>8713</v>
      </c>
      <c r="C1119" s="4" t="s">
        <v>8714</v>
      </c>
      <c r="D1119" s="4" t="s">
        <v>8715</v>
      </c>
      <c r="E1119" s="4" t="s">
        <v>2019</v>
      </c>
      <c r="F1119" s="4" t="s">
        <v>5099</v>
      </c>
      <c r="G1119" s="4">
        <v>2009</v>
      </c>
      <c r="H1119" s="25">
        <v>40116</v>
      </c>
      <c r="K1119" s="4" t="s">
        <v>2020</v>
      </c>
    </row>
    <row r="1120" spans="1:11" ht="15.75" customHeight="1">
      <c r="A1120" s="4">
        <v>12665843</v>
      </c>
      <c r="B1120" s="4" t="s">
        <v>8744</v>
      </c>
      <c r="C1120" s="4" t="s">
        <v>8745</v>
      </c>
      <c r="D1120" s="4" t="s">
        <v>8746</v>
      </c>
      <c r="E1120" s="4" t="s">
        <v>286</v>
      </c>
      <c r="F1120" s="4" t="s">
        <v>4863</v>
      </c>
      <c r="G1120" s="4">
        <v>2003</v>
      </c>
      <c r="H1120" s="25">
        <v>37712</v>
      </c>
      <c r="K1120" s="4" t="s">
        <v>910</v>
      </c>
    </row>
    <row r="1121" spans="1:11" ht="15.75" customHeight="1">
      <c r="A1121" s="4">
        <v>29443669</v>
      </c>
      <c r="B1121" s="4" t="s">
        <v>8720</v>
      </c>
      <c r="C1121" s="4" t="s">
        <v>8721</v>
      </c>
      <c r="D1121" s="4" t="s">
        <v>8722</v>
      </c>
      <c r="E1121" s="4" t="s">
        <v>1952</v>
      </c>
      <c r="F1121" s="4" t="s">
        <v>5377</v>
      </c>
      <c r="G1121" s="4">
        <v>2018</v>
      </c>
      <c r="H1121" s="25">
        <v>43146</v>
      </c>
      <c r="K1121" s="4" t="s">
        <v>1953</v>
      </c>
    </row>
    <row r="1122" spans="1:11" ht="15.75" customHeight="1">
      <c r="A1122" s="4">
        <v>11689888</v>
      </c>
      <c r="B1122" s="4" t="s">
        <v>8716</v>
      </c>
      <c r="C1122" s="4" t="s">
        <v>8717</v>
      </c>
      <c r="D1122" s="4" t="s">
        <v>8718</v>
      </c>
      <c r="E1122" s="4" t="s">
        <v>2221</v>
      </c>
      <c r="F1122" s="4" t="s">
        <v>8719</v>
      </c>
      <c r="G1122" s="4">
        <v>2001</v>
      </c>
      <c r="H1122" s="25">
        <v>37197</v>
      </c>
      <c r="K1122" s="4" t="s">
        <v>2224</v>
      </c>
    </row>
    <row r="1123" spans="1:11" ht="15.75" customHeight="1">
      <c r="A1123" s="4">
        <v>27808462</v>
      </c>
      <c r="B1123" s="4" t="s">
        <v>8723</v>
      </c>
      <c r="C1123" s="4" t="s">
        <v>8724</v>
      </c>
      <c r="D1123" s="4" t="s">
        <v>8725</v>
      </c>
      <c r="E1123" s="4" t="s">
        <v>3891</v>
      </c>
      <c r="F1123" s="4" t="s">
        <v>5652</v>
      </c>
      <c r="G1123" s="4">
        <v>2017</v>
      </c>
      <c r="H1123" s="25">
        <v>42678</v>
      </c>
      <c r="K1123" s="4" t="s">
        <v>3892</v>
      </c>
    </row>
    <row r="1124" spans="1:11" ht="15.75" customHeight="1">
      <c r="A1124" s="4">
        <v>18587440</v>
      </c>
      <c r="B1124" s="4" t="s">
        <v>8729</v>
      </c>
      <c r="C1124" s="4" t="s">
        <v>8730</v>
      </c>
      <c r="D1124" s="4" t="s">
        <v>8731</v>
      </c>
      <c r="E1124" s="4" t="s">
        <v>249</v>
      </c>
      <c r="F1124" s="4" t="s">
        <v>4863</v>
      </c>
      <c r="G1124" s="4">
        <v>2008</v>
      </c>
      <c r="H1124" s="25">
        <v>39630</v>
      </c>
      <c r="K1124" s="4" t="s">
        <v>2990</v>
      </c>
    </row>
    <row r="1125" spans="1:11" ht="15.75" customHeight="1">
      <c r="A1125" s="4">
        <v>20172284</v>
      </c>
      <c r="B1125" s="4" t="s">
        <v>8732</v>
      </c>
      <c r="C1125" s="4" t="s">
        <v>8733</v>
      </c>
      <c r="D1125" s="4" t="s">
        <v>8734</v>
      </c>
      <c r="E1125" s="4" t="s">
        <v>3578</v>
      </c>
      <c r="F1125" s="4" t="s">
        <v>5696</v>
      </c>
      <c r="G1125" s="4">
        <v>2010</v>
      </c>
      <c r="H1125" s="25">
        <v>40232</v>
      </c>
      <c r="K1125" s="4" t="s">
        <v>3579</v>
      </c>
    </row>
    <row r="1126" spans="1:11" ht="15.75" customHeight="1">
      <c r="A1126" s="4">
        <v>11518006</v>
      </c>
      <c r="B1126" s="4" t="s">
        <v>8741</v>
      </c>
      <c r="C1126" s="4" t="s">
        <v>8742</v>
      </c>
      <c r="D1126" s="4" t="s">
        <v>8743</v>
      </c>
      <c r="E1126" s="4" t="s">
        <v>1366</v>
      </c>
      <c r="F1126" s="4" t="s">
        <v>7382</v>
      </c>
      <c r="G1126" s="4">
        <v>2001</v>
      </c>
      <c r="H1126" s="25">
        <v>37127</v>
      </c>
      <c r="K1126" s="4" t="s">
        <v>1367</v>
      </c>
    </row>
    <row r="1127" spans="1:11" ht="15.75" customHeight="1">
      <c r="A1127" s="4">
        <v>17401392</v>
      </c>
      <c r="B1127" s="4" t="s">
        <v>8738</v>
      </c>
      <c r="C1127" s="4" t="s">
        <v>8739</v>
      </c>
      <c r="D1127" s="4" t="s">
        <v>8740</v>
      </c>
      <c r="E1127" s="4" t="s">
        <v>296</v>
      </c>
      <c r="F1127" s="4" t="s">
        <v>4863</v>
      </c>
      <c r="G1127" s="4">
        <v>2007</v>
      </c>
      <c r="H1127" s="25">
        <v>39175</v>
      </c>
      <c r="K1127" s="4" t="s">
        <v>425</v>
      </c>
    </row>
    <row r="1128" spans="1:11" ht="15.75" customHeight="1">
      <c r="A1128" s="4">
        <v>11406212</v>
      </c>
      <c r="B1128" s="4" t="s">
        <v>8752</v>
      </c>
      <c r="C1128" s="4" t="s">
        <v>8753</v>
      </c>
      <c r="D1128" s="4" t="s">
        <v>8754</v>
      </c>
      <c r="E1128" s="4" t="s">
        <v>524</v>
      </c>
      <c r="F1128" s="4" t="s">
        <v>5696</v>
      </c>
      <c r="G1128" s="4">
        <v>2001</v>
      </c>
      <c r="H1128" s="25">
        <v>37061</v>
      </c>
      <c r="K1128" s="4" t="s">
        <v>1598</v>
      </c>
    </row>
    <row r="1129" spans="1:11" ht="15.75" customHeight="1">
      <c r="A1129" s="4">
        <v>28501929</v>
      </c>
      <c r="B1129" s="4" t="s">
        <v>8764</v>
      </c>
      <c r="C1129" s="4" t="s">
        <v>8765</v>
      </c>
      <c r="D1129" s="4" t="s">
        <v>8766</v>
      </c>
      <c r="E1129" s="4" t="s">
        <v>763</v>
      </c>
      <c r="F1129" s="4" t="s">
        <v>4927</v>
      </c>
      <c r="G1129" s="4">
        <v>2017</v>
      </c>
      <c r="H1129" s="25">
        <v>42870</v>
      </c>
      <c r="K1129" s="4" t="s">
        <v>764</v>
      </c>
    </row>
    <row r="1130" spans="1:11" ht="15.75" customHeight="1">
      <c r="A1130" s="4">
        <v>16679705</v>
      </c>
      <c r="B1130" s="4" t="s">
        <v>8773</v>
      </c>
      <c r="C1130" s="4" t="s">
        <v>8774</v>
      </c>
      <c r="D1130" s="4" t="s">
        <v>8775</v>
      </c>
      <c r="E1130" s="4" t="s">
        <v>2835</v>
      </c>
      <c r="F1130" s="4" t="s">
        <v>8569</v>
      </c>
      <c r="G1130" s="4">
        <v>2006</v>
      </c>
      <c r="H1130" s="25">
        <v>38846</v>
      </c>
      <c r="K1130" s="4" t="s">
        <v>2836</v>
      </c>
    </row>
    <row r="1131" spans="1:11" ht="15.75" customHeight="1">
      <c r="A1131" s="4">
        <v>12654053</v>
      </c>
      <c r="B1131" s="4" t="s">
        <v>8785</v>
      </c>
      <c r="C1131" s="4" t="s">
        <v>8786</v>
      </c>
      <c r="D1131" s="4" t="s">
        <v>8787</v>
      </c>
      <c r="E1131" s="4" t="s">
        <v>2022</v>
      </c>
      <c r="F1131" s="4" t="s">
        <v>5543</v>
      </c>
      <c r="G1131" s="4">
        <v>2003</v>
      </c>
      <c r="H1131" s="25">
        <v>37706</v>
      </c>
      <c r="K1131" s="4" t="s">
        <v>2023</v>
      </c>
    </row>
    <row r="1132" spans="1:11" ht="15.75" customHeight="1">
      <c r="A1132" s="4">
        <v>29178554</v>
      </c>
      <c r="B1132" s="4" t="s">
        <v>8747</v>
      </c>
      <c r="C1132" s="4" t="s">
        <v>8748</v>
      </c>
      <c r="D1132" s="4" t="s">
        <v>8749</v>
      </c>
      <c r="E1132" s="4" t="s">
        <v>930</v>
      </c>
      <c r="F1132" s="4" t="s">
        <v>4974</v>
      </c>
      <c r="G1132" s="4">
        <v>2018</v>
      </c>
      <c r="H1132" s="25">
        <v>43067</v>
      </c>
      <c r="I1132" s="4" t="s">
        <v>8750</v>
      </c>
      <c r="J1132" s="4" t="s">
        <v>8751</v>
      </c>
      <c r="K1132" s="4" t="s">
        <v>931</v>
      </c>
    </row>
    <row r="1133" spans="1:11" ht="15.75" customHeight="1">
      <c r="A1133" s="4">
        <v>23806156</v>
      </c>
      <c r="B1133" s="4" t="s">
        <v>8755</v>
      </c>
      <c r="C1133" s="4" t="s">
        <v>8756</v>
      </c>
      <c r="D1133" s="4" t="s">
        <v>8757</v>
      </c>
      <c r="E1133" s="4" t="s">
        <v>2998</v>
      </c>
      <c r="F1133" s="4" t="s">
        <v>8758</v>
      </c>
      <c r="G1133" s="4">
        <v>2013</v>
      </c>
      <c r="H1133" s="25">
        <v>41454</v>
      </c>
      <c r="K1133" s="4" t="s">
        <v>2999</v>
      </c>
    </row>
    <row r="1134" spans="1:11" ht="15.75" customHeight="1">
      <c r="A1134" s="4">
        <v>31959990</v>
      </c>
      <c r="B1134" s="4" t="s">
        <v>8759</v>
      </c>
      <c r="C1134" s="4" t="s">
        <v>8760</v>
      </c>
      <c r="D1134" s="4" t="s">
        <v>8761</v>
      </c>
      <c r="E1134" s="4" t="s">
        <v>2707</v>
      </c>
      <c r="F1134" s="4" t="s">
        <v>8719</v>
      </c>
      <c r="G1134" s="4">
        <v>2020</v>
      </c>
      <c r="H1134" s="25">
        <v>43852</v>
      </c>
      <c r="I1134" s="4" t="s">
        <v>8762</v>
      </c>
      <c r="J1134" s="4" t="s">
        <v>8763</v>
      </c>
      <c r="K1134" s="4" t="s">
        <v>2708</v>
      </c>
    </row>
    <row r="1135" spans="1:11" ht="15.75" customHeight="1">
      <c r="A1135" s="4">
        <v>23959519</v>
      </c>
      <c r="B1135" s="4" t="s">
        <v>8767</v>
      </c>
      <c r="C1135" s="4" t="s">
        <v>8768</v>
      </c>
      <c r="D1135" s="4" t="s">
        <v>8769</v>
      </c>
      <c r="E1135" s="4" t="s">
        <v>3253</v>
      </c>
      <c r="F1135" s="4" t="s">
        <v>4923</v>
      </c>
      <c r="G1135" s="4">
        <v>2013</v>
      </c>
      <c r="H1135" s="25">
        <v>41507</v>
      </c>
      <c r="K1135" s="4" t="s">
        <v>3254</v>
      </c>
    </row>
    <row r="1136" spans="1:11" ht="15.75" customHeight="1">
      <c r="A1136" s="4">
        <v>19556082</v>
      </c>
      <c r="B1136" s="4" t="s">
        <v>8798</v>
      </c>
      <c r="C1136" s="4" t="s">
        <v>8799</v>
      </c>
      <c r="D1136" s="4" t="s">
        <v>8800</v>
      </c>
      <c r="E1136" s="4" t="s">
        <v>4154</v>
      </c>
      <c r="F1136" s="4" t="s">
        <v>8407</v>
      </c>
      <c r="G1136" s="4">
        <v>2010</v>
      </c>
      <c r="H1136" s="25">
        <v>39991</v>
      </c>
      <c r="K1136" s="4" t="s">
        <v>4155</v>
      </c>
    </row>
    <row r="1137" spans="1:11" ht="15.75" customHeight="1">
      <c r="A1137" s="4">
        <v>22687802</v>
      </c>
      <c r="B1137" s="4" t="s">
        <v>8770</v>
      </c>
      <c r="C1137" s="4" t="s">
        <v>8771</v>
      </c>
      <c r="D1137" s="4" t="s">
        <v>8772</v>
      </c>
      <c r="E1137" s="4" t="s">
        <v>3383</v>
      </c>
      <c r="F1137" s="4" t="s">
        <v>8569</v>
      </c>
      <c r="G1137" s="4">
        <v>2012</v>
      </c>
      <c r="H1137" s="25">
        <v>41073</v>
      </c>
      <c r="K1137" s="4" t="s">
        <v>3384</v>
      </c>
    </row>
    <row r="1138" spans="1:11" ht="15.75" customHeight="1">
      <c r="A1138" s="4">
        <v>16615443</v>
      </c>
      <c r="B1138" s="4" t="s">
        <v>8779</v>
      </c>
      <c r="C1138" s="4" t="s">
        <v>8780</v>
      </c>
      <c r="D1138" s="4" t="s">
        <v>8781</v>
      </c>
      <c r="E1138" s="4" t="s">
        <v>2612</v>
      </c>
      <c r="F1138" s="4" t="s">
        <v>5031</v>
      </c>
      <c r="G1138" s="4">
        <v>2006</v>
      </c>
      <c r="H1138" s="25">
        <v>38825</v>
      </c>
    </row>
    <row r="1139" spans="1:11" ht="15.75" customHeight="1">
      <c r="A1139" s="4">
        <v>23026615</v>
      </c>
      <c r="B1139" s="4" t="s">
        <v>8782</v>
      </c>
      <c r="C1139" s="4" t="s">
        <v>8783</v>
      </c>
      <c r="D1139" s="4" t="s">
        <v>8784</v>
      </c>
      <c r="E1139" s="4" t="s">
        <v>2235</v>
      </c>
      <c r="F1139" s="4" t="s">
        <v>5696</v>
      </c>
      <c r="G1139" s="4">
        <v>2012</v>
      </c>
      <c r="H1139" s="25">
        <v>41185</v>
      </c>
      <c r="K1139" s="4" t="s">
        <v>2236</v>
      </c>
    </row>
    <row r="1140" spans="1:11" ht="15.75" customHeight="1">
      <c r="A1140" s="4">
        <v>12360701</v>
      </c>
      <c r="B1140" s="4" t="s">
        <v>8776</v>
      </c>
      <c r="C1140" s="4" t="s">
        <v>8777</v>
      </c>
      <c r="D1140" s="4" t="s">
        <v>8778</v>
      </c>
      <c r="E1140" s="4" t="s">
        <v>1627</v>
      </c>
      <c r="F1140" s="4" t="s">
        <v>8060</v>
      </c>
      <c r="G1140" s="4">
        <v>2002</v>
      </c>
      <c r="H1140" s="25">
        <v>37533</v>
      </c>
      <c r="K1140" s="4" t="s">
        <v>1628</v>
      </c>
    </row>
    <row r="1141" spans="1:11" ht="15.75" customHeight="1">
      <c r="A1141" s="4">
        <v>8841033</v>
      </c>
      <c r="B1141" s="4" t="s">
        <v>8788</v>
      </c>
      <c r="C1141" s="4" t="s">
        <v>8789</v>
      </c>
      <c r="D1141" s="4" t="s">
        <v>8790</v>
      </c>
      <c r="E1141" s="4" t="s">
        <v>1199</v>
      </c>
      <c r="F1141" s="4" t="s">
        <v>5103</v>
      </c>
      <c r="G1141" s="4">
        <v>1996</v>
      </c>
      <c r="H1141" s="25">
        <v>35247</v>
      </c>
    </row>
    <row r="1142" spans="1:11" ht="15.75" customHeight="1">
      <c r="A1142" s="4">
        <v>16615520</v>
      </c>
      <c r="B1142" s="4" t="s">
        <v>8791</v>
      </c>
      <c r="C1142" s="4" t="s">
        <v>8792</v>
      </c>
      <c r="D1142" s="4" t="s">
        <v>8793</v>
      </c>
      <c r="E1142" s="4" t="s">
        <v>587</v>
      </c>
      <c r="F1142" s="4" t="s">
        <v>5031</v>
      </c>
      <c r="G1142" s="4">
        <v>2006</v>
      </c>
      <c r="H1142" s="25">
        <v>38825</v>
      </c>
    </row>
    <row r="1143" spans="1:11" ht="15.75" customHeight="1">
      <c r="A1143" s="4">
        <v>7647283</v>
      </c>
      <c r="B1143" s="4" t="s">
        <v>8794</v>
      </c>
      <c r="C1143" s="4" t="s">
        <v>8795</v>
      </c>
      <c r="D1143" s="4" t="s">
        <v>8796</v>
      </c>
      <c r="E1143" s="4" t="s">
        <v>3025</v>
      </c>
      <c r="F1143" s="4" t="s">
        <v>8797</v>
      </c>
      <c r="G1143" s="4">
        <v>1995</v>
      </c>
      <c r="H1143" s="25">
        <v>34700</v>
      </c>
      <c r="K1143" s="4" t="s">
        <v>3026</v>
      </c>
    </row>
    <row r="1144" spans="1:11" ht="15.75" customHeight="1">
      <c r="A1144" s="4">
        <v>9282715</v>
      </c>
      <c r="B1144" s="4" t="s">
        <v>8801</v>
      </c>
      <c r="C1144" s="4" t="s">
        <v>8802</v>
      </c>
      <c r="D1144" s="4" t="s">
        <v>8803</v>
      </c>
      <c r="E1144" s="4" t="s">
        <v>4291</v>
      </c>
      <c r="F1144" s="4" t="s">
        <v>5663</v>
      </c>
      <c r="G1144" s="4">
        <v>1997</v>
      </c>
      <c r="H1144" s="25">
        <v>35674</v>
      </c>
      <c r="K1144" s="4" t="s">
        <v>4292</v>
      </c>
    </row>
    <row r="1145" spans="1:11" ht="15.75" customHeight="1">
      <c r="A1145" s="4">
        <v>9159404</v>
      </c>
      <c r="B1145" s="4" t="s">
        <v>8804</v>
      </c>
      <c r="C1145" s="4" t="s">
        <v>8805</v>
      </c>
      <c r="D1145" s="4" t="s">
        <v>8806</v>
      </c>
      <c r="E1145" s="4" t="s">
        <v>2847</v>
      </c>
      <c r="F1145" s="4" t="s">
        <v>5163</v>
      </c>
      <c r="G1145" s="4">
        <v>1997</v>
      </c>
      <c r="H1145" s="25">
        <v>35431</v>
      </c>
      <c r="K1145" s="4" t="s">
        <v>2848</v>
      </c>
    </row>
    <row r="1146" spans="1:11" ht="15.75" customHeight="1">
      <c r="A1146" s="4">
        <v>12170696</v>
      </c>
      <c r="B1146" s="4" t="s">
        <v>8807</v>
      </c>
      <c r="C1146" s="4" t="s">
        <v>8808</v>
      </c>
      <c r="D1146" s="4" t="s">
        <v>8809</v>
      </c>
      <c r="E1146" s="4" t="s">
        <v>3989</v>
      </c>
      <c r="F1146" s="4" t="s">
        <v>8362</v>
      </c>
      <c r="G1146" s="4">
        <v>2002</v>
      </c>
      <c r="H1146" s="25">
        <v>37481</v>
      </c>
    </row>
    <row r="1147" spans="1:11" ht="15.75" customHeight="1">
      <c r="A1147" s="4">
        <v>10551163</v>
      </c>
      <c r="B1147" s="4" t="s">
        <v>8822</v>
      </c>
      <c r="C1147" s="4" t="s">
        <v>8823</v>
      </c>
      <c r="D1147" s="4" t="s">
        <v>8824</v>
      </c>
      <c r="E1147" s="4" t="s">
        <v>1707</v>
      </c>
      <c r="F1147" s="4" t="s">
        <v>8825</v>
      </c>
      <c r="G1147" s="4">
        <v>1999</v>
      </c>
      <c r="H1147" s="25">
        <v>36471</v>
      </c>
      <c r="K1147" s="4" t="s">
        <v>1708</v>
      </c>
    </row>
    <row r="1148" spans="1:11" ht="15.75" customHeight="1">
      <c r="A1148" s="4">
        <v>28746781</v>
      </c>
      <c r="B1148" s="4" t="s">
        <v>8829</v>
      </c>
      <c r="C1148" s="4" t="s">
        <v>8830</v>
      </c>
      <c r="D1148" s="4" t="s">
        <v>8831</v>
      </c>
      <c r="E1148" s="4" t="s">
        <v>2103</v>
      </c>
      <c r="F1148" s="4" t="s">
        <v>4974</v>
      </c>
      <c r="G1148" s="4">
        <v>2017</v>
      </c>
      <c r="H1148" s="25">
        <v>42943</v>
      </c>
      <c r="K1148" s="4" t="s">
        <v>2104</v>
      </c>
    </row>
    <row r="1149" spans="1:11" ht="15.75" customHeight="1">
      <c r="A1149" s="4">
        <v>10629599</v>
      </c>
      <c r="B1149" s="4" t="s">
        <v>8810</v>
      </c>
      <c r="C1149" s="4" t="s">
        <v>8811</v>
      </c>
      <c r="D1149" s="4" t="s">
        <v>8812</v>
      </c>
      <c r="E1149" s="4" t="s">
        <v>4256</v>
      </c>
      <c r="F1149" s="4" t="s">
        <v>6289</v>
      </c>
      <c r="G1149" s="4">
        <v>2000</v>
      </c>
      <c r="H1149" s="25">
        <v>36537</v>
      </c>
    </row>
    <row r="1150" spans="1:11" ht="15.75" customHeight="1">
      <c r="A1150" s="4">
        <v>32808422</v>
      </c>
      <c r="B1150" s="4" t="s">
        <v>8816</v>
      </c>
      <c r="C1150" s="4" t="s">
        <v>8817</v>
      </c>
      <c r="D1150" s="4" t="s">
        <v>8818</v>
      </c>
      <c r="E1150" s="4" t="s">
        <v>4040</v>
      </c>
      <c r="F1150" s="4" t="s">
        <v>5652</v>
      </c>
      <c r="G1150" s="4">
        <v>2021</v>
      </c>
      <c r="H1150" s="25">
        <v>44062</v>
      </c>
      <c r="K1150" s="4" t="s">
        <v>4041</v>
      </c>
    </row>
    <row r="1151" spans="1:11" ht="15.75" customHeight="1">
      <c r="A1151" s="4">
        <v>10642809</v>
      </c>
      <c r="B1151" s="4" t="s">
        <v>8819</v>
      </c>
      <c r="C1151" s="4" t="s">
        <v>8820</v>
      </c>
      <c r="D1151" s="4" t="s">
        <v>8821</v>
      </c>
      <c r="E1151" s="4" t="s">
        <v>175</v>
      </c>
      <c r="F1151" s="4" t="s">
        <v>4863</v>
      </c>
      <c r="G1151" s="4">
        <v>1999</v>
      </c>
      <c r="H1151" s="25">
        <v>36547</v>
      </c>
      <c r="K1151" s="4" t="s">
        <v>426</v>
      </c>
    </row>
    <row r="1152" spans="1:11" ht="15.75" customHeight="1">
      <c r="A1152" s="4">
        <v>12655786</v>
      </c>
      <c r="B1152" s="4" t="s">
        <v>8813</v>
      </c>
      <c r="C1152" s="4" t="s">
        <v>8814</v>
      </c>
      <c r="D1152" s="4" t="s">
        <v>8815</v>
      </c>
      <c r="E1152" s="4" t="s">
        <v>3789</v>
      </c>
      <c r="F1152" s="4" t="s">
        <v>4954</v>
      </c>
      <c r="G1152" s="4">
        <v>2003</v>
      </c>
      <c r="H1152" s="25">
        <v>37707</v>
      </c>
    </row>
    <row r="1153" spans="1:11" ht="15.75" customHeight="1">
      <c r="A1153" s="4">
        <v>1849315</v>
      </c>
      <c r="B1153" s="4" t="s">
        <v>8839</v>
      </c>
      <c r="C1153" s="4" t="s">
        <v>8840</v>
      </c>
      <c r="D1153" s="4" t="s">
        <v>8841</v>
      </c>
      <c r="E1153" s="4" t="s">
        <v>2244</v>
      </c>
      <c r="F1153" s="4" t="s">
        <v>8842</v>
      </c>
      <c r="G1153" s="4">
        <v>1991</v>
      </c>
      <c r="H1153" s="25">
        <v>33298</v>
      </c>
      <c r="K1153" s="4" t="s">
        <v>2247</v>
      </c>
    </row>
    <row r="1154" spans="1:11" ht="15.75" customHeight="1">
      <c r="A1154" s="4">
        <v>21296175</v>
      </c>
      <c r="B1154" s="4" t="s">
        <v>8826</v>
      </c>
      <c r="C1154" s="4" t="s">
        <v>8827</v>
      </c>
      <c r="D1154" s="4" t="s">
        <v>8828</v>
      </c>
      <c r="E1154" s="4" t="s">
        <v>857</v>
      </c>
      <c r="F1154" s="4" t="s">
        <v>5076</v>
      </c>
      <c r="G1154" s="4">
        <v>2011</v>
      </c>
      <c r="H1154" s="25">
        <v>40582</v>
      </c>
      <c r="K1154" s="4" t="s">
        <v>858</v>
      </c>
    </row>
    <row r="1155" spans="1:11" ht="15.75" customHeight="1">
      <c r="A1155" s="4">
        <v>28224486</v>
      </c>
      <c r="B1155" s="4" t="s">
        <v>8832</v>
      </c>
      <c r="C1155" s="4" t="s">
        <v>8833</v>
      </c>
      <c r="D1155" s="4" t="s">
        <v>8834</v>
      </c>
      <c r="E1155" s="4" t="s">
        <v>1284</v>
      </c>
      <c r="F1155" s="4" t="s">
        <v>4961</v>
      </c>
      <c r="G1155" s="4">
        <v>2017</v>
      </c>
      <c r="H1155" s="25">
        <v>42789</v>
      </c>
      <c r="K1155" s="4" t="s">
        <v>1285</v>
      </c>
    </row>
    <row r="1156" spans="1:11" ht="15.75" customHeight="1">
      <c r="A1156" s="4">
        <v>26399252</v>
      </c>
      <c r="B1156" s="4" t="s">
        <v>8835</v>
      </c>
      <c r="C1156" s="4" t="s">
        <v>8836</v>
      </c>
      <c r="D1156" s="4" t="s">
        <v>8837</v>
      </c>
      <c r="E1156" s="4" t="s">
        <v>3773</v>
      </c>
      <c r="F1156" s="4" t="s">
        <v>7225</v>
      </c>
      <c r="G1156" s="4">
        <v>2015</v>
      </c>
      <c r="H1156" s="25">
        <v>42272</v>
      </c>
      <c r="I1156" s="4" t="s">
        <v>8838</v>
      </c>
      <c r="K1156" s="4" t="s">
        <v>3774</v>
      </c>
    </row>
    <row r="1157" spans="1:11" ht="15.75" customHeight="1">
      <c r="A1157" s="4">
        <v>14529887</v>
      </c>
      <c r="B1157" s="4" t="s">
        <v>8858</v>
      </c>
      <c r="C1157" s="4" t="s">
        <v>8859</v>
      </c>
      <c r="D1157" s="4" t="s">
        <v>8860</v>
      </c>
      <c r="E1157" s="4" t="s">
        <v>1827</v>
      </c>
      <c r="F1157" s="4" t="s">
        <v>5696</v>
      </c>
      <c r="G1157" s="4">
        <v>2003</v>
      </c>
      <c r="H1157" s="25">
        <v>37902</v>
      </c>
      <c r="K1157" s="4" t="s">
        <v>1828</v>
      </c>
    </row>
    <row r="1158" spans="1:11" ht="15.75" customHeight="1">
      <c r="A1158" s="4">
        <v>31876110</v>
      </c>
      <c r="B1158" s="4" t="s">
        <v>8843</v>
      </c>
      <c r="C1158" s="4" t="s">
        <v>8844</v>
      </c>
      <c r="D1158" s="4" t="s">
        <v>8845</v>
      </c>
      <c r="E1158" s="4" t="s">
        <v>4261</v>
      </c>
      <c r="F1158" s="4" t="s">
        <v>5652</v>
      </c>
      <c r="G1158" s="4">
        <v>2020</v>
      </c>
      <c r="H1158" s="25">
        <v>43826</v>
      </c>
      <c r="K1158" s="4" t="s">
        <v>4262</v>
      </c>
    </row>
    <row r="1159" spans="1:11" ht="15.75" customHeight="1">
      <c r="A1159" s="4">
        <v>15077022</v>
      </c>
      <c r="B1159" s="4" t="s">
        <v>8846</v>
      </c>
      <c r="C1159" s="4" t="s">
        <v>8847</v>
      </c>
      <c r="D1159" s="4" t="s">
        <v>8848</v>
      </c>
      <c r="E1159" s="4" t="s">
        <v>4633</v>
      </c>
      <c r="F1159" s="4" t="s">
        <v>5445</v>
      </c>
      <c r="G1159" s="4">
        <v>2004</v>
      </c>
      <c r="H1159" s="25">
        <v>38090</v>
      </c>
      <c r="K1159" s="4" t="s">
        <v>4634</v>
      </c>
    </row>
    <row r="1160" spans="1:11" ht="15.75" customHeight="1">
      <c r="A1160" s="4">
        <v>8598307</v>
      </c>
      <c r="B1160" s="4" t="s">
        <v>8867</v>
      </c>
      <c r="C1160" s="4" t="s">
        <v>8868</v>
      </c>
      <c r="D1160" s="4" t="s">
        <v>8869</v>
      </c>
      <c r="E1160" s="4" t="s">
        <v>3914</v>
      </c>
      <c r="F1160" s="4" t="s">
        <v>8870</v>
      </c>
      <c r="G1160" s="4">
        <v>1996</v>
      </c>
      <c r="H1160" s="25">
        <v>35125</v>
      </c>
      <c r="K1160" s="4" t="s">
        <v>3915</v>
      </c>
    </row>
    <row r="1161" spans="1:11" ht="15.75" customHeight="1">
      <c r="A1161" s="4">
        <v>15015596</v>
      </c>
      <c r="B1161" s="4" t="s">
        <v>8849</v>
      </c>
      <c r="C1161" s="4" t="s">
        <v>8850</v>
      </c>
      <c r="D1161" s="4" t="s">
        <v>8851</v>
      </c>
      <c r="E1161" s="4" t="s">
        <v>2800</v>
      </c>
      <c r="F1161" s="4" t="s">
        <v>7639</v>
      </c>
      <c r="G1161" s="4">
        <v>2004</v>
      </c>
      <c r="H1161" s="25">
        <v>38062</v>
      </c>
    </row>
    <row r="1162" spans="1:11" ht="15.75" customHeight="1">
      <c r="A1162" s="4">
        <v>29936509</v>
      </c>
      <c r="B1162" s="4" t="s">
        <v>8852</v>
      </c>
      <c r="C1162" s="4" t="s">
        <v>8853</v>
      </c>
      <c r="D1162" s="4" t="s">
        <v>8854</v>
      </c>
      <c r="E1162" s="4" t="s">
        <v>1905</v>
      </c>
      <c r="F1162" s="4" t="s">
        <v>8291</v>
      </c>
      <c r="G1162" s="4">
        <v>2018</v>
      </c>
      <c r="H1162" s="25">
        <v>43276</v>
      </c>
      <c r="K1162" s="4" t="s">
        <v>1918</v>
      </c>
    </row>
    <row r="1163" spans="1:11" ht="15.75" customHeight="1">
      <c r="A1163" s="4">
        <v>8178493</v>
      </c>
      <c r="B1163" s="4" t="s">
        <v>8855</v>
      </c>
      <c r="C1163" s="4" t="s">
        <v>8856</v>
      </c>
      <c r="D1163" s="4" t="s">
        <v>8857</v>
      </c>
      <c r="E1163" s="4" t="s">
        <v>2623</v>
      </c>
      <c r="F1163" s="4" t="s">
        <v>4950</v>
      </c>
      <c r="G1163" s="4">
        <v>1994</v>
      </c>
      <c r="H1163" s="25">
        <v>34469</v>
      </c>
      <c r="K1163" s="4" t="s">
        <v>2624</v>
      </c>
    </row>
    <row r="1164" spans="1:11" ht="15.75" customHeight="1">
      <c r="A1164" s="4">
        <v>14556271</v>
      </c>
      <c r="B1164" s="4" t="s">
        <v>8861</v>
      </c>
      <c r="C1164" s="4" t="s">
        <v>8862</v>
      </c>
      <c r="D1164" s="4" t="s">
        <v>8863</v>
      </c>
      <c r="E1164" s="4" t="s">
        <v>4420</v>
      </c>
      <c r="F1164" s="4" t="s">
        <v>4923</v>
      </c>
      <c r="G1164" s="4">
        <v>2003</v>
      </c>
      <c r="H1164" s="25">
        <v>37908</v>
      </c>
      <c r="K1164" s="4" t="s">
        <v>4421</v>
      </c>
    </row>
    <row r="1165" spans="1:11" ht="15.75" customHeight="1">
      <c r="A1165" s="4">
        <v>11959192</v>
      </c>
      <c r="B1165" s="4" t="s">
        <v>8864</v>
      </c>
      <c r="C1165" s="4" t="s">
        <v>8865</v>
      </c>
      <c r="D1165" s="4" t="s">
        <v>8866</v>
      </c>
      <c r="E1165" s="4" t="s">
        <v>1809</v>
      </c>
      <c r="F1165" s="4" t="s">
        <v>5696</v>
      </c>
      <c r="G1165" s="4">
        <v>2002</v>
      </c>
      <c r="H1165" s="25">
        <v>37364</v>
      </c>
      <c r="K1165" s="4" t="s">
        <v>1810</v>
      </c>
    </row>
    <row r="1166" spans="1:11" ht="15.75" customHeight="1">
      <c r="A1166" s="4">
        <v>21549850</v>
      </c>
      <c r="B1166" s="4" t="s">
        <v>8888</v>
      </c>
      <c r="C1166" s="4" t="s">
        <v>8889</v>
      </c>
      <c r="D1166" s="4" t="s">
        <v>8890</v>
      </c>
      <c r="E1166" s="4" t="s">
        <v>102</v>
      </c>
      <c r="F1166" s="4" t="s">
        <v>5076</v>
      </c>
      <c r="G1166" s="4">
        <v>2011</v>
      </c>
      <c r="H1166" s="25">
        <v>40673</v>
      </c>
      <c r="I1166" s="4" t="s">
        <v>8891</v>
      </c>
      <c r="J1166" s="4" t="s">
        <v>8892</v>
      </c>
      <c r="K1166" s="4" t="s">
        <v>310</v>
      </c>
    </row>
    <row r="1167" spans="1:11" ht="15.75" customHeight="1">
      <c r="A1167" s="4">
        <v>17005699</v>
      </c>
      <c r="B1167" s="4" t="s">
        <v>8871</v>
      </c>
      <c r="C1167" s="4" t="s">
        <v>8872</v>
      </c>
      <c r="D1167" s="4" t="s">
        <v>8873</v>
      </c>
      <c r="E1167" s="4" t="s">
        <v>4272</v>
      </c>
      <c r="F1167" s="4" t="s">
        <v>4891</v>
      </c>
      <c r="G1167" s="4">
        <v>2006</v>
      </c>
      <c r="H1167" s="25">
        <v>38989</v>
      </c>
      <c r="I1167" s="4" t="s">
        <v>8874</v>
      </c>
      <c r="K1167" s="4" t="s">
        <v>4273</v>
      </c>
    </row>
    <row r="1168" spans="1:11" ht="15.75" customHeight="1">
      <c r="A1168" s="4">
        <v>12123213</v>
      </c>
      <c r="B1168" s="4" t="s">
        <v>8893</v>
      </c>
      <c r="C1168" s="4" t="s">
        <v>8894</v>
      </c>
      <c r="D1168" s="4" t="s">
        <v>8895</v>
      </c>
      <c r="E1168" s="4" t="s">
        <v>651</v>
      </c>
      <c r="F1168" s="4" t="s">
        <v>5726</v>
      </c>
      <c r="G1168" s="4">
        <v>2002</v>
      </c>
      <c r="H1168" s="25">
        <v>37456</v>
      </c>
      <c r="K1168" s="4" t="s">
        <v>2456</v>
      </c>
    </row>
    <row r="1169" spans="1:11" ht="15.75" customHeight="1">
      <c r="A1169" s="4">
        <v>12353194</v>
      </c>
      <c r="B1169" s="4" t="s">
        <v>8875</v>
      </c>
      <c r="C1169" s="4" t="s">
        <v>7324</v>
      </c>
      <c r="D1169" s="4" t="s">
        <v>8876</v>
      </c>
      <c r="E1169" s="4" t="s">
        <v>249</v>
      </c>
      <c r="F1169" s="4" t="s">
        <v>4992</v>
      </c>
      <c r="G1169" s="4">
        <v>2002</v>
      </c>
      <c r="H1169" s="25">
        <v>37527</v>
      </c>
      <c r="K1169" s="4" t="s">
        <v>2992</v>
      </c>
    </row>
    <row r="1170" spans="1:11" ht="15.75" customHeight="1">
      <c r="A1170" s="4">
        <v>8584318</v>
      </c>
      <c r="B1170" s="4" t="s">
        <v>8903</v>
      </c>
      <c r="C1170" s="4" t="s">
        <v>8904</v>
      </c>
      <c r="D1170" s="4" t="s">
        <v>8905</v>
      </c>
      <c r="E1170" s="4" t="s">
        <v>3373</v>
      </c>
      <c r="F1170" s="4" t="s">
        <v>5982</v>
      </c>
      <c r="G1170" s="4">
        <v>1995</v>
      </c>
      <c r="H1170" s="25">
        <v>34973</v>
      </c>
      <c r="K1170" s="4" t="s">
        <v>3374</v>
      </c>
    </row>
    <row r="1171" spans="1:11" ht="15.75" customHeight="1">
      <c r="A1171" s="4">
        <v>24749313</v>
      </c>
      <c r="B1171" s="4" t="s">
        <v>8877</v>
      </c>
      <c r="C1171" s="4" t="s">
        <v>8878</v>
      </c>
      <c r="D1171" s="4" t="s">
        <v>8879</v>
      </c>
      <c r="E1171" s="4" t="s">
        <v>4361</v>
      </c>
      <c r="F1171" s="4" t="s">
        <v>8880</v>
      </c>
      <c r="G1171" s="4">
        <v>2014</v>
      </c>
      <c r="H1171" s="25">
        <v>41752</v>
      </c>
    </row>
    <row r="1172" spans="1:11" ht="15.75" customHeight="1">
      <c r="A1172" s="4">
        <v>15050166</v>
      </c>
      <c r="B1172" s="4" t="s">
        <v>8885</v>
      </c>
      <c r="C1172" s="4" t="s">
        <v>8886</v>
      </c>
      <c r="D1172" s="4" t="s">
        <v>8887</v>
      </c>
      <c r="E1172" s="4" t="s">
        <v>3529</v>
      </c>
      <c r="F1172" s="4" t="s">
        <v>5696</v>
      </c>
      <c r="G1172" s="4">
        <v>2004</v>
      </c>
      <c r="H1172" s="25">
        <v>38077</v>
      </c>
      <c r="K1172" s="4" t="s">
        <v>3530</v>
      </c>
    </row>
    <row r="1173" spans="1:11" ht="15.75" customHeight="1">
      <c r="A1173" s="4">
        <v>7736391</v>
      </c>
      <c r="B1173" s="4" t="s">
        <v>8881</v>
      </c>
      <c r="C1173" s="4" t="s">
        <v>8882</v>
      </c>
      <c r="D1173" s="4" t="s">
        <v>8883</v>
      </c>
      <c r="E1173" s="4" t="s">
        <v>1439</v>
      </c>
      <c r="F1173" s="4" t="s">
        <v>8884</v>
      </c>
      <c r="G1173" s="4">
        <v>1995</v>
      </c>
      <c r="H1173" s="25">
        <v>34834</v>
      </c>
      <c r="K1173" s="4" t="s">
        <v>1440</v>
      </c>
    </row>
    <row r="1174" spans="1:11" ht="15.75" customHeight="1">
      <c r="A1174" s="4">
        <v>1375131</v>
      </c>
      <c r="B1174" s="4" t="s">
        <v>8896</v>
      </c>
      <c r="C1174" s="4" t="s">
        <v>8897</v>
      </c>
      <c r="D1174" s="4" t="s">
        <v>8898</v>
      </c>
      <c r="E1174" s="4" t="s">
        <v>4522</v>
      </c>
      <c r="F1174" s="4" t="s">
        <v>8899</v>
      </c>
      <c r="G1174" s="4">
        <v>1992</v>
      </c>
      <c r="H1174" s="25">
        <v>33756</v>
      </c>
      <c r="K1174" s="4" t="s">
        <v>4525</v>
      </c>
    </row>
    <row r="1175" spans="1:11" ht="15.75" customHeight="1">
      <c r="A1175" s="4">
        <v>10680737</v>
      </c>
      <c r="B1175" s="4" t="s">
        <v>8900</v>
      </c>
      <c r="C1175" s="4" t="s">
        <v>8901</v>
      </c>
      <c r="D1175" s="4" t="s">
        <v>8902</v>
      </c>
      <c r="E1175" s="4" t="s">
        <v>2419</v>
      </c>
      <c r="F1175" s="4" t="s">
        <v>4896</v>
      </c>
      <c r="G1175" s="4">
        <v>2000</v>
      </c>
      <c r="H1175" s="25">
        <v>36575</v>
      </c>
      <c r="K1175" s="4" t="s">
        <v>2420</v>
      </c>
    </row>
    <row r="1176" spans="1:11" ht="15.75" customHeight="1">
      <c r="A1176" s="4">
        <v>11285565</v>
      </c>
      <c r="B1176" s="4" t="s">
        <v>8906</v>
      </c>
      <c r="C1176" s="4" t="s">
        <v>8907</v>
      </c>
      <c r="D1176" s="4" t="s">
        <v>8908</v>
      </c>
      <c r="E1176" s="4" t="s">
        <v>4277</v>
      </c>
      <c r="F1176" s="4" t="s">
        <v>4923</v>
      </c>
      <c r="G1176" s="4">
        <v>2001</v>
      </c>
      <c r="H1176" s="25">
        <v>36985</v>
      </c>
      <c r="K1176" s="4" t="s">
        <v>4281</v>
      </c>
    </row>
    <row r="1177" spans="1:11" ht="15.75" customHeight="1">
      <c r="A1177" s="4">
        <v>12757622</v>
      </c>
      <c r="B1177" s="4" t="s">
        <v>8909</v>
      </c>
      <c r="C1177" s="4" t="s">
        <v>8910</v>
      </c>
      <c r="D1177" s="4" t="s">
        <v>8911</v>
      </c>
      <c r="E1177" s="4" t="s">
        <v>4298</v>
      </c>
      <c r="F1177" s="4" t="s">
        <v>8912</v>
      </c>
      <c r="G1177" s="4">
        <v>2003</v>
      </c>
      <c r="H1177" s="25">
        <v>37763</v>
      </c>
      <c r="I1177" s="4" t="s">
        <v>8913</v>
      </c>
      <c r="K1177" s="4" t="s">
        <v>4299</v>
      </c>
    </row>
    <row r="1178" spans="1:11" ht="15.75" customHeight="1">
      <c r="A1178" s="4">
        <v>12041676</v>
      </c>
      <c r="B1178" s="4" t="s">
        <v>8914</v>
      </c>
      <c r="C1178" s="4" t="s">
        <v>8915</v>
      </c>
      <c r="D1178" s="4" t="s">
        <v>8916</v>
      </c>
      <c r="E1178" s="4" t="s">
        <v>4618</v>
      </c>
      <c r="F1178" s="4" t="s">
        <v>4927</v>
      </c>
      <c r="G1178" s="4">
        <v>2002</v>
      </c>
      <c r="H1178" s="25">
        <v>37411</v>
      </c>
      <c r="K1178" s="4" t="s">
        <v>4619</v>
      </c>
    </row>
    <row r="1179" spans="1:11" ht="15.75" customHeight="1">
      <c r="A1179" s="4">
        <v>16177086</v>
      </c>
      <c r="B1179" s="4" t="s">
        <v>8920</v>
      </c>
      <c r="C1179" s="4" t="s">
        <v>8921</v>
      </c>
      <c r="D1179" s="4" t="s">
        <v>8922</v>
      </c>
      <c r="E1179" s="4" t="s">
        <v>4000</v>
      </c>
      <c r="F1179" s="4" t="s">
        <v>6293</v>
      </c>
      <c r="G1179" s="4">
        <v>2005</v>
      </c>
      <c r="H1179" s="25">
        <v>38619</v>
      </c>
      <c r="K1179" s="4" t="s">
        <v>4001</v>
      </c>
    </row>
    <row r="1180" spans="1:11" ht="15.75" customHeight="1">
      <c r="A1180" s="4">
        <v>16305617</v>
      </c>
      <c r="B1180" s="4" t="s">
        <v>8917</v>
      </c>
      <c r="C1180" s="4" t="s">
        <v>8918</v>
      </c>
      <c r="D1180" s="4" t="s">
        <v>8919</v>
      </c>
      <c r="E1180" s="4" t="s">
        <v>1360</v>
      </c>
      <c r="F1180" s="4" t="s">
        <v>5543</v>
      </c>
      <c r="G1180" s="4">
        <v>2005</v>
      </c>
      <c r="H1180" s="25">
        <v>38681</v>
      </c>
      <c r="K1180" s="4" t="s">
        <v>1361</v>
      </c>
    </row>
    <row r="1181" spans="1:11" ht="15.75" customHeight="1">
      <c r="A1181" s="4">
        <v>21358680</v>
      </c>
      <c r="B1181" s="4" t="s">
        <v>8923</v>
      </c>
      <c r="C1181" s="4" t="s">
        <v>8924</v>
      </c>
      <c r="D1181" s="4" t="s">
        <v>8925</v>
      </c>
      <c r="E1181" s="4" t="s">
        <v>648</v>
      </c>
      <c r="F1181" s="4" t="s">
        <v>4863</v>
      </c>
      <c r="G1181" s="4">
        <v>2012</v>
      </c>
      <c r="H1181" s="25">
        <v>40604</v>
      </c>
      <c r="K1181" s="4" t="s">
        <v>649</v>
      </c>
    </row>
    <row r="1182" spans="1:11" ht="15.75" customHeight="1">
      <c r="A1182" s="4">
        <v>9037664</v>
      </c>
      <c r="B1182" s="4" t="s">
        <v>8926</v>
      </c>
      <c r="C1182" s="4" t="s">
        <v>8927</v>
      </c>
      <c r="D1182" s="4" t="s">
        <v>8928</v>
      </c>
      <c r="E1182" s="4" t="s">
        <v>1199</v>
      </c>
      <c r="F1182" s="4" t="s">
        <v>5103</v>
      </c>
      <c r="G1182" s="4">
        <v>1997</v>
      </c>
      <c r="H1182" s="25">
        <v>35431</v>
      </c>
    </row>
    <row r="1183" spans="1:11" ht="15.75" customHeight="1">
      <c r="A1183" s="4">
        <v>20979645</v>
      </c>
      <c r="B1183" s="4" t="s">
        <v>8929</v>
      </c>
      <c r="C1183" s="4" t="s">
        <v>8930</v>
      </c>
      <c r="D1183" s="4" t="s">
        <v>8931</v>
      </c>
      <c r="E1183" s="4" t="s">
        <v>3014</v>
      </c>
      <c r="F1183" s="4" t="s">
        <v>4867</v>
      </c>
      <c r="G1183" s="4">
        <v>2010</v>
      </c>
      <c r="H1183" s="25">
        <v>40480</v>
      </c>
      <c r="I1183" s="4" t="s">
        <v>8932</v>
      </c>
      <c r="K1183" s="4" t="s">
        <v>3015</v>
      </c>
    </row>
    <row r="1184" spans="1:11" ht="15.75" customHeight="1">
      <c r="A1184" s="4">
        <v>10918273</v>
      </c>
      <c r="B1184" s="4" t="s">
        <v>8933</v>
      </c>
      <c r="C1184" s="4" t="s">
        <v>8934</v>
      </c>
      <c r="D1184" s="4" t="s">
        <v>8935</v>
      </c>
      <c r="E1184" s="4" t="s">
        <v>4346</v>
      </c>
      <c r="F1184" s="4" t="s">
        <v>8936</v>
      </c>
      <c r="G1184" s="4">
        <v>2000</v>
      </c>
      <c r="H1184" s="25">
        <v>36741</v>
      </c>
      <c r="K1184" s="4" t="s">
        <v>4347</v>
      </c>
    </row>
    <row r="1185" spans="1:11" ht="15.75" customHeight="1">
      <c r="A1185" s="4">
        <v>8397041</v>
      </c>
      <c r="B1185" s="4" t="s">
        <v>8937</v>
      </c>
      <c r="C1185" s="4" t="s">
        <v>8938</v>
      </c>
      <c r="D1185" s="4" t="s">
        <v>8939</v>
      </c>
      <c r="E1185" s="4" t="s">
        <v>465</v>
      </c>
      <c r="F1185" s="4" t="s">
        <v>8940</v>
      </c>
      <c r="G1185" s="4">
        <v>1993</v>
      </c>
      <c r="H1185" s="25">
        <v>34001</v>
      </c>
      <c r="K1185" s="4" t="s">
        <v>1223</v>
      </c>
    </row>
    <row r="1186" spans="1:11" ht="15.75" customHeight="1">
      <c r="A1186" s="4">
        <v>30256500</v>
      </c>
      <c r="B1186" s="4" t="s">
        <v>8950</v>
      </c>
      <c r="C1186" s="4" t="s">
        <v>8951</v>
      </c>
      <c r="D1186" s="4" t="s">
        <v>8952</v>
      </c>
      <c r="E1186" s="4" t="s">
        <v>860</v>
      </c>
      <c r="F1186" s="4" t="s">
        <v>4974</v>
      </c>
      <c r="G1186" s="4">
        <v>2019</v>
      </c>
      <c r="H1186" s="25">
        <v>43370</v>
      </c>
      <c r="K1186" s="4" t="s">
        <v>861</v>
      </c>
    </row>
    <row r="1187" spans="1:11" ht="15.75" customHeight="1">
      <c r="A1187" s="4">
        <v>20500695</v>
      </c>
      <c r="B1187" s="4" t="s">
        <v>8941</v>
      </c>
      <c r="C1187" s="4" t="s">
        <v>8942</v>
      </c>
      <c r="D1187" s="4" t="s">
        <v>8943</v>
      </c>
      <c r="E1187" s="4" t="s">
        <v>1317</v>
      </c>
      <c r="F1187" s="4" t="s">
        <v>8842</v>
      </c>
      <c r="G1187" s="4">
        <v>2010</v>
      </c>
      <c r="H1187" s="25">
        <v>40325</v>
      </c>
      <c r="K1187" s="4" t="s">
        <v>1318</v>
      </c>
    </row>
    <row r="1188" spans="1:11" ht="15.75" customHeight="1">
      <c r="A1188" s="4">
        <v>15494709</v>
      </c>
      <c r="B1188" s="4" t="s">
        <v>8944</v>
      </c>
      <c r="C1188" s="4" t="s">
        <v>8945</v>
      </c>
      <c r="D1188" s="4" t="s">
        <v>8946</v>
      </c>
      <c r="E1188" s="4" t="s">
        <v>3131</v>
      </c>
      <c r="F1188" s="4" t="s">
        <v>8947</v>
      </c>
      <c r="G1188" s="4">
        <v>2004</v>
      </c>
      <c r="H1188" s="25">
        <v>38281</v>
      </c>
      <c r="I1188" s="4" t="s">
        <v>8948</v>
      </c>
      <c r="J1188" s="4" t="s">
        <v>8949</v>
      </c>
      <c r="K1188" s="4" t="s">
        <v>3132</v>
      </c>
    </row>
    <row r="1189" spans="1:11" ht="15.75" customHeight="1">
      <c r="A1189" s="4">
        <v>16858271</v>
      </c>
      <c r="B1189" s="4" t="s">
        <v>8953</v>
      </c>
      <c r="C1189" s="4" t="s">
        <v>8954</v>
      </c>
      <c r="D1189" s="4" t="s">
        <v>8955</v>
      </c>
      <c r="E1189" s="4" t="s">
        <v>651</v>
      </c>
      <c r="F1189" s="4" t="s">
        <v>5445</v>
      </c>
      <c r="G1189" s="4">
        <v>2006</v>
      </c>
      <c r="H1189" s="25">
        <v>38920</v>
      </c>
      <c r="K1189" s="4" t="s">
        <v>2458</v>
      </c>
    </row>
    <row r="1190" spans="1:11" ht="15.75" customHeight="1">
      <c r="A1190" s="4">
        <v>20853075</v>
      </c>
      <c r="B1190" s="4" t="s">
        <v>8956</v>
      </c>
      <c r="C1190" s="4" t="s">
        <v>8957</v>
      </c>
      <c r="D1190" s="4" t="s">
        <v>8958</v>
      </c>
      <c r="E1190" s="4" t="s">
        <v>4220</v>
      </c>
      <c r="F1190" s="4" t="s">
        <v>8959</v>
      </c>
      <c r="G1190" s="4">
        <v>2011</v>
      </c>
      <c r="H1190" s="25">
        <v>40442</v>
      </c>
      <c r="K1190" s="4" t="s">
        <v>4221</v>
      </c>
    </row>
    <row r="1191" spans="1:11" ht="15.75" customHeight="1">
      <c r="A1191" s="4">
        <v>12009660</v>
      </c>
      <c r="B1191" s="4" t="s">
        <v>8960</v>
      </c>
      <c r="C1191" s="4" t="s">
        <v>8961</v>
      </c>
      <c r="D1191" s="4" t="s">
        <v>8962</v>
      </c>
      <c r="E1191" s="4" t="s">
        <v>1827</v>
      </c>
      <c r="F1191" s="4" t="s">
        <v>5696</v>
      </c>
      <c r="G1191" s="4">
        <v>2002</v>
      </c>
      <c r="H1191" s="25">
        <v>37392</v>
      </c>
      <c r="K1191" s="4" t="s">
        <v>1830</v>
      </c>
    </row>
    <row r="1192" spans="1:11" ht="15.75" customHeight="1">
      <c r="A1192" s="4">
        <v>11706967</v>
      </c>
      <c r="B1192" s="4" t="s">
        <v>8979</v>
      </c>
      <c r="C1192" s="4" t="s">
        <v>8980</v>
      </c>
      <c r="D1192" s="4" t="s">
        <v>8981</v>
      </c>
      <c r="E1192" s="4" t="s">
        <v>4395</v>
      </c>
      <c r="F1192" s="4" t="s">
        <v>7649</v>
      </c>
      <c r="G1192" s="4">
        <v>2001</v>
      </c>
      <c r="H1192" s="25">
        <v>37210</v>
      </c>
      <c r="K1192" s="4" t="s">
        <v>4396</v>
      </c>
    </row>
    <row r="1193" spans="1:11" ht="15.75" customHeight="1">
      <c r="A1193" s="4">
        <v>17092696</v>
      </c>
      <c r="B1193" s="4" t="s">
        <v>8963</v>
      </c>
      <c r="C1193" s="4" t="s">
        <v>8964</v>
      </c>
      <c r="D1193" s="4" t="s">
        <v>8965</v>
      </c>
      <c r="E1193" s="4" t="s">
        <v>3630</v>
      </c>
      <c r="F1193" s="4" t="s">
        <v>7737</v>
      </c>
      <c r="G1193" s="4">
        <v>2006</v>
      </c>
      <c r="H1193" s="25">
        <v>39031</v>
      </c>
      <c r="K1193" s="4" t="s">
        <v>3631</v>
      </c>
    </row>
    <row r="1194" spans="1:11" ht="15.75" customHeight="1">
      <c r="A1194" s="4">
        <v>29197110</v>
      </c>
      <c r="B1194" s="4" t="s">
        <v>8966</v>
      </c>
      <c r="C1194" s="4" t="s">
        <v>8967</v>
      </c>
      <c r="D1194" s="4" t="s">
        <v>8968</v>
      </c>
      <c r="E1194" s="4" t="s">
        <v>1779</v>
      </c>
      <c r="F1194" s="4" t="s">
        <v>5291</v>
      </c>
      <c r="G1194" s="4">
        <v>2018</v>
      </c>
      <c r="H1194" s="25">
        <v>43072</v>
      </c>
      <c r="K1194" s="4" t="s">
        <v>1780</v>
      </c>
    </row>
    <row r="1195" spans="1:11" ht="15.75" customHeight="1">
      <c r="A1195" s="4">
        <v>27772620</v>
      </c>
      <c r="B1195" s="4" t="s">
        <v>8969</v>
      </c>
      <c r="C1195" s="4" t="s">
        <v>8970</v>
      </c>
      <c r="D1195" s="4" t="s">
        <v>8971</v>
      </c>
      <c r="E1195" s="4" t="s">
        <v>3876</v>
      </c>
      <c r="F1195" s="4" t="s">
        <v>8972</v>
      </c>
      <c r="G1195" s="4">
        <v>2016</v>
      </c>
      <c r="H1195" s="25">
        <v>42668</v>
      </c>
      <c r="K1195" s="4" t="s">
        <v>3877</v>
      </c>
    </row>
    <row r="1196" spans="1:11" ht="15.75" customHeight="1">
      <c r="A1196" s="4">
        <v>18277595</v>
      </c>
      <c r="B1196" s="4" t="s">
        <v>8973</v>
      </c>
      <c r="C1196" s="4" t="s">
        <v>8974</v>
      </c>
      <c r="D1196" s="4" t="s">
        <v>8975</v>
      </c>
      <c r="E1196" s="4" t="s">
        <v>3329</v>
      </c>
      <c r="F1196" s="4" t="s">
        <v>5047</v>
      </c>
      <c r="G1196" s="4">
        <v>2008</v>
      </c>
      <c r="H1196" s="25">
        <v>39497</v>
      </c>
    </row>
    <row r="1197" spans="1:11" ht="15.75" customHeight="1">
      <c r="A1197" s="4">
        <v>10827485</v>
      </c>
      <c r="B1197" s="4" t="s">
        <v>8976</v>
      </c>
      <c r="C1197" s="4" t="s">
        <v>8298</v>
      </c>
      <c r="D1197" s="4" t="s">
        <v>8977</v>
      </c>
      <c r="E1197" s="4" t="s">
        <v>1308</v>
      </c>
      <c r="F1197" s="4" t="s">
        <v>8978</v>
      </c>
      <c r="G1197" s="4">
        <v>1999</v>
      </c>
      <c r="H1197" s="25">
        <v>36675</v>
      </c>
    </row>
    <row r="1198" spans="1:11" ht="15.75" customHeight="1">
      <c r="A1198" s="4">
        <v>19843234</v>
      </c>
      <c r="B1198" s="4" t="s">
        <v>8982</v>
      </c>
      <c r="C1198" s="4" t="s">
        <v>8983</v>
      </c>
      <c r="D1198" s="4" t="s">
        <v>8984</v>
      </c>
      <c r="E1198" s="4" t="s">
        <v>528</v>
      </c>
      <c r="F1198" s="4" t="s">
        <v>5543</v>
      </c>
      <c r="G1198" s="4">
        <v>2010</v>
      </c>
      <c r="H1198" s="25">
        <v>40108</v>
      </c>
      <c r="K1198" s="4" t="s">
        <v>532</v>
      </c>
    </row>
    <row r="1199" spans="1:11" ht="15.75" customHeight="1">
      <c r="A1199" s="4">
        <v>15010521</v>
      </c>
      <c r="B1199" s="4" t="s">
        <v>8994</v>
      </c>
      <c r="C1199" s="4" t="s">
        <v>8995</v>
      </c>
      <c r="D1199" s="4" t="s">
        <v>8996</v>
      </c>
      <c r="E1199" s="4" t="s">
        <v>1972</v>
      </c>
      <c r="F1199" s="4" t="s">
        <v>8997</v>
      </c>
      <c r="G1199" s="4">
        <v>2004</v>
      </c>
      <c r="H1199" s="25">
        <v>38057</v>
      </c>
      <c r="K1199" s="4" t="s">
        <v>1973</v>
      </c>
    </row>
    <row r="1200" spans="1:11" ht="15.75" customHeight="1">
      <c r="A1200" s="4">
        <v>25564483</v>
      </c>
      <c r="B1200" s="4" t="s">
        <v>8985</v>
      </c>
      <c r="C1200" s="4" t="s">
        <v>8986</v>
      </c>
      <c r="D1200" s="4" t="s">
        <v>8987</v>
      </c>
      <c r="E1200" s="4" t="s">
        <v>3834</v>
      </c>
      <c r="F1200" s="4" t="s">
        <v>8988</v>
      </c>
      <c r="G1200" s="4">
        <v>2015</v>
      </c>
      <c r="H1200" s="25">
        <v>42012</v>
      </c>
      <c r="I1200" s="4" t="s">
        <v>8989</v>
      </c>
      <c r="J1200" s="4" t="s">
        <v>8990</v>
      </c>
      <c r="K1200" s="4" t="s">
        <v>3835</v>
      </c>
    </row>
    <row r="1201" spans="1:11" ht="15.75" customHeight="1">
      <c r="A1201" s="4">
        <v>22388278</v>
      </c>
      <c r="B1201" s="4" t="s">
        <v>8991</v>
      </c>
      <c r="C1201" s="4" t="s">
        <v>8992</v>
      </c>
      <c r="D1201" s="4" t="s">
        <v>8993</v>
      </c>
      <c r="E1201" s="4" t="s">
        <v>686</v>
      </c>
      <c r="F1201" s="4" t="s">
        <v>4863</v>
      </c>
      <c r="G1201" s="4">
        <v>2012</v>
      </c>
      <c r="H1201" s="25">
        <v>40974</v>
      </c>
      <c r="K1201" s="4" t="s">
        <v>2660</v>
      </c>
    </row>
    <row r="1202" spans="1:11" ht="15.75" customHeight="1">
      <c r="A1202" s="4">
        <v>25656804</v>
      </c>
      <c r="B1202" s="4" t="s">
        <v>8998</v>
      </c>
      <c r="C1202" s="4" t="s">
        <v>8999</v>
      </c>
      <c r="D1202" s="4" t="s">
        <v>9000</v>
      </c>
      <c r="E1202" s="4" t="s">
        <v>1931</v>
      </c>
      <c r="F1202" s="4" t="s">
        <v>9001</v>
      </c>
      <c r="G1202" s="4">
        <v>2015</v>
      </c>
      <c r="H1202" s="25">
        <v>42042</v>
      </c>
      <c r="K1202" s="4" t="s">
        <v>1932</v>
      </c>
    </row>
    <row r="1203" spans="1:11" ht="15.75" customHeight="1">
      <c r="A1203" s="4">
        <v>9328116</v>
      </c>
      <c r="B1203" s="4" t="s">
        <v>9006</v>
      </c>
      <c r="C1203" s="4" t="s">
        <v>8051</v>
      </c>
      <c r="D1203" s="4" t="s">
        <v>9007</v>
      </c>
      <c r="E1203" s="4" t="s">
        <v>2940</v>
      </c>
      <c r="F1203" s="4" t="s">
        <v>9008</v>
      </c>
      <c r="G1203" s="4">
        <v>1997</v>
      </c>
      <c r="H1203" s="25">
        <v>35730</v>
      </c>
      <c r="I1203" s="4" t="s">
        <v>9009</v>
      </c>
      <c r="K1203" s="4" t="s">
        <v>2942</v>
      </c>
    </row>
    <row r="1204" spans="1:11" ht="15.75" customHeight="1">
      <c r="A1204" s="4">
        <v>12520651</v>
      </c>
      <c r="B1204" s="4" t="s">
        <v>9002</v>
      </c>
      <c r="C1204" s="4" t="s">
        <v>9003</v>
      </c>
      <c r="D1204" s="4" t="s">
        <v>9004</v>
      </c>
      <c r="E1204" s="4" t="s">
        <v>3822</v>
      </c>
      <c r="F1204" s="4" t="s">
        <v>9005</v>
      </c>
      <c r="G1204" s="4">
        <v>2002</v>
      </c>
      <c r="H1204" s="25">
        <v>37632</v>
      </c>
    </row>
    <row r="1205" spans="1:11" ht="15.75" customHeight="1">
      <c r="A1205" s="4">
        <v>23220782</v>
      </c>
      <c r="B1205" s="4" t="s">
        <v>9013</v>
      </c>
      <c r="C1205" s="4" t="s">
        <v>9014</v>
      </c>
      <c r="D1205" s="4" t="s">
        <v>9015</v>
      </c>
      <c r="E1205" s="4" t="s">
        <v>1311</v>
      </c>
      <c r="F1205" s="4" t="s">
        <v>9016</v>
      </c>
      <c r="G1205" s="4">
        <v>2013</v>
      </c>
      <c r="H1205" s="25">
        <v>41254</v>
      </c>
      <c r="K1205" s="4" t="s">
        <v>1312</v>
      </c>
    </row>
    <row r="1206" spans="1:11" ht="15.75" customHeight="1">
      <c r="A1206" s="4">
        <v>12581135</v>
      </c>
      <c r="B1206" s="4" t="s">
        <v>9010</v>
      </c>
      <c r="C1206" s="4" t="s">
        <v>9011</v>
      </c>
      <c r="D1206" s="4" t="s">
        <v>9012</v>
      </c>
      <c r="E1206" s="4" t="s">
        <v>3215</v>
      </c>
      <c r="F1206" s="4" t="s">
        <v>7671</v>
      </c>
      <c r="G1206" s="4">
        <v>2003</v>
      </c>
      <c r="H1206" s="25">
        <v>37665</v>
      </c>
      <c r="K1206" s="4" t="s">
        <v>3216</v>
      </c>
    </row>
    <row r="1207" spans="1:11" ht="15.75" customHeight="1">
      <c r="A1207" s="4">
        <v>28820014</v>
      </c>
      <c r="B1207" s="4" t="s">
        <v>9017</v>
      </c>
      <c r="C1207" s="4" t="s">
        <v>9018</v>
      </c>
      <c r="D1207" s="4" t="s">
        <v>9019</v>
      </c>
      <c r="E1207" s="4" t="s">
        <v>4352</v>
      </c>
      <c r="F1207" s="4" t="s">
        <v>8988</v>
      </c>
      <c r="G1207" s="4">
        <v>2017</v>
      </c>
      <c r="H1207" s="25">
        <v>42966</v>
      </c>
      <c r="K1207" s="4" t="s">
        <v>4353</v>
      </c>
    </row>
    <row r="1208" spans="1:11" ht="15.75" customHeight="1">
      <c r="A1208" s="4">
        <v>25239996</v>
      </c>
      <c r="B1208" s="4" t="s">
        <v>9024</v>
      </c>
      <c r="C1208" s="4" t="s">
        <v>9025</v>
      </c>
      <c r="D1208" s="4" t="s">
        <v>9026</v>
      </c>
      <c r="E1208" s="4" t="s">
        <v>3964</v>
      </c>
      <c r="F1208" s="4" t="s">
        <v>8157</v>
      </c>
      <c r="G1208" s="4">
        <v>2014</v>
      </c>
      <c r="H1208" s="25">
        <v>41903</v>
      </c>
      <c r="I1208" s="4" t="s">
        <v>9027</v>
      </c>
      <c r="K1208" s="4" t="s">
        <v>3965</v>
      </c>
    </row>
    <row r="1209" spans="1:11" ht="15.75" customHeight="1">
      <c r="A1209" s="4">
        <v>30572622</v>
      </c>
      <c r="B1209" s="4" t="s">
        <v>9020</v>
      </c>
      <c r="C1209" s="4" t="s">
        <v>9021</v>
      </c>
      <c r="D1209" s="4" t="s">
        <v>9022</v>
      </c>
      <c r="E1209" s="4" t="s">
        <v>3868</v>
      </c>
      <c r="F1209" s="4" t="s">
        <v>4842</v>
      </c>
      <c r="G1209" s="4">
        <v>2018</v>
      </c>
      <c r="H1209" s="25">
        <v>43456</v>
      </c>
      <c r="I1209" s="4" t="s">
        <v>9023</v>
      </c>
      <c r="K1209" s="4" t="s">
        <v>3869</v>
      </c>
    </row>
    <row r="1210" spans="1:11" ht="15.75" customHeight="1">
      <c r="A1210" s="4">
        <v>7917866</v>
      </c>
      <c r="B1210" s="4" t="s">
        <v>9028</v>
      </c>
      <c r="C1210" s="4" t="s">
        <v>9029</v>
      </c>
      <c r="D1210" s="4" t="s">
        <v>9030</v>
      </c>
      <c r="E1210" s="4" t="s">
        <v>1143</v>
      </c>
      <c r="F1210" s="4" t="s">
        <v>6071</v>
      </c>
      <c r="G1210" s="4">
        <v>1994</v>
      </c>
      <c r="H1210" s="25">
        <v>34486</v>
      </c>
      <c r="K1210" s="4" t="s">
        <v>1144</v>
      </c>
    </row>
    <row r="1211" spans="1:11" ht="15.75" customHeight="1">
      <c r="A1211" s="4">
        <v>25576704</v>
      </c>
      <c r="B1211" s="4" t="s">
        <v>9031</v>
      </c>
      <c r="C1211" s="4" t="s">
        <v>9032</v>
      </c>
      <c r="D1211" s="4" t="s">
        <v>9033</v>
      </c>
      <c r="E1211" s="4" t="s">
        <v>2431</v>
      </c>
      <c r="F1211" s="4" t="s">
        <v>9034</v>
      </c>
      <c r="G1211" s="4">
        <v>2015</v>
      </c>
      <c r="H1211" s="25">
        <v>42015</v>
      </c>
      <c r="K1211" s="4" t="s">
        <v>2432</v>
      </c>
    </row>
    <row r="1212" spans="1:11" ht="15.75" customHeight="1">
      <c r="A1212" s="4">
        <v>16528368</v>
      </c>
      <c r="B1212" s="4" t="s">
        <v>9038</v>
      </c>
      <c r="C1212" s="4" t="s">
        <v>9039</v>
      </c>
      <c r="D1212" s="4" t="s">
        <v>9040</v>
      </c>
      <c r="E1212" s="4" t="s">
        <v>1611</v>
      </c>
      <c r="F1212" s="4" t="s">
        <v>8947</v>
      </c>
      <c r="G1212" s="4">
        <v>2006</v>
      </c>
      <c r="H1212" s="25">
        <v>38787</v>
      </c>
      <c r="K1212" s="4" t="s">
        <v>1612</v>
      </c>
    </row>
    <row r="1213" spans="1:11" ht="15.75" customHeight="1">
      <c r="A1213" s="4">
        <v>19915376</v>
      </c>
      <c r="B1213" s="4" t="s">
        <v>9035</v>
      </c>
      <c r="C1213" s="4" t="s">
        <v>9036</v>
      </c>
      <c r="D1213" s="4" t="s">
        <v>9037</v>
      </c>
      <c r="E1213" s="4" t="s">
        <v>4231</v>
      </c>
      <c r="F1213" s="4" t="s">
        <v>5047</v>
      </c>
      <c r="G1213" s="4">
        <v>2009</v>
      </c>
      <c r="H1213" s="25">
        <v>40134</v>
      </c>
    </row>
    <row r="1214" spans="1:11" ht="15.75" customHeight="1">
      <c r="A1214" s="4">
        <v>18286574</v>
      </c>
      <c r="B1214" s="4" t="s">
        <v>9041</v>
      </c>
      <c r="C1214" s="4" t="s">
        <v>9042</v>
      </c>
      <c r="D1214" s="4" t="s">
        <v>9043</v>
      </c>
      <c r="E1214" s="4" t="s">
        <v>1562</v>
      </c>
      <c r="F1214" s="4" t="s">
        <v>5567</v>
      </c>
      <c r="G1214" s="4">
        <v>2008</v>
      </c>
      <c r="H1214" s="25">
        <v>39499</v>
      </c>
      <c r="K1214" s="4" t="s">
        <v>1563</v>
      </c>
    </row>
    <row r="1215" spans="1:11" ht="15.75" customHeight="1">
      <c r="A1215" s="4">
        <v>12422078</v>
      </c>
      <c r="B1215" s="4" t="s">
        <v>9047</v>
      </c>
      <c r="C1215" s="4" t="s">
        <v>9048</v>
      </c>
      <c r="D1215" s="4" t="s">
        <v>9049</v>
      </c>
      <c r="E1215" s="4" t="s">
        <v>3250</v>
      </c>
      <c r="F1215" s="4" t="s">
        <v>5878</v>
      </c>
      <c r="G1215" s="4">
        <v>2002</v>
      </c>
      <c r="H1215" s="25">
        <v>37568</v>
      </c>
      <c r="K1215" s="4" t="s">
        <v>3251</v>
      </c>
    </row>
    <row r="1216" spans="1:11" ht="15.75" customHeight="1">
      <c r="A1216" s="4">
        <v>10092832</v>
      </c>
      <c r="B1216" s="4" t="s">
        <v>9044</v>
      </c>
      <c r="C1216" s="4" t="s">
        <v>9045</v>
      </c>
      <c r="D1216" s="4" t="s">
        <v>9046</v>
      </c>
      <c r="E1216" s="4" t="s">
        <v>1945</v>
      </c>
      <c r="F1216" s="4" t="s">
        <v>6293</v>
      </c>
      <c r="G1216" s="4">
        <v>1999</v>
      </c>
      <c r="H1216" s="25">
        <v>36246</v>
      </c>
    </row>
    <row r="1217" spans="1:11" ht="15.75" customHeight="1">
      <c r="A1217" s="4">
        <v>8938162</v>
      </c>
      <c r="B1217" s="4" t="s">
        <v>9050</v>
      </c>
      <c r="C1217" s="4" t="s">
        <v>9051</v>
      </c>
      <c r="D1217" s="4" t="s">
        <v>9052</v>
      </c>
      <c r="E1217" s="4" t="s">
        <v>3142</v>
      </c>
      <c r="F1217" s="4" t="s">
        <v>9053</v>
      </c>
      <c r="G1217" s="4">
        <v>1996</v>
      </c>
      <c r="H1217" s="25">
        <v>35400</v>
      </c>
      <c r="K1217" s="4" t="s">
        <v>3143</v>
      </c>
    </row>
    <row r="1218" spans="1:11" ht="15.75" customHeight="1">
      <c r="A1218" s="4">
        <v>16134192</v>
      </c>
      <c r="B1218" s="4" t="s">
        <v>9054</v>
      </c>
      <c r="C1218" s="4" t="s">
        <v>9055</v>
      </c>
      <c r="D1218" s="4" t="s">
        <v>9056</v>
      </c>
      <c r="E1218" s="4" t="s">
        <v>4377</v>
      </c>
      <c r="F1218" s="4" t="s">
        <v>9057</v>
      </c>
      <c r="G1218" s="4">
        <v>2004</v>
      </c>
      <c r="H1218" s="25">
        <v>38596</v>
      </c>
      <c r="K1218" s="4" t="s">
        <v>4378</v>
      </c>
    </row>
    <row r="1219" spans="1:11" ht="15.75" customHeight="1">
      <c r="A1219" s="4">
        <v>17189225</v>
      </c>
      <c r="B1219" s="4" t="s">
        <v>9058</v>
      </c>
      <c r="C1219" s="4" t="s">
        <v>9059</v>
      </c>
      <c r="D1219" s="4" t="s">
        <v>9060</v>
      </c>
      <c r="E1219" s="4" t="s">
        <v>584</v>
      </c>
      <c r="F1219" s="4" t="s">
        <v>4927</v>
      </c>
      <c r="G1219" s="4">
        <v>2006</v>
      </c>
      <c r="H1219" s="25">
        <v>39077</v>
      </c>
      <c r="K1219" s="4" t="s">
        <v>585</v>
      </c>
    </row>
    <row r="1220" spans="1:11" ht="15.75" customHeight="1">
      <c r="A1220" s="4">
        <v>7893989</v>
      </c>
      <c r="B1220" s="4" t="s">
        <v>9061</v>
      </c>
      <c r="C1220" s="4" t="s">
        <v>9062</v>
      </c>
      <c r="D1220" s="4" t="s">
        <v>9063</v>
      </c>
      <c r="E1220" s="4" t="s">
        <v>2392</v>
      </c>
      <c r="F1220" s="4" t="s">
        <v>4954</v>
      </c>
      <c r="G1220" s="4">
        <v>1994</v>
      </c>
      <c r="H1220" s="25">
        <v>34516</v>
      </c>
    </row>
    <row r="1221" spans="1:11" ht="15.75" customHeight="1">
      <c r="A1221" s="4">
        <v>31785234</v>
      </c>
      <c r="B1221" s="4" t="s">
        <v>9064</v>
      </c>
      <c r="C1221" s="4" t="s">
        <v>9065</v>
      </c>
      <c r="D1221" s="4" t="s">
        <v>9066</v>
      </c>
      <c r="E1221" s="4" t="s">
        <v>3334</v>
      </c>
      <c r="F1221" s="4" t="s">
        <v>9067</v>
      </c>
      <c r="G1221" s="4">
        <v>2020</v>
      </c>
      <c r="H1221" s="25">
        <v>43800</v>
      </c>
      <c r="K1221" s="4" t="s">
        <v>3335</v>
      </c>
    </row>
    <row r="1222" spans="1:11" ht="15.75" customHeight="1">
      <c r="A1222" s="4">
        <v>22705183</v>
      </c>
      <c r="B1222" s="4" t="s">
        <v>9068</v>
      </c>
      <c r="C1222" s="4" t="s">
        <v>9069</v>
      </c>
      <c r="D1222" s="4" t="s">
        <v>9070</v>
      </c>
      <c r="E1222" s="4" t="s">
        <v>1155</v>
      </c>
      <c r="F1222" s="4" t="s">
        <v>9071</v>
      </c>
      <c r="G1222" s="4">
        <v>2013</v>
      </c>
      <c r="H1222" s="25">
        <v>41079</v>
      </c>
      <c r="K1222" s="4" t="s">
        <v>1156</v>
      </c>
    </row>
    <row r="1223" spans="1:11" ht="15.75" customHeight="1">
      <c r="A1223" s="4">
        <v>9688454</v>
      </c>
      <c r="B1223" s="4" t="s">
        <v>9072</v>
      </c>
      <c r="C1223" s="4" t="s">
        <v>9073</v>
      </c>
      <c r="D1223" s="4" t="s">
        <v>9074</v>
      </c>
      <c r="E1223" s="4" t="s">
        <v>4485</v>
      </c>
      <c r="F1223" s="4" t="s">
        <v>5453</v>
      </c>
      <c r="G1223" s="4">
        <v>1998</v>
      </c>
      <c r="H1223" s="25">
        <v>36011</v>
      </c>
      <c r="K1223" s="4" t="s">
        <v>4486</v>
      </c>
    </row>
    <row r="1224" spans="1:11" ht="15.75" customHeight="1">
      <c r="A1224" s="4">
        <v>31397803</v>
      </c>
      <c r="B1224" s="4" t="s">
        <v>9075</v>
      </c>
      <c r="C1224" s="4" t="s">
        <v>9076</v>
      </c>
      <c r="D1224" s="4" t="s">
        <v>9077</v>
      </c>
      <c r="E1224" s="4" t="s">
        <v>1964</v>
      </c>
      <c r="F1224" s="4" t="s">
        <v>5445</v>
      </c>
      <c r="G1224" s="4">
        <v>2019</v>
      </c>
      <c r="H1224" s="25">
        <v>43687</v>
      </c>
      <c r="K1224" s="4" t="s">
        <v>1965</v>
      </c>
    </row>
    <row r="1225" spans="1:11" ht="15.75" customHeight="1">
      <c r="A1225" s="4">
        <v>23498824</v>
      </c>
      <c r="B1225" s="4" t="s">
        <v>9078</v>
      </c>
      <c r="C1225" s="4" t="s">
        <v>9079</v>
      </c>
      <c r="D1225" s="4" t="s">
        <v>9080</v>
      </c>
      <c r="E1225" s="4" t="s">
        <v>4223</v>
      </c>
      <c r="F1225" s="4" t="s">
        <v>5696</v>
      </c>
      <c r="G1225" s="4">
        <v>2013</v>
      </c>
      <c r="H1225" s="25">
        <v>41352</v>
      </c>
      <c r="K1225" s="4" t="s">
        <v>4224</v>
      </c>
    </row>
    <row r="1226" spans="1:11" ht="15.75" customHeight="1">
      <c r="A1226" s="4">
        <v>8707578</v>
      </c>
      <c r="B1226" s="4" t="s">
        <v>9088</v>
      </c>
      <c r="C1226" s="4" t="s">
        <v>9089</v>
      </c>
      <c r="D1226" s="4" t="s">
        <v>9090</v>
      </c>
      <c r="E1226" s="4" t="s">
        <v>2869</v>
      </c>
      <c r="F1226" s="4" t="s">
        <v>9091</v>
      </c>
      <c r="G1226" s="4">
        <v>1996</v>
      </c>
      <c r="H1226" s="25">
        <v>35186</v>
      </c>
      <c r="K1226" s="4" t="s">
        <v>2870</v>
      </c>
    </row>
    <row r="1227" spans="1:11" ht="15.75" customHeight="1">
      <c r="A1227" s="4">
        <v>25629987</v>
      </c>
      <c r="B1227" s="4" t="s">
        <v>9081</v>
      </c>
      <c r="C1227" s="4" t="s">
        <v>9082</v>
      </c>
      <c r="D1227" s="4" t="s">
        <v>9083</v>
      </c>
      <c r="E1227" s="4" t="s">
        <v>3407</v>
      </c>
      <c r="F1227" s="4" t="s">
        <v>5099</v>
      </c>
      <c r="G1227" s="4">
        <v>2015</v>
      </c>
      <c r="H1227" s="25">
        <v>42033</v>
      </c>
      <c r="K1227" s="4" t="s">
        <v>3408</v>
      </c>
    </row>
    <row r="1228" spans="1:11" ht="15.75" customHeight="1">
      <c r="A1228" s="4">
        <v>24919177</v>
      </c>
      <c r="B1228" s="4" t="s">
        <v>9084</v>
      </c>
      <c r="C1228" s="4" t="s">
        <v>9085</v>
      </c>
      <c r="D1228" s="4" t="s">
        <v>9086</v>
      </c>
      <c r="E1228" s="4" t="s">
        <v>4404</v>
      </c>
      <c r="F1228" s="4" t="s">
        <v>4978</v>
      </c>
      <c r="G1228" s="4">
        <v>2014</v>
      </c>
      <c r="H1228" s="25">
        <v>41802</v>
      </c>
      <c r="I1228" s="4" t="s">
        <v>9087</v>
      </c>
      <c r="K1228" s="4" t="s">
        <v>4405</v>
      </c>
    </row>
    <row r="1229" spans="1:11" ht="15.75" customHeight="1">
      <c r="A1229" s="4">
        <v>23516318</v>
      </c>
      <c r="B1229" s="4" t="s">
        <v>9095</v>
      </c>
      <c r="C1229" s="4" t="s">
        <v>9096</v>
      </c>
      <c r="D1229" s="4" t="s">
        <v>9097</v>
      </c>
      <c r="E1229" s="4" t="s">
        <v>495</v>
      </c>
      <c r="F1229" s="4" t="s">
        <v>7413</v>
      </c>
      <c r="G1229" s="4">
        <v>2013</v>
      </c>
      <c r="H1229" s="25">
        <v>41355</v>
      </c>
      <c r="I1229" s="4" t="s">
        <v>9098</v>
      </c>
      <c r="K1229" s="4" t="s">
        <v>496</v>
      </c>
    </row>
    <row r="1230" spans="1:11" ht="15.75" customHeight="1">
      <c r="A1230" s="4">
        <v>26444787</v>
      </c>
      <c r="B1230" s="4" t="s">
        <v>9092</v>
      </c>
      <c r="C1230" s="4" t="s">
        <v>9093</v>
      </c>
      <c r="D1230" s="4" t="s">
        <v>9094</v>
      </c>
      <c r="E1230" s="4" t="s">
        <v>1104</v>
      </c>
      <c r="F1230" s="4" t="s">
        <v>7203</v>
      </c>
      <c r="G1230" s="4">
        <v>2016</v>
      </c>
      <c r="H1230" s="25">
        <v>42285</v>
      </c>
      <c r="K1230" s="4" t="s">
        <v>1105</v>
      </c>
    </row>
    <row r="1231" spans="1:11" ht="15.75" customHeight="1">
      <c r="A1231" s="4">
        <v>17620548</v>
      </c>
      <c r="B1231" s="4" t="s">
        <v>8344</v>
      </c>
      <c r="C1231" s="4" t="s">
        <v>9099</v>
      </c>
      <c r="D1231" s="4" t="s">
        <v>9100</v>
      </c>
      <c r="E1231" s="4" t="s">
        <v>878</v>
      </c>
      <c r="F1231" s="4" t="s">
        <v>7413</v>
      </c>
      <c r="G1231" s="4">
        <v>2007</v>
      </c>
      <c r="H1231" s="25">
        <v>39274</v>
      </c>
      <c r="K1231" s="4" t="s">
        <v>879</v>
      </c>
    </row>
    <row r="1232" spans="1:11" ht="15.75" customHeight="1">
      <c r="A1232" s="4">
        <v>20600868</v>
      </c>
      <c r="B1232" s="4" t="s">
        <v>9101</v>
      </c>
      <c r="C1232" s="4" t="s">
        <v>9102</v>
      </c>
      <c r="D1232" s="4" t="s">
        <v>9103</v>
      </c>
      <c r="E1232" s="4" t="s">
        <v>2591</v>
      </c>
      <c r="F1232" s="4" t="s">
        <v>9104</v>
      </c>
      <c r="G1232" s="4">
        <v>2011</v>
      </c>
      <c r="H1232" s="25">
        <v>40365</v>
      </c>
      <c r="I1232" s="4" t="s">
        <v>9105</v>
      </c>
      <c r="K1232" s="4" t="s">
        <v>2592</v>
      </c>
    </row>
    <row r="1233" spans="1:11" ht="15.75" customHeight="1">
      <c r="A1233" s="4">
        <v>21348133</v>
      </c>
      <c r="B1233" s="4" t="s">
        <v>9110</v>
      </c>
      <c r="C1233" s="4" t="s">
        <v>9111</v>
      </c>
      <c r="D1233" s="4" t="s">
        <v>9112</v>
      </c>
      <c r="E1233" s="4" t="s">
        <v>175</v>
      </c>
      <c r="F1233" s="4" t="s">
        <v>9113</v>
      </c>
      <c r="G1233" s="4">
        <v>2007</v>
      </c>
      <c r="H1233" s="25">
        <v>39083</v>
      </c>
    </row>
    <row r="1234" spans="1:11" ht="15.75" customHeight="1">
      <c r="A1234" s="4">
        <v>16218029</v>
      </c>
      <c r="B1234" s="4" t="s">
        <v>9106</v>
      </c>
      <c r="C1234" s="4" t="s">
        <v>9107</v>
      </c>
      <c r="D1234" s="4" t="s">
        <v>9108</v>
      </c>
      <c r="E1234" s="4" t="s">
        <v>3693</v>
      </c>
      <c r="F1234" s="4" t="s">
        <v>9109</v>
      </c>
      <c r="G1234" s="4">
        <v>2005</v>
      </c>
      <c r="H1234" s="25">
        <v>38638</v>
      </c>
    </row>
    <row r="1235" spans="1:11" ht="15.75" customHeight="1">
      <c r="A1235" s="4">
        <v>9723401</v>
      </c>
      <c r="B1235" s="4" t="s">
        <v>9114</v>
      </c>
      <c r="C1235" s="4" t="s">
        <v>9115</v>
      </c>
      <c r="D1235" s="4" t="s">
        <v>9116</v>
      </c>
      <c r="E1235" s="4" t="s">
        <v>948</v>
      </c>
      <c r="F1235" s="4" t="s">
        <v>5696</v>
      </c>
      <c r="G1235" s="4">
        <v>1998</v>
      </c>
      <c r="H1235" s="25">
        <v>36040</v>
      </c>
      <c r="K1235" s="4" t="s">
        <v>949</v>
      </c>
    </row>
    <row r="1236" spans="1:11" ht="15.75" customHeight="1">
      <c r="A1236" s="4">
        <v>11867006</v>
      </c>
      <c r="B1236" s="4" t="s">
        <v>9117</v>
      </c>
      <c r="C1236" s="4" t="s">
        <v>5053</v>
      </c>
      <c r="D1236" s="4" t="s">
        <v>9118</v>
      </c>
      <c r="E1236" s="4" t="s">
        <v>4551</v>
      </c>
      <c r="F1236" s="4" t="s">
        <v>5449</v>
      </c>
      <c r="G1236" s="4">
        <v>2000</v>
      </c>
      <c r="H1236" s="25">
        <v>37315</v>
      </c>
    </row>
    <row r="1237" spans="1:11" ht="15.75" customHeight="1">
      <c r="A1237" s="4">
        <v>15504215</v>
      </c>
      <c r="B1237" s="4" t="s">
        <v>9119</v>
      </c>
      <c r="D1237" s="4" t="s">
        <v>9120</v>
      </c>
      <c r="F1237" s="4" t="s">
        <v>5726</v>
      </c>
      <c r="G1237" s="4">
        <v>2004</v>
      </c>
      <c r="H1237" s="25">
        <v>38287</v>
      </c>
      <c r="K1237" s="4" t="s">
        <v>1355</v>
      </c>
    </row>
    <row r="1238" spans="1:11" ht="15.75" customHeight="1">
      <c r="A1238" s="4">
        <v>12680203</v>
      </c>
      <c r="B1238" s="4" t="s">
        <v>9121</v>
      </c>
      <c r="C1238" s="4" t="s">
        <v>8850</v>
      </c>
      <c r="D1238" s="4" t="s">
        <v>9122</v>
      </c>
      <c r="E1238" s="4" t="s">
        <v>2800</v>
      </c>
      <c r="F1238" s="4" t="s">
        <v>7639</v>
      </c>
      <c r="G1238" s="4">
        <v>2003</v>
      </c>
      <c r="H1238" s="25">
        <v>37723</v>
      </c>
    </row>
    <row r="1239" spans="1:11" ht="15.75" customHeight="1">
      <c r="A1239" s="4">
        <v>10083199</v>
      </c>
      <c r="B1239" s="4" t="s">
        <v>9126</v>
      </c>
      <c r="C1239" s="4" t="s">
        <v>7260</v>
      </c>
      <c r="D1239" s="4" t="s">
        <v>9127</v>
      </c>
      <c r="E1239" s="4" t="s">
        <v>2875</v>
      </c>
      <c r="F1239" s="4" t="s">
        <v>5696</v>
      </c>
      <c r="G1239" s="4">
        <v>1999</v>
      </c>
      <c r="H1239" s="25">
        <v>36239</v>
      </c>
      <c r="K1239" s="4" t="s">
        <v>2889</v>
      </c>
    </row>
    <row r="1240" spans="1:11" ht="15.75" customHeight="1">
      <c r="A1240" s="4">
        <v>29163428</v>
      </c>
      <c r="B1240" s="4" t="s">
        <v>9128</v>
      </c>
      <c r="C1240" s="4" t="s">
        <v>9129</v>
      </c>
      <c r="D1240" s="4" t="s">
        <v>9130</v>
      </c>
      <c r="E1240" s="4" t="s">
        <v>3758</v>
      </c>
      <c r="F1240" s="4" t="s">
        <v>9131</v>
      </c>
      <c r="G1240" s="4">
        <v>2017</v>
      </c>
      <c r="H1240" s="25">
        <v>43062</v>
      </c>
      <c r="I1240" s="4" t="s">
        <v>9132</v>
      </c>
      <c r="K1240" s="4" t="s">
        <v>3767</v>
      </c>
    </row>
    <row r="1241" spans="1:11" ht="15.75" customHeight="1">
      <c r="A1241" s="4">
        <v>11866997</v>
      </c>
      <c r="B1241" s="4" t="s">
        <v>9140</v>
      </c>
      <c r="C1241" s="4" t="s">
        <v>9141</v>
      </c>
      <c r="D1241" s="4" t="s">
        <v>9142</v>
      </c>
      <c r="E1241" s="4" t="s">
        <v>2145</v>
      </c>
      <c r="F1241" s="4" t="s">
        <v>5449</v>
      </c>
      <c r="G1241" s="4">
        <v>2000</v>
      </c>
      <c r="H1241" s="25">
        <v>37315</v>
      </c>
    </row>
    <row r="1242" spans="1:11" ht="15.75" customHeight="1">
      <c r="A1242" s="4">
        <v>11173737</v>
      </c>
      <c r="B1242" s="4" t="s">
        <v>9133</v>
      </c>
      <c r="C1242" s="4" t="s">
        <v>9134</v>
      </c>
      <c r="D1242" s="4" t="s">
        <v>9135</v>
      </c>
      <c r="E1242" s="4" t="s">
        <v>2897</v>
      </c>
      <c r="F1242" s="4" t="s">
        <v>9136</v>
      </c>
      <c r="G1242" s="4">
        <v>2000</v>
      </c>
      <c r="H1242" s="25">
        <v>36937</v>
      </c>
    </row>
    <row r="1243" spans="1:11" ht="15.75" customHeight="1">
      <c r="A1243" s="4">
        <v>9404935</v>
      </c>
      <c r="B1243" s="4" t="s">
        <v>9137</v>
      </c>
      <c r="C1243" s="4" t="s">
        <v>9138</v>
      </c>
      <c r="D1243" s="4" t="s">
        <v>9139</v>
      </c>
      <c r="E1243" s="4" t="s">
        <v>3256</v>
      </c>
      <c r="F1243" s="4" t="s">
        <v>4863</v>
      </c>
      <c r="G1243" s="4">
        <v>1997</v>
      </c>
      <c r="H1243" s="25">
        <v>35788</v>
      </c>
      <c r="K1243" s="4" t="s">
        <v>3257</v>
      </c>
    </row>
    <row r="1244" spans="1:11" ht="15.75" customHeight="1">
      <c r="A1244" s="4">
        <v>21348064</v>
      </c>
      <c r="B1244" s="4" t="s">
        <v>9147</v>
      </c>
      <c r="C1244" s="4" t="s">
        <v>9148</v>
      </c>
      <c r="D1244" s="4" t="s">
        <v>9149</v>
      </c>
      <c r="E1244" s="4" t="s">
        <v>2758</v>
      </c>
      <c r="F1244" s="4" t="s">
        <v>9113</v>
      </c>
      <c r="G1244" s="4">
        <v>2007</v>
      </c>
      <c r="H1244" s="25">
        <v>39083</v>
      </c>
    </row>
    <row r="1245" spans="1:11" ht="15.75" customHeight="1">
      <c r="A1245" s="4">
        <v>8525373</v>
      </c>
      <c r="B1245" s="4" t="s">
        <v>9143</v>
      </c>
      <c r="C1245" s="4" t="s">
        <v>9144</v>
      </c>
      <c r="D1245" s="4" t="s">
        <v>9145</v>
      </c>
      <c r="E1245" s="4" t="s">
        <v>1684</v>
      </c>
      <c r="F1245" s="4" t="s">
        <v>9146</v>
      </c>
      <c r="G1245" s="4">
        <v>1995</v>
      </c>
      <c r="H1245" s="25">
        <v>35048</v>
      </c>
      <c r="K1245" s="4" t="s">
        <v>1685</v>
      </c>
    </row>
    <row r="1246" spans="1:11" ht="15.75" customHeight="1">
      <c r="A1246" s="4">
        <v>7601254</v>
      </c>
      <c r="B1246" s="4" t="s">
        <v>9150</v>
      </c>
      <c r="C1246" s="4" t="s">
        <v>9151</v>
      </c>
      <c r="D1246" s="4" t="s">
        <v>9152</v>
      </c>
      <c r="E1246" s="4" t="s">
        <v>3802</v>
      </c>
      <c r="F1246" s="4" t="s">
        <v>6982</v>
      </c>
      <c r="G1246" s="4">
        <v>1995</v>
      </c>
      <c r="H1246" s="25">
        <v>34881</v>
      </c>
    </row>
    <row r="1247" spans="1:11" ht="15.75" customHeight="1">
      <c r="A1247" s="4">
        <v>8962253</v>
      </c>
      <c r="B1247" s="4" t="s">
        <v>9153</v>
      </c>
      <c r="C1247" s="4" t="s">
        <v>9154</v>
      </c>
      <c r="D1247" s="4" t="s">
        <v>9155</v>
      </c>
      <c r="E1247" s="4" t="s">
        <v>669</v>
      </c>
      <c r="F1247" s="4" t="s">
        <v>5696</v>
      </c>
      <c r="G1247" s="4">
        <v>1996</v>
      </c>
      <c r="H1247" s="25">
        <v>35400</v>
      </c>
    </row>
    <row r="1248" spans="1:11" ht="15.75" customHeight="1">
      <c r="A1248" s="4">
        <v>34900488</v>
      </c>
      <c r="B1248" s="4" t="s">
        <v>9162</v>
      </c>
      <c r="C1248" s="4" t="s">
        <v>9163</v>
      </c>
      <c r="D1248" s="4" t="s">
        <v>9164</v>
      </c>
      <c r="E1248" s="4" t="s">
        <v>1265</v>
      </c>
      <c r="F1248" s="4" t="s">
        <v>9165</v>
      </c>
      <c r="G1248" s="4">
        <v>2021</v>
      </c>
      <c r="H1248" s="25">
        <v>44543</v>
      </c>
      <c r="I1248" s="4" t="s">
        <v>9166</v>
      </c>
      <c r="K1248" s="4" t="s">
        <v>1266</v>
      </c>
    </row>
    <row r="1249" spans="1:11" ht="15.75" customHeight="1">
      <c r="A1249" s="4">
        <v>16918534</v>
      </c>
      <c r="B1249" s="4" t="s">
        <v>9156</v>
      </c>
      <c r="C1249" s="4" t="s">
        <v>9157</v>
      </c>
      <c r="D1249" s="4" t="s">
        <v>9158</v>
      </c>
      <c r="E1249" s="4" t="s">
        <v>2923</v>
      </c>
      <c r="F1249" s="4" t="s">
        <v>4900</v>
      </c>
      <c r="G1249" s="4">
        <v>2006</v>
      </c>
      <c r="H1249" s="25">
        <v>38951</v>
      </c>
      <c r="K1249" s="4" t="s">
        <v>2924</v>
      </c>
    </row>
    <row r="1250" spans="1:11" ht="15.75" customHeight="1">
      <c r="A1250" s="4">
        <v>29667291</v>
      </c>
      <c r="B1250" s="4" t="s">
        <v>9159</v>
      </c>
      <c r="C1250" s="4" t="s">
        <v>9160</v>
      </c>
      <c r="D1250" s="4" t="s">
        <v>9161</v>
      </c>
      <c r="E1250" s="4" t="s">
        <v>1725</v>
      </c>
      <c r="F1250" s="4" t="s">
        <v>8641</v>
      </c>
      <c r="G1250" s="4">
        <v>2018</v>
      </c>
      <c r="H1250" s="25">
        <v>43209</v>
      </c>
      <c r="K1250" s="4" t="s">
        <v>1726</v>
      </c>
    </row>
    <row r="1251" spans="1:11" ht="15.75" customHeight="1">
      <c r="A1251" s="4">
        <v>16213350</v>
      </c>
      <c r="B1251" s="4" t="s">
        <v>9167</v>
      </c>
      <c r="C1251" s="4" t="s">
        <v>9168</v>
      </c>
      <c r="D1251" s="4" t="s">
        <v>9169</v>
      </c>
      <c r="E1251" s="4" t="s">
        <v>479</v>
      </c>
      <c r="F1251" s="4" t="s">
        <v>5696</v>
      </c>
      <c r="G1251" s="4">
        <v>2005</v>
      </c>
      <c r="H1251" s="25">
        <v>38636</v>
      </c>
      <c r="K1251" s="4" t="s">
        <v>482</v>
      </c>
    </row>
    <row r="1252" spans="1:11" ht="15.75" customHeight="1">
      <c r="A1252" s="4">
        <v>21331905</v>
      </c>
      <c r="B1252" s="4" t="s">
        <v>9181</v>
      </c>
      <c r="C1252" s="4" t="s">
        <v>9182</v>
      </c>
      <c r="D1252" s="4" t="s">
        <v>9183</v>
      </c>
      <c r="E1252" s="4" t="s">
        <v>1341</v>
      </c>
      <c r="F1252" s="4" t="s">
        <v>9184</v>
      </c>
      <c r="G1252" s="4">
        <v>2000</v>
      </c>
      <c r="H1252" s="25">
        <v>40593</v>
      </c>
      <c r="K1252" s="4" t="s">
        <v>1346</v>
      </c>
    </row>
    <row r="1253" spans="1:11" ht="15.75" customHeight="1">
      <c r="A1253" s="4">
        <v>21302114</v>
      </c>
      <c r="B1253" s="4" t="s">
        <v>9170</v>
      </c>
      <c r="C1253" s="4" t="s">
        <v>9171</v>
      </c>
      <c r="D1253" s="4" t="s">
        <v>9172</v>
      </c>
      <c r="E1253" s="4" t="s">
        <v>3344</v>
      </c>
      <c r="F1253" s="4" t="s">
        <v>5319</v>
      </c>
      <c r="G1253" s="4">
        <v>2011</v>
      </c>
      <c r="H1253" s="25">
        <v>40583</v>
      </c>
      <c r="K1253" s="4" t="s">
        <v>3345</v>
      </c>
    </row>
    <row r="1254" spans="1:11" ht="15.75" customHeight="1">
      <c r="A1254" s="4">
        <v>11406259</v>
      </c>
      <c r="B1254" s="4" t="s">
        <v>9173</v>
      </c>
      <c r="C1254" s="4" t="s">
        <v>9174</v>
      </c>
      <c r="D1254" s="4" t="s">
        <v>9175</v>
      </c>
      <c r="E1254" s="4" t="s">
        <v>3807</v>
      </c>
      <c r="F1254" s="4" t="s">
        <v>5696</v>
      </c>
      <c r="G1254" s="4">
        <v>2001</v>
      </c>
      <c r="H1254" s="25">
        <v>37061</v>
      </c>
      <c r="K1254" s="4" t="s">
        <v>3808</v>
      </c>
    </row>
    <row r="1255" spans="1:11" ht="15.75" customHeight="1">
      <c r="A1255" s="4">
        <v>12100127</v>
      </c>
      <c r="B1255" s="4" t="s">
        <v>9176</v>
      </c>
      <c r="C1255" s="4" t="s">
        <v>7324</v>
      </c>
      <c r="D1255" s="4" t="s">
        <v>9177</v>
      </c>
      <c r="E1255" s="4" t="s">
        <v>249</v>
      </c>
      <c r="F1255" s="4" t="s">
        <v>5211</v>
      </c>
      <c r="G1255" s="4">
        <v>2002</v>
      </c>
      <c r="H1255" s="25">
        <v>37446</v>
      </c>
      <c r="K1255" s="4" t="s">
        <v>2994</v>
      </c>
    </row>
    <row r="1256" spans="1:11" ht="15.75" customHeight="1">
      <c r="A1256" s="4">
        <v>19509026</v>
      </c>
      <c r="B1256" s="4" t="s">
        <v>9178</v>
      </c>
      <c r="C1256" s="4" t="s">
        <v>9179</v>
      </c>
      <c r="D1256" s="4" t="s">
        <v>9180</v>
      </c>
      <c r="E1256" s="4" t="s">
        <v>1233</v>
      </c>
      <c r="F1256" s="4" t="s">
        <v>6530</v>
      </c>
      <c r="G1256" s="4">
        <v>2009</v>
      </c>
      <c r="H1256" s="25">
        <v>39975</v>
      </c>
      <c r="K1256" s="4" t="s">
        <v>1234</v>
      </c>
    </row>
    <row r="1257" spans="1:11" ht="15.75" customHeight="1">
      <c r="A1257" s="4">
        <v>27263776</v>
      </c>
      <c r="B1257" s="4" t="s">
        <v>9185</v>
      </c>
      <c r="C1257" s="4" t="s">
        <v>9186</v>
      </c>
      <c r="D1257" s="4" t="s">
        <v>9187</v>
      </c>
      <c r="E1257" s="4" t="s">
        <v>4321</v>
      </c>
      <c r="F1257" s="4" t="s">
        <v>5047</v>
      </c>
      <c r="G1257" s="4">
        <v>2016</v>
      </c>
      <c r="H1257" s="25">
        <v>42528</v>
      </c>
      <c r="K1257" s="4" t="s">
        <v>4322</v>
      </c>
    </row>
    <row r="1258" spans="1:11" ht="15.75" customHeight="1">
      <c r="A1258" s="4">
        <v>37346032</v>
      </c>
      <c r="B1258" s="4" t="s">
        <v>9188</v>
      </c>
      <c r="C1258" s="4" t="s">
        <v>9189</v>
      </c>
      <c r="D1258" s="4" t="s">
        <v>9190</v>
      </c>
      <c r="E1258" s="4" t="s">
        <v>1734</v>
      </c>
      <c r="F1258" s="4" t="s">
        <v>9191</v>
      </c>
      <c r="G1258" s="4">
        <v>2023</v>
      </c>
      <c r="H1258" s="25">
        <v>45099</v>
      </c>
      <c r="I1258" s="4" t="s">
        <v>9192</v>
      </c>
      <c r="K1258" s="4" t="s">
        <v>1735</v>
      </c>
    </row>
    <row r="1259" spans="1:11" ht="15.75" customHeight="1">
      <c r="A1259" s="4">
        <v>27522040</v>
      </c>
      <c r="B1259" s="4" t="s">
        <v>9123</v>
      </c>
      <c r="C1259" s="4" t="s">
        <v>9124</v>
      </c>
      <c r="D1259" s="4" t="s">
        <v>9125</v>
      </c>
      <c r="E1259" s="4" t="s">
        <v>472</v>
      </c>
      <c r="F1259" s="4" t="s">
        <v>5076</v>
      </c>
      <c r="G1259" s="4">
        <v>2016</v>
      </c>
      <c r="H1259" s="25">
        <v>42596</v>
      </c>
      <c r="K1259" s="4" t="s">
        <v>473</v>
      </c>
    </row>
    <row r="1260" spans="1:11" ht="15.75" customHeight="1">
      <c r="A1260" s="4">
        <v>29988505</v>
      </c>
      <c r="B1260" s="4" t="s">
        <v>9193</v>
      </c>
      <c r="C1260" s="4" t="s">
        <v>9194</v>
      </c>
      <c r="D1260" s="4" t="s">
        <v>9195</v>
      </c>
      <c r="E1260" s="4" t="s">
        <v>616</v>
      </c>
      <c r="F1260" s="4" t="s">
        <v>4912</v>
      </c>
      <c r="G1260" s="4">
        <v>2018</v>
      </c>
      <c r="H1260" s="25">
        <v>43292</v>
      </c>
      <c r="I1260" s="4" t="s">
        <v>9196</v>
      </c>
      <c r="K1260" s="4" t="s">
        <v>2292</v>
      </c>
    </row>
    <row r="1261" spans="1:11" ht="15.75" customHeight="1">
      <c r="A1261" s="4">
        <v>2406371</v>
      </c>
      <c r="B1261" s="4" t="s">
        <v>9197</v>
      </c>
      <c r="C1261" s="4" t="s">
        <v>9198</v>
      </c>
      <c r="D1261" s="4" t="s">
        <v>9199</v>
      </c>
      <c r="E1261" s="4" t="s">
        <v>4115</v>
      </c>
      <c r="F1261" s="4" t="s">
        <v>4923</v>
      </c>
      <c r="G1261" s="4">
        <v>1990</v>
      </c>
      <c r="H1261" s="25">
        <v>32874</v>
      </c>
      <c r="K1261" s="4" t="s">
        <v>4121</v>
      </c>
    </row>
    <row r="1262" spans="1:11" ht="15.75" customHeight="1">
      <c r="A1262" s="4">
        <v>11750365</v>
      </c>
      <c r="B1262" s="4" t="s">
        <v>9200</v>
      </c>
      <c r="C1262" s="4" t="s">
        <v>9201</v>
      </c>
      <c r="D1262" s="4" t="s">
        <v>9202</v>
      </c>
      <c r="E1262" s="4" t="s">
        <v>1086</v>
      </c>
      <c r="F1262" s="4" t="s">
        <v>5696</v>
      </c>
      <c r="G1262" s="4">
        <v>2001</v>
      </c>
      <c r="H1262" s="25">
        <v>37251</v>
      </c>
      <c r="K1262" s="4" t="s">
        <v>1089</v>
      </c>
    </row>
    <row r="1263" spans="1:11" ht="15.75" customHeight="1">
      <c r="A1263" s="4">
        <v>2562985</v>
      </c>
      <c r="B1263" s="4" t="s">
        <v>9207</v>
      </c>
      <c r="C1263" s="4" t="s">
        <v>9208</v>
      </c>
      <c r="D1263" s="4" t="s">
        <v>9209</v>
      </c>
      <c r="E1263" s="4" t="s">
        <v>3297</v>
      </c>
      <c r="F1263" s="4" t="s">
        <v>5170</v>
      </c>
      <c r="G1263" s="4">
        <v>1989</v>
      </c>
      <c r="H1263" s="25">
        <v>32540</v>
      </c>
      <c r="I1263" s="4" t="s">
        <v>9210</v>
      </c>
      <c r="K1263" s="4" t="s">
        <v>3298</v>
      </c>
    </row>
    <row r="1264" spans="1:11" ht="15.75" customHeight="1">
      <c r="A1264" s="4">
        <v>31801268</v>
      </c>
      <c r="B1264" s="4" t="s">
        <v>9203</v>
      </c>
      <c r="C1264" s="4" t="s">
        <v>9204</v>
      </c>
      <c r="D1264" s="4" t="s">
        <v>9205</v>
      </c>
      <c r="E1264" s="4" t="s">
        <v>1849</v>
      </c>
      <c r="F1264" s="4" t="s">
        <v>4842</v>
      </c>
      <c r="G1264" s="4">
        <v>2019</v>
      </c>
      <c r="H1264" s="25">
        <v>43805</v>
      </c>
      <c r="I1264" s="4" t="s">
        <v>9206</v>
      </c>
      <c r="K1264" s="4" t="s">
        <v>1850</v>
      </c>
    </row>
    <row r="1265" spans="1:11" ht="15.75" customHeight="1">
      <c r="A1265" s="4">
        <v>2759346</v>
      </c>
      <c r="B1265" s="4" t="s">
        <v>9211</v>
      </c>
      <c r="C1265" s="4" t="s">
        <v>9212</v>
      </c>
      <c r="D1265" s="4" t="s">
        <v>9213</v>
      </c>
      <c r="E1265" s="4" t="s">
        <v>1063</v>
      </c>
      <c r="F1265" s="4" t="s">
        <v>5415</v>
      </c>
      <c r="G1265" s="4">
        <v>1989</v>
      </c>
      <c r="H1265" s="25">
        <v>32509</v>
      </c>
    </row>
    <row r="1266" spans="1:11" ht="15.75" customHeight="1">
      <c r="A1266" s="4">
        <v>3259614</v>
      </c>
      <c r="B1266" s="4" t="s">
        <v>9214</v>
      </c>
      <c r="C1266" s="4" t="s">
        <v>9215</v>
      </c>
      <c r="D1266" s="4" t="s">
        <v>9216</v>
      </c>
      <c r="E1266" s="4" t="s">
        <v>3008</v>
      </c>
      <c r="F1266" s="4" t="s">
        <v>4992</v>
      </c>
      <c r="G1266" s="4">
        <v>1988</v>
      </c>
      <c r="H1266" s="25">
        <v>32295</v>
      </c>
      <c r="K1266" s="4" t="s">
        <v>3009</v>
      </c>
    </row>
    <row r="1267" spans="1:11" ht="15.75" customHeight="1">
      <c r="A1267" s="4">
        <v>31878218</v>
      </c>
      <c r="B1267" s="4" t="s">
        <v>9228</v>
      </c>
      <c r="C1267" s="4" t="s">
        <v>9229</v>
      </c>
      <c r="D1267" s="4" t="s">
        <v>9230</v>
      </c>
      <c r="E1267" s="4" t="s">
        <v>1533</v>
      </c>
      <c r="F1267" s="4" t="s">
        <v>9231</v>
      </c>
      <c r="G1267" s="4">
        <v>2019</v>
      </c>
      <c r="H1267" s="25">
        <v>43827</v>
      </c>
      <c r="I1267" s="4" t="s">
        <v>9232</v>
      </c>
      <c r="K1267" s="4" t="s">
        <v>1539</v>
      </c>
    </row>
    <row r="1268" spans="1:11" ht="15.75" customHeight="1">
      <c r="A1268" s="4">
        <v>12393439</v>
      </c>
      <c r="B1268" s="4" t="s">
        <v>9220</v>
      </c>
      <c r="C1268" s="4" t="s">
        <v>9221</v>
      </c>
      <c r="D1268" s="4" t="s">
        <v>9222</v>
      </c>
      <c r="E1268" s="4" t="s">
        <v>701</v>
      </c>
      <c r="F1268" s="4" t="s">
        <v>5343</v>
      </c>
      <c r="G1268" s="4">
        <v>2003</v>
      </c>
      <c r="H1268" s="25">
        <v>37553</v>
      </c>
      <c r="K1268" s="4" t="s">
        <v>702</v>
      </c>
    </row>
    <row r="1269" spans="1:11" ht="15.75" customHeight="1">
      <c r="A1269" s="4">
        <v>25650037</v>
      </c>
      <c r="B1269" s="4" t="s">
        <v>9223</v>
      </c>
      <c r="C1269" s="4" t="s">
        <v>9224</v>
      </c>
      <c r="D1269" s="4" t="s">
        <v>9225</v>
      </c>
      <c r="E1269" s="4" t="s">
        <v>2510</v>
      </c>
      <c r="F1269" s="4" t="s">
        <v>9226</v>
      </c>
      <c r="G1269" s="4">
        <v>2015</v>
      </c>
      <c r="H1269" s="25">
        <v>42040</v>
      </c>
      <c r="I1269" s="4" t="s">
        <v>9227</v>
      </c>
      <c r="K1269" s="4" t="s">
        <v>2511</v>
      </c>
    </row>
    <row r="1270" spans="1:11" ht="15.75" customHeight="1">
      <c r="A1270" s="4">
        <v>30062730</v>
      </c>
      <c r="B1270" s="4" t="s">
        <v>9233</v>
      </c>
      <c r="C1270" s="4" t="s">
        <v>9234</v>
      </c>
      <c r="D1270" s="4" t="s">
        <v>9235</v>
      </c>
      <c r="E1270" s="4" t="s">
        <v>3888</v>
      </c>
      <c r="F1270" s="4" t="s">
        <v>9236</v>
      </c>
      <c r="G1270" s="4">
        <v>2018</v>
      </c>
      <c r="H1270" s="25">
        <v>43313</v>
      </c>
      <c r="K1270" s="4" t="s">
        <v>3889</v>
      </c>
    </row>
    <row r="1271" spans="1:11" ht="15.75" customHeight="1">
      <c r="A1271" s="4">
        <v>23146098</v>
      </c>
      <c r="B1271" s="4" t="s">
        <v>9237</v>
      </c>
      <c r="C1271" s="4" t="s">
        <v>9238</v>
      </c>
      <c r="D1271" s="4" t="s">
        <v>9239</v>
      </c>
      <c r="E1271" s="4" t="s">
        <v>2007</v>
      </c>
      <c r="F1271" s="4" t="s">
        <v>9240</v>
      </c>
      <c r="G1271" s="4">
        <v>2012</v>
      </c>
      <c r="H1271" s="25">
        <v>41227</v>
      </c>
      <c r="I1271" s="4" t="s">
        <v>9241</v>
      </c>
      <c r="K1271" s="4" t="s">
        <v>2008</v>
      </c>
    </row>
    <row r="1272" spans="1:11" ht="15.75" customHeight="1">
      <c r="A1272" s="4">
        <v>3053468</v>
      </c>
      <c r="B1272" s="4" t="s">
        <v>9211</v>
      </c>
      <c r="C1272" s="4" t="s">
        <v>9212</v>
      </c>
      <c r="D1272" s="4" t="s">
        <v>9242</v>
      </c>
      <c r="E1272" s="4" t="s">
        <v>1063</v>
      </c>
      <c r="F1272" s="4" t="s">
        <v>8870</v>
      </c>
      <c r="G1272" s="4">
        <v>1988</v>
      </c>
      <c r="H1272" s="25">
        <v>32462</v>
      </c>
      <c r="K1272" s="4" t="s">
        <v>1075</v>
      </c>
    </row>
    <row r="1273" spans="1:11" ht="15.75" customHeight="1">
      <c r="A1273" s="4">
        <v>33308840</v>
      </c>
      <c r="B1273" s="4" t="s">
        <v>10983</v>
      </c>
      <c r="C1273" s="4" t="s">
        <v>9254</v>
      </c>
      <c r="D1273" s="4" t="s">
        <v>9255</v>
      </c>
      <c r="E1273" s="4" t="s">
        <v>226</v>
      </c>
      <c r="F1273" s="4" t="s">
        <v>5696</v>
      </c>
      <c r="G1273" s="4">
        <v>2021</v>
      </c>
      <c r="H1273" s="25">
        <v>44179</v>
      </c>
      <c r="K1273" s="4" t="s">
        <v>358</v>
      </c>
    </row>
    <row r="1274" spans="1:11" ht="15.75" customHeight="1">
      <c r="A1274" s="4">
        <v>2550877</v>
      </c>
      <c r="B1274" s="4" t="s">
        <v>9265</v>
      </c>
      <c r="C1274" s="4" t="s">
        <v>9266</v>
      </c>
      <c r="D1274" s="4" t="s">
        <v>9267</v>
      </c>
      <c r="E1274" s="4" t="s">
        <v>195</v>
      </c>
      <c r="F1274" s="4" t="s">
        <v>5663</v>
      </c>
      <c r="G1274" s="4">
        <v>1989</v>
      </c>
      <c r="H1274" s="25">
        <v>32782</v>
      </c>
    </row>
    <row r="1275" spans="1:11" ht="15.75" customHeight="1">
      <c r="A1275" s="4">
        <v>24964991</v>
      </c>
      <c r="B1275" s="4" t="s">
        <v>9248</v>
      </c>
      <c r="C1275" s="4" t="s">
        <v>9249</v>
      </c>
      <c r="D1275" s="4" t="s">
        <v>9250</v>
      </c>
      <c r="E1275" s="4" t="s">
        <v>808</v>
      </c>
      <c r="F1275" s="4" t="s">
        <v>7813</v>
      </c>
      <c r="G1275" s="4">
        <v>2014</v>
      </c>
      <c r="H1275" s="25">
        <v>41817</v>
      </c>
      <c r="I1275" s="4" t="s">
        <v>9251</v>
      </c>
      <c r="J1275" s="4" t="s">
        <v>9252</v>
      </c>
      <c r="K1275" s="4" t="s">
        <v>809</v>
      </c>
    </row>
    <row r="1276" spans="1:11" ht="15.75" customHeight="1">
      <c r="A1276" s="4">
        <v>34587860</v>
      </c>
      <c r="B1276" s="4" t="s">
        <v>9256</v>
      </c>
      <c r="C1276" s="4" t="s">
        <v>9257</v>
      </c>
      <c r="D1276" s="4" t="s">
        <v>9258</v>
      </c>
      <c r="E1276" s="4" t="s">
        <v>4058</v>
      </c>
      <c r="F1276" s="4" t="s">
        <v>9259</v>
      </c>
      <c r="G1276" s="4">
        <v>2022</v>
      </c>
      <c r="H1276" s="25">
        <v>44469</v>
      </c>
      <c r="I1276" s="4" t="s">
        <v>9260</v>
      </c>
      <c r="J1276" s="4" t="s">
        <v>9261</v>
      </c>
      <c r="K1276" s="4" t="s">
        <v>4059</v>
      </c>
    </row>
    <row r="1277" spans="1:11" ht="15.75" customHeight="1">
      <c r="A1277" s="4">
        <v>2542623</v>
      </c>
      <c r="B1277" s="4" t="s">
        <v>9271</v>
      </c>
      <c r="C1277" s="4" t="s">
        <v>9272</v>
      </c>
      <c r="D1277" s="4" t="s">
        <v>9273</v>
      </c>
      <c r="E1277" s="4" t="s">
        <v>4159</v>
      </c>
      <c r="F1277" s="4" t="s">
        <v>4891</v>
      </c>
      <c r="G1277" s="4">
        <v>1989</v>
      </c>
      <c r="H1277" s="25">
        <v>32690</v>
      </c>
      <c r="I1277" s="4" t="s">
        <v>9274</v>
      </c>
      <c r="K1277" s="4" t="s">
        <v>4162</v>
      </c>
    </row>
    <row r="1278" spans="1:11" ht="15.75" customHeight="1">
      <c r="A1278" s="4">
        <v>31649826</v>
      </c>
      <c r="B1278" s="4" t="s">
        <v>9279</v>
      </c>
      <c r="C1278" s="4" t="s">
        <v>9280</v>
      </c>
      <c r="D1278" s="4" t="s">
        <v>9281</v>
      </c>
      <c r="E1278" s="4" t="s">
        <v>2075</v>
      </c>
      <c r="F1278" s="4" t="s">
        <v>9282</v>
      </c>
      <c r="G1278" s="4">
        <v>2019</v>
      </c>
      <c r="H1278" s="25">
        <v>43764</v>
      </c>
      <c r="I1278" s="4" t="s">
        <v>9283</v>
      </c>
      <c r="K1278" s="4" t="s">
        <v>2076</v>
      </c>
    </row>
    <row r="1279" spans="1:11" ht="15.75" customHeight="1">
      <c r="A1279" s="4">
        <v>2153237</v>
      </c>
      <c r="B1279" s="4" t="s">
        <v>9275</v>
      </c>
      <c r="C1279" s="4" t="s">
        <v>9276</v>
      </c>
      <c r="D1279" s="4" t="s">
        <v>9277</v>
      </c>
      <c r="E1279" s="4" t="s">
        <v>2972</v>
      </c>
      <c r="F1279" s="4" t="s">
        <v>4891</v>
      </c>
      <c r="G1279" s="4">
        <v>1990</v>
      </c>
      <c r="H1279" s="25">
        <v>32905</v>
      </c>
      <c r="I1279" s="4" t="s">
        <v>9278</v>
      </c>
      <c r="K1279" s="4" t="s">
        <v>2973</v>
      </c>
    </row>
    <row r="1280" spans="1:11" ht="15.75" customHeight="1">
      <c r="A1280" s="4">
        <v>2693479</v>
      </c>
      <c r="B1280" s="4" t="s">
        <v>9284</v>
      </c>
      <c r="C1280" s="4" t="s">
        <v>9285</v>
      </c>
      <c r="D1280" s="4" t="s">
        <v>9286</v>
      </c>
      <c r="E1280" s="4" t="s">
        <v>1341</v>
      </c>
      <c r="F1280" s="4" t="s">
        <v>5267</v>
      </c>
      <c r="G1280" s="4">
        <v>1989</v>
      </c>
      <c r="H1280" s="25">
        <v>32813</v>
      </c>
      <c r="K1280" s="4" t="s">
        <v>1348</v>
      </c>
    </row>
    <row r="1281" spans="1:11" ht="15.75" customHeight="1">
      <c r="A1281" s="4">
        <v>28939451</v>
      </c>
      <c r="B1281" s="4" t="s">
        <v>9268</v>
      </c>
      <c r="C1281" s="4" t="s">
        <v>9269</v>
      </c>
      <c r="D1281" s="4" t="s">
        <v>9270</v>
      </c>
      <c r="E1281" s="4" t="s">
        <v>267</v>
      </c>
      <c r="F1281" s="4" t="s">
        <v>5076</v>
      </c>
      <c r="G1281" s="4">
        <v>2018</v>
      </c>
      <c r="H1281" s="25">
        <v>43002</v>
      </c>
      <c r="K1281" s="4" t="s">
        <v>3538</v>
      </c>
    </row>
    <row r="1282" spans="1:11" ht="15.75" customHeight="1">
      <c r="A1282" s="4">
        <v>12123421</v>
      </c>
      <c r="B1282" s="4" t="s">
        <v>9295</v>
      </c>
      <c r="C1282" s="4" t="s">
        <v>9296</v>
      </c>
      <c r="D1282" s="4" t="s">
        <v>9297</v>
      </c>
      <c r="E1282" s="4" t="s">
        <v>168</v>
      </c>
      <c r="F1282" s="4" t="s">
        <v>4974</v>
      </c>
      <c r="G1282" s="4">
        <v>2002</v>
      </c>
      <c r="H1282" s="25">
        <v>37456</v>
      </c>
      <c r="K1282" s="4" t="s">
        <v>408</v>
      </c>
    </row>
    <row r="1283" spans="1:11" ht="15.75" customHeight="1">
      <c r="A1283" s="4">
        <v>3259254</v>
      </c>
      <c r="B1283" s="4" t="s">
        <v>9287</v>
      </c>
      <c r="C1283" s="4" t="s">
        <v>9288</v>
      </c>
      <c r="D1283" s="4" t="s">
        <v>9289</v>
      </c>
      <c r="E1283" s="4" t="s">
        <v>3041</v>
      </c>
      <c r="F1283" s="4" t="s">
        <v>5170</v>
      </c>
      <c r="G1283" s="4">
        <v>1988</v>
      </c>
      <c r="H1283" s="25">
        <v>32264</v>
      </c>
      <c r="I1283" s="4" t="s">
        <v>9290</v>
      </c>
      <c r="K1283" s="4" t="s">
        <v>3059</v>
      </c>
    </row>
    <row r="1284" spans="1:11" ht="15.75" customHeight="1">
      <c r="A1284" s="4">
        <v>32140147</v>
      </c>
      <c r="B1284" s="4" t="s">
        <v>9309</v>
      </c>
      <c r="C1284" s="4" t="s">
        <v>9310</v>
      </c>
      <c r="D1284" s="4" t="s">
        <v>9311</v>
      </c>
      <c r="E1284" s="4" t="s">
        <v>1386</v>
      </c>
      <c r="F1284" s="4" t="s">
        <v>9131</v>
      </c>
      <c r="G1284" s="4">
        <v>2020</v>
      </c>
      <c r="H1284" s="25">
        <v>43897</v>
      </c>
      <c r="I1284" s="4" t="s">
        <v>9312</v>
      </c>
      <c r="K1284" s="4" t="s">
        <v>1389</v>
      </c>
    </row>
    <row r="1285" spans="1:11" ht="15.75" customHeight="1">
      <c r="A1285" s="4">
        <v>33504606</v>
      </c>
      <c r="B1285" s="4" t="s">
        <v>9305</v>
      </c>
      <c r="C1285" s="4" t="s">
        <v>9306</v>
      </c>
      <c r="D1285" s="4" t="s">
        <v>9307</v>
      </c>
      <c r="E1285" s="4" t="s">
        <v>3902</v>
      </c>
      <c r="F1285" s="4" t="s">
        <v>4891</v>
      </c>
      <c r="G1285" s="4">
        <v>2021</v>
      </c>
      <c r="H1285" s="25">
        <v>44224</v>
      </c>
      <c r="I1285" s="4" t="s">
        <v>9308</v>
      </c>
      <c r="K1285" s="4" t="s">
        <v>3903</v>
      </c>
    </row>
    <row r="1286" spans="1:11" ht="15.75" customHeight="1">
      <c r="A1286" s="4">
        <v>34347179</v>
      </c>
      <c r="B1286" s="4" t="s">
        <v>9291</v>
      </c>
      <c r="C1286" s="4" t="s">
        <v>9292</v>
      </c>
      <c r="D1286" s="4" t="s">
        <v>9293</v>
      </c>
      <c r="E1286" s="4" t="s">
        <v>754</v>
      </c>
      <c r="F1286" s="4" t="s">
        <v>9294</v>
      </c>
      <c r="G1286" s="4">
        <v>2022</v>
      </c>
      <c r="H1286" s="25">
        <v>44412</v>
      </c>
      <c r="K1286" s="4" t="s">
        <v>755</v>
      </c>
    </row>
    <row r="1287" spans="1:11" ht="15.75" customHeight="1">
      <c r="A1287" s="4">
        <v>31334297</v>
      </c>
      <c r="B1287" s="4" t="s">
        <v>9243</v>
      </c>
      <c r="C1287" s="4" t="s">
        <v>9244</v>
      </c>
      <c r="D1287" s="4" t="s">
        <v>9245</v>
      </c>
      <c r="E1287" s="4" t="s">
        <v>575</v>
      </c>
      <c r="F1287" s="4" t="s">
        <v>9246</v>
      </c>
      <c r="G1287" s="4">
        <v>2019</v>
      </c>
      <c r="H1287" s="25">
        <v>43670</v>
      </c>
      <c r="I1287" s="4" t="s">
        <v>9247</v>
      </c>
      <c r="K1287" s="4" t="s">
        <v>576</v>
      </c>
    </row>
    <row r="1288" spans="1:11" ht="15.75" customHeight="1">
      <c r="A1288" s="4">
        <v>1351995</v>
      </c>
      <c r="B1288" s="4" t="s">
        <v>9302</v>
      </c>
      <c r="C1288" s="4" t="s">
        <v>9303</v>
      </c>
      <c r="D1288" s="4" t="s">
        <v>9304</v>
      </c>
      <c r="E1288" s="4" t="s">
        <v>1926</v>
      </c>
      <c r="F1288" s="4" t="s">
        <v>6147</v>
      </c>
      <c r="G1288" s="4">
        <v>1992</v>
      </c>
      <c r="H1288" s="25">
        <v>33806</v>
      </c>
    </row>
    <row r="1289" spans="1:11" ht="15.75" customHeight="1">
      <c r="A1289" s="4">
        <v>24163703</v>
      </c>
      <c r="B1289" s="4" t="s">
        <v>9326</v>
      </c>
      <c r="C1289" s="4" t="s">
        <v>9327</v>
      </c>
      <c r="D1289" s="4" t="s">
        <v>9328</v>
      </c>
      <c r="E1289" s="4" t="s">
        <v>1758</v>
      </c>
      <c r="F1289" s="4" t="s">
        <v>9329</v>
      </c>
      <c r="G1289" s="4">
        <v>2013</v>
      </c>
      <c r="H1289" s="25">
        <v>41576</v>
      </c>
      <c r="I1289" s="4" t="s">
        <v>9330</v>
      </c>
      <c r="J1289" s="4" t="s">
        <v>9331</v>
      </c>
      <c r="K1289" s="4" t="s">
        <v>1759</v>
      </c>
    </row>
    <row r="1290" spans="1:11" ht="15.75" customHeight="1">
      <c r="A1290" s="4">
        <v>31890456</v>
      </c>
      <c r="B1290" s="4" t="s">
        <v>9313</v>
      </c>
      <c r="C1290" s="4" t="s">
        <v>9314</v>
      </c>
      <c r="D1290" s="4" t="s">
        <v>9315</v>
      </c>
      <c r="E1290" s="4" t="s">
        <v>3526</v>
      </c>
      <c r="F1290" s="4" t="s">
        <v>9316</v>
      </c>
      <c r="G1290" s="4">
        <v>2019</v>
      </c>
      <c r="H1290" s="25">
        <v>43831</v>
      </c>
      <c r="I1290" s="4" t="s">
        <v>9317</v>
      </c>
      <c r="K1290" s="4" t="s">
        <v>3527</v>
      </c>
    </row>
    <row r="1291" spans="1:11" ht="15.75" customHeight="1">
      <c r="A1291" s="4">
        <v>2555389</v>
      </c>
      <c r="B1291" s="4" t="s">
        <v>9298</v>
      </c>
      <c r="C1291" s="4" t="s">
        <v>9299</v>
      </c>
      <c r="D1291" s="4" t="s">
        <v>9300</v>
      </c>
      <c r="E1291" s="4" t="s">
        <v>1213</v>
      </c>
      <c r="F1291" s="4" t="s">
        <v>5331</v>
      </c>
      <c r="G1291" s="4">
        <v>1989</v>
      </c>
      <c r="H1291" s="25">
        <v>32782</v>
      </c>
      <c r="I1291" s="4" t="s">
        <v>9301</v>
      </c>
      <c r="K1291" s="4" t="s">
        <v>1214</v>
      </c>
    </row>
    <row r="1292" spans="1:11" ht="15.75" customHeight="1">
      <c r="A1292" s="4">
        <v>36004309</v>
      </c>
      <c r="B1292" s="4" t="s">
        <v>9318</v>
      </c>
      <c r="C1292" s="4" t="s">
        <v>9319</v>
      </c>
      <c r="D1292" s="4" t="s">
        <v>9320</v>
      </c>
      <c r="E1292" s="4" t="s">
        <v>613</v>
      </c>
      <c r="F1292" s="4" t="s">
        <v>9246</v>
      </c>
      <c r="G1292" s="4">
        <v>2022</v>
      </c>
      <c r="H1292" s="25">
        <v>44798</v>
      </c>
      <c r="I1292" s="4" t="s">
        <v>9321</v>
      </c>
      <c r="K1292" s="4" t="s">
        <v>2280</v>
      </c>
    </row>
    <row r="1293" spans="1:11" ht="15.75" customHeight="1">
      <c r="A1293" s="4">
        <v>34738024</v>
      </c>
      <c r="B1293" s="4" t="s">
        <v>9322</v>
      </c>
      <c r="C1293" s="4" t="s">
        <v>9323</v>
      </c>
      <c r="D1293" s="4" t="s">
        <v>9324</v>
      </c>
      <c r="E1293" s="4" t="s">
        <v>3726</v>
      </c>
      <c r="F1293" s="4" t="s">
        <v>9246</v>
      </c>
      <c r="G1293" s="4">
        <v>2021</v>
      </c>
      <c r="H1293" s="25">
        <v>44505</v>
      </c>
      <c r="I1293" s="4" t="s">
        <v>9325</v>
      </c>
      <c r="K1293" s="4" t="s">
        <v>3727</v>
      </c>
    </row>
    <row r="1294" spans="1:11" ht="15.75" customHeight="1">
      <c r="A1294" s="4">
        <v>15566776</v>
      </c>
      <c r="B1294" s="4" t="s">
        <v>9336</v>
      </c>
      <c r="C1294" s="4" t="s">
        <v>9337</v>
      </c>
      <c r="D1294" s="4" t="s">
        <v>9338</v>
      </c>
      <c r="E1294" s="4" t="s">
        <v>3716</v>
      </c>
      <c r="F1294" s="4" t="s">
        <v>9339</v>
      </c>
      <c r="G1294" s="4">
        <v>1994</v>
      </c>
      <c r="H1294" s="25">
        <v>34547</v>
      </c>
      <c r="K1294" s="4" t="s">
        <v>3719</v>
      </c>
    </row>
    <row r="1295" spans="1:11" ht="15.75" customHeight="1">
      <c r="A1295" s="4">
        <v>2773596</v>
      </c>
      <c r="B1295" s="4" t="s">
        <v>9340</v>
      </c>
      <c r="C1295" s="4" t="s">
        <v>9341</v>
      </c>
      <c r="D1295" s="4" t="s">
        <v>9342</v>
      </c>
      <c r="E1295" s="4" t="s">
        <v>3995</v>
      </c>
      <c r="F1295" s="4" t="s">
        <v>5122</v>
      </c>
      <c r="G1295" s="4">
        <v>1989</v>
      </c>
      <c r="H1295" s="25">
        <v>32660</v>
      </c>
      <c r="K1295" s="4" t="s">
        <v>3998</v>
      </c>
    </row>
    <row r="1296" spans="1:11" ht="15.75" customHeight="1">
      <c r="A1296" s="4">
        <v>36310678</v>
      </c>
      <c r="B1296" s="4" t="s">
        <v>9343</v>
      </c>
      <c r="C1296" s="4" t="s">
        <v>9344</v>
      </c>
      <c r="D1296" s="4" t="s">
        <v>9345</v>
      </c>
      <c r="E1296" s="4" t="s">
        <v>3125</v>
      </c>
      <c r="F1296" s="4" t="s">
        <v>9346</v>
      </c>
      <c r="G1296" s="4">
        <v>2022</v>
      </c>
      <c r="H1296" s="25">
        <v>44865</v>
      </c>
      <c r="I1296" s="4" t="s">
        <v>9347</v>
      </c>
      <c r="K1296" s="4" t="s">
        <v>3126</v>
      </c>
    </row>
    <row r="1297" spans="1:11" ht="15.75" customHeight="1">
      <c r="A1297" s="4">
        <v>31228095</v>
      </c>
      <c r="B1297" s="4" t="s">
        <v>9332</v>
      </c>
      <c r="C1297" s="4" t="s">
        <v>9333</v>
      </c>
      <c r="D1297" s="4" t="s">
        <v>9334</v>
      </c>
      <c r="E1297" s="4" t="s">
        <v>2574</v>
      </c>
      <c r="F1297" s="4" t="s">
        <v>9335</v>
      </c>
      <c r="G1297" s="4">
        <v>2019</v>
      </c>
      <c r="H1297" s="25">
        <v>43639</v>
      </c>
      <c r="K1297" s="4" t="s">
        <v>2575</v>
      </c>
    </row>
    <row r="1298" spans="1:11" ht="15.75" customHeight="1">
      <c r="A1298" s="4">
        <v>30519529</v>
      </c>
      <c r="B1298" s="4" t="s">
        <v>9348</v>
      </c>
      <c r="C1298" s="4" t="s">
        <v>9349</v>
      </c>
      <c r="D1298" s="4" t="s">
        <v>9350</v>
      </c>
      <c r="E1298" s="4" t="s">
        <v>683</v>
      </c>
      <c r="F1298" s="4" t="s">
        <v>9351</v>
      </c>
      <c r="G1298" s="4">
        <v>2018</v>
      </c>
      <c r="H1298" s="25">
        <v>43441</v>
      </c>
      <c r="I1298" s="4" t="s">
        <v>9352</v>
      </c>
      <c r="K1298" s="4" t="s">
        <v>684</v>
      </c>
    </row>
    <row r="1299" spans="1:11" ht="15.75" customHeight="1">
      <c r="A1299" s="4">
        <v>29785130</v>
      </c>
      <c r="B1299" s="4" t="s">
        <v>9353</v>
      </c>
      <c r="C1299" s="4" t="s">
        <v>9354</v>
      </c>
      <c r="D1299" s="4" t="s">
        <v>9355</v>
      </c>
      <c r="E1299" s="4" t="s">
        <v>2850</v>
      </c>
      <c r="F1299" s="4" t="s">
        <v>9356</v>
      </c>
      <c r="G1299" s="4">
        <v>2018</v>
      </c>
      <c r="H1299" s="25">
        <v>43243</v>
      </c>
      <c r="I1299" s="4" t="s">
        <v>9357</v>
      </c>
      <c r="K1299" s="4" t="s">
        <v>2851</v>
      </c>
    </row>
    <row r="1300" spans="1:11" ht="15.75" customHeight="1">
      <c r="A1300" s="4">
        <v>23940750</v>
      </c>
      <c r="B1300" s="4" t="s">
        <v>9358</v>
      </c>
      <c r="C1300" s="4" t="s">
        <v>9359</v>
      </c>
      <c r="D1300" s="4" t="s">
        <v>9360</v>
      </c>
      <c r="E1300" s="4" t="s">
        <v>1236</v>
      </c>
      <c r="F1300" s="4" t="s">
        <v>4978</v>
      </c>
      <c r="G1300" s="4">
        <v>2013</v>
      </c>
      <c r="H1300" s="25">
        <v>41500</v>
      </c>
      <c r="I1300" s="4" t="s">
        <v>9361</v>
      </c>
      <c r="K1300" s="4" t="s">
        <v>1237</v>
      </c>
    </row>
    <row r="1301" spans="1:11" ht="15.75" customHeight="1">
      <c r="A1301" s="4">
        <v>31469438</v>
      </c>
      <c r="B1301" s="4" t="s">
        <v>9362</v>
      </c>
      <c r="C1301" s="4" t="s">
        <v>9363</v>
      </c>
      <c r="D1301" s="4" t="s">
        <v>9364</v>
      </c>
      <c r="E1301" s="4" t="s">
        <v>2010</v>
      </c>
      <c r="F1301" s="4" t="s">
        <v>5336</v>
      </c>
      <c r="G1301" s="4">
        <v>2020</v>
      </c>
      <c r="H1301" s="25">
        <v>43708</v>
      </c>
      <c r="I1301" s="4" t="s">
        <v>9365</v>
      </c>
      <c r="J1301" s="4" t="s">
        <v>9366</v>
      </c>
      <c r="K1301" s="4" t="s">
        <v>2011</v>
      </c>
    </row>
    <row r="1302" spans="1:11" ht="15.75" customHeight="1">
      <c r="A1302" s="4">
        <v>32551136</v>
      </c>
      <c r="B1302" s="4" t="s">
        <v>9387</v>
      </c>
      <c r="C1302" s="4" t="s">
        <v>9280</v>
      </c>
      <c r="D1302" s="4" t="s">
        <v>9388</v>
      </c>
      <c r="E1302" s="4" t="s">
        <v>2075</v>
      </c>
      <c r="F1302" s="4" t="s">
        <v>9282</v>
      </c>
      <c r="G1302" s="4">
        <v>2020</v>
      </c>
      <c r="H1302" s="25">
        <v>44002</v>
      </c>
      <c r="I1302" s="4" t="s">
        <v>9389</v>
      </c>
      <c r="K1302" s="4" t="s">
        <v>2078</v>
      </c>
    </row>
    <row r="1303" spans="1:11" ht="15.75" customHeight="1">
      <c r="A1303" s="4">
        <v>9509968</v>
      </c>
      <c r="B1303" s="4" t="s">
        <v>9390</v>
      </c>
      <c r="C1303" s="4" t="s">
        <v>9391</v>
      </c>
      <c r="D1303" s="4" t="s">
        <v>9392</v>
      </c>
      <c r="E1303" s="4" t="s">
        <v>3145</v>
      </c>
      <c r="F1303" s="4" t="s">
        <v>4863</v>
      </c>
      <c r="G1303" s="4">
        <v>1998</v>
      </c>
      <c r="H1303" s="25">
        <v>35878</v>
      </c>
      <c r="K1303" s="4" t="s">
        <v>3148</v>
      </c>
    </row>
    <row r="1304" spans="1:11" ht="15.75" customHeight="1">
      <c r="A1304" s="4">
        <v>2896909</v>
      </c>
      <c r="B1304" s="4" t="s">
        <v>9375</v>
      </c>
      <c r="C1304" s="4" t="s">
        <v>9376</v>
      </c>
      <c r="D1304" s="4" t="s">
        <v>9377</v>
      </c>
      <c r="E1304" s="4" t="s">
        <v>4551</v>
      </c>
      <c r="F1304" s="4" t="s">
        <v>6147</v>
      </c>
      <c r="G1304" s="4">
        <v>1988</v>
      </c>
      <c r="H1304" s="25">
        <v>32277</v>
      </c>
      <c r="K1304" s="4" t="s">
        <v>4554</v>
      </c>
    </row>
    <row r="1305" spans="1:11" ht="15.75" customHeight="1">
      <c r="A1305" s="4">
        <v>21925094</v>
      </c>
      <c r="B1305" s="4" t="s">
        <v>9367</v>
      </c>
      <c r="C1305" s="4" t="s">
        <v>9368</v>
      </c>
      <c r="D1305" s="4" t="s">
        <v>9369</v>
      </c>
      <c r="E1305" s="4" t="s">
        <v>2106</v>
      </c>
      <c r="F1305" s="4" t="s">
        <v>9370</v>
      </c>
      <c r="G1305" s="4">
        <v>2011</v>
      </c>
      <c r="H1305" s="25">
        <v>40806</v>
      </c>
      <c r="K1305" s="4" t="s">
        <v>2107</v>
      </c>
    </row>
    <row r="1306" spans="1:11" ht="15.75" customHeight="1">
      <c r="A1306" s="4">
        <v>35415058</v>
      </c>
      <c r="B1306" s="4" t="s">
        <v>9371</v>
      </c>
      <c r="C1306" s="4" t="s">
        <v>9372</v>
      </c>
      <c r="D1306" s="4" t="s">
        <v>9373</v>
      </c>
      <c r="E1306" s="4" t="s">
        <v>3176</v>
      </c>
      <c r="F1306" s="4" t="s">
        <v>9165</v>
      </c>
      <c r="G1306" s="4">
        <v>2022</v>
      </c>
      <c r="H1306" s="25">
        <v>44664</v>
      </c>
      <c r="I1306" s="4" t="s">
        <v>9374</v>
      </c>
      <c r="K1306" s="4" t="s">
        <v>3177</v>
      </c>
    </row>
    <row r="1307" spans="1:11" ht="15.75" customHeight="1">
      <c r="A1307" s="4">
        <v>2166835</v>
      </c>
      <c r="B1307" s="4" t="s">
        <v>9378</v>
      </c>
      <c r="C1307" s="4" t="s">
        <v>9379</v>
      </c>
      <c r="D1307" s="4" t="s">
        <v>9380</v>
      </c>
      <c r="E1307" s="4" t="s">
        <v>2094</v>
      </c>
      <c r="F1307" s="4" t="s">
        <v>4891</v>
      </c>
      <c r="G1307" s="4">
        <v>1990</v>
      </c>
      <c r="H1307" s="25">
        <v>33117</v>
      </c>
      <c r="I1307" s="4" t="s">
        <v>9381</v>
      </c>
      <c r="K1307" s="4" t="s">
        <v>2099</v>
      </c>
    </row>
    <row r="1308" spans="1:11" ht="15.75" customHeight="1">
      <c r="A1308" s="4">
        <v>25285115</v>
      </c>
      <c r="B1308" s="4" t="s">
        <v>9382</v>
      </c>
      <c r="C1308" s="4" t="s">
        <v>9383</v>
      </c>
      <c r="D1308" s="4" t="s">
        <v>9384</v>
      </c>
      <c r="E1308" s="4" t="s">
        <v>1816</v>
      </c>
      <c r="F1308" s="4" t="s">
        <v>9385</v>
      </c>
      <c r="G1308" s="4">
        <v>2014</v>
      </c>
      <c r="H1308" s="25">
        <v>41919</v>
      </c>
      <c r="I1308" s="4" t="s">
        <v>9386</v>
      </c>
      <c r="K1308" s="4" t="s">
        <v>1817</v>
      </c>
    </row>
    <row r="1309" spans="1:11" ht="15.75" customHeight="1">
      <c r="A1309" s="4">
        <v>22371761</v>
      </c>
      <c r="B1309" s="4" t="s">
        <v>9393</v>
      </c>
      <c r="C1309" s="4" t="s">
        <v>9394</v>
      </c>
      <c r="D1309" s="4" t="s">
        <v>9395</v>
      </c>
      <c r="E1309" s="4" t="s">
        <v>4269</v>
      </c>
      <c r="F1309" s="4" t="s">
        <v>9396</v>
      </c>
      <c r="G1309" s="4">
        <v>2010</v>
      </c>
      <c r="H1309" s="25">
        <v>40968</v>
      </c>
      <c r="I1309" s="4" t="s">
        <v>9397</v>
      </c>
      <c r="K1309" s="4" t="s">
        <v>4270</v>
      </c>
    </row>
    <row r="1310" spans="1:11" ht="15.75" customHeight="1">
      <c r="A1310" s="4">
        <v>12531788</v>
      </c>
      <c r="B1310" s="4" t="s">
        <v>9402</v>
      </c>
      <c r="C1310" s="4" t="s">
        <v>9403</v>
      </c>
      <c r="D1310" s="4" t="s">
        <v>9404</v>
      </c>
      <c r="E1310" s="4" t="s">
        <v>1338</v>
      </c>
      <c r="F1310" s="4" t="s">
        <v>5343</v>
      </c>
      <c r="G1310" s="4">
        <v>2003</v>
      </c>
      <c r="H1310" s="25">
        <v>37639</v>
      </c>
      <c r="K1310" s="4" t="s">
        <v>1339</v>
      </c>
    </row>
    <row r="1311" spans="1:11" ht="15.75" customHeight="1">
      <c r="A1311" s="4">
        <v>17035788</v>
      </c>
      <c r="B1311" s="4" t="s">
        <v>9410</v>
      </c>
      <c r="C1311" s="4" t="s">
        <v>9411</v>
      </c>
      <c r="D1311" s="4" t="s">
        <v>9412</v>
      </c>
      <c r="E1311" s="4" t="s">
        <v>3234</v>
      </c>
      <c r="F1311" s="4" t="s">
        <v>5035</v>
      </c>
      <c r="G1311" s="4">
        <v>1999</v>
      </c>
      <c r="H1311" s="25">
        <v>39003</v>
      </c>
      <c r="K1311" s="4" t="s">
        <v>3235</v>
      </c>
    </row>
    <row r="1312" spans="1:11" ht="15.75" customHeight="1">
      <c r="A1312" s="4">
        <v>29531650</v>
      </c>
      <c r="B1312" s="4" t="s">
        <v>9405</v>
      </c>
      <c r="C1312" s="4" t="s">
        <v>9406</v>
      </c>
      <c r="D1312" s="4" t="s">
        <v>9407</v>
      </c>
      <c r="E1312" s="4" t="s">
        <v>3206</v>
      </c>
      <c r="F1312" s="4" t="s">
        <v>9408</v>
      </c>
      <c r="G1312" s="4">
        <v>2018</v>
      </c>
      <c r="H1312" s="25">
        <v>43173</v>
      </c>
      <c r="I1312" s="4" t="s">
        <v>9409</v>
      </c>
      <c r="K1312" s="4" t="s">
        <v>3207</v>
      </c>
    </row>
    <row r="1313" spans="1:11" ht="15.75" customHeight="1">
      <c r="A1313" s="4">
        <v>2153965</v>
      </c>
      <c r="B1313" s="4" t="s">
        <v>9413</v>
      </c>
      <c r="C1313" s="4" t="s">
        <v>9414</v>
      </c>
      <c r="D1313" s="4" t="s">
        <v>9415</v>
      </c>
      <c r="E1313" s="4" t="s">
        <v>2094</v>
      </c>
      <c r="F1313" s="4" t="s">
        <v>5783</v>
      </c>
      <c r="G1313" s="4">
        <v>1990</v>
      </c>
      <c r="H1313" s="25">
        <v>32874</v>
      </c>
      <c r="I1313" s="4" t="s">
        <v>9416</v>
      </c>
      <c r="K1313" s="4" t="s">
        <v>2101</v>
      </c>
    </row>
    <row r="1314" spans="1:11" ht="15.75" customHeight="1">
      <c r="A1314" s="4">
        <v>23243510</v>
      </c>
      <c r="B1314" s="4" t="s">
        <v>9444</v>
      </c>
      <c r="C1314" s="4" t="s">
        <v>9445</v>
      </c>
      <c r="D1314" s="4" t="s">
        <v>9446</v>
      </c>
      <c r="E1314" s="4" t="s">
        <v>2406</v>
      </c>
      <c r="F1314" s="4" t="s">
        <v>9447</v>
      </c>
      <c r="G1314" s="4">
        <v>2012</v>
      </c>
      <c r="H1314" s="25">
        <v>41261</v>
      </c>
      <c r="I1314" s="4" t="s">
        <v>9448</v>
      </c>
      <c r="K1314" s="4" t="s">
        <v>2407</v>
      </c>
    </row>
    <row r="1315" spans="1:11" ht="15.75" customHeight="1">
      <c r="A1315" s="4">
        <v>2463490</v>
      </c>
      <c r="B1315" s="4" t="s">
        <v>9420</v>
      </c>
      <c r="C1315" s="4" t="s">
        <v>9421</v>
      </c>
      <c r="D1315" s="4" t="s">
        <v>9422</v>
      </c>
      <c r="E1315" s="4" t="s">
        <v>3041</v>
      </c>
      <c r="F1315" s="4" t="s">
        <v>4813</v>
      </c>
      <c r="G1315" s="4">
        <v>1989</v>
      </c>
      <c r="H1315" s="25">
        <v>32534</v>
      </c>
      <c r="K1315" s="4" t="s">
        <v>3061</v>
      </c>
    </row>
    <row r="1316" spans="1:11" ht="15.75" customHeight="1">
      <c r="A1316" s="4">
        <v>34595440</v>
      </c>
      <c r="B1316" s="4" t="s">
        <v>9426</v>
      </c>
      <c r="C1316" s="4" t="s">
        <v>9427</v>
      </c>
      <c r="D1316" s="4" t="s">
        <v>9428</v>
      </c>
      <c r="E1316" s="4" t="s">
        <v>1242</v>
      </c>
      <c r="F1316" s="4" t="s">
        <v>9429</v>
      </c>
      <c r="G1316" s="4">
        <v>2019</v>
      </c>
      <c r="H1316" s="25">
        <v>44470</v>
      </c>
      <c r="I1316" s="4" t="s">
        <v>9430</v>
      </c>
      <c r="K1316" s="4" t="s">
        <v>1243</v>
      </c>
    </row>
    <row r="1317" spans="1:11" ht="15.75" customHeight="1">
      <c r="A1317" s="4">
        <v>37559972</v>
      </c>
      <c r="B1317" s="4" t="s">
        <v>9436</v>
      </c>
      <c r="C1317" s="4" t="s">
        <v>9437</v>
      </c>
      <c r="D1317" s="4" t="s">
        <v>9438</v>
      </c>
      <c r="E1317" s="4" t="s">
        <v>1899</v>
      </c>
      <c r="F1317" s="4" t="s">
        <v>9439</v>
      </c>
      <c r="G1317" s="4">
        <v>2023</v>
      </c>
      <c r="H1317" s="25">
        <v>45148</v>
      </c>
      <c r="I1317" s="4" t="s">
        <v>9440</v>
      </c>
      <c r="K1317" s="4" t="s">
        <v>1900</v>
      </c>
    </row>
    <row r="1318" spans="1:11" ht="15.75" customHeight="1">
      <c r="A1318" s="4">
        <v>34104434</v>
      </c>
      <c r="B1318" s="4" t="s">
        <v>9431</v>
      </c>
      <c r="C1318" s="4" t="s">
        <v>9432</v>
      </c>
      <c r="D1318" s="4" t="s">
        <v>9433</v>
      </c>
      <c r="E1318" s="4" t="s">
        <v>967</v>
      </c>
      <c r="F1318" s="4" t="s">
        <v>9434</v>
      </c>
      <c r="G1318" s="4">
        <v>2021</v>
      </c>
      <c r="H1318" s="25">
        <v>44356</v>
      </c>
      <c r="I1318" s="4" t="s">
        <v>9435</v>
      </c>
      <c r="K1318" s="4" t="s">
        <v>968</v>
      </c>
    </row>
    <row r="1319" spans="1:11" ht="15.75" customHeight="1">
      <c r="A1319" s="4">
        <v>28601677</v>
      </c>
      <c r="B1319" s="4" t="s">
        <v>9423</v>
      </c>
      <c r="C1319" s="4" t="s">
        <v>9424</v>
      </c>
      <c r="D1319" s="4" t="s">
        <v>9425</v>
      </c>
      <c r="E1319" s="4" t="s">
        <v>228</v>
      </c>
      <c r="F1319" s="4" t="s">
        <v>4896</v>
      </c>
      <c r="G1319" s="4">
        <v>2017</v>
      </c>
      <c r="H1319" s="25">
        <v>42898</v>
      </c>
      <c r="K1319" s="4" t="s">
        <v>361</v>
      </c>
    </row>
    <row r="1320" spans="1:11" ht="15.75" customHeight="1">
      <c r="A1320" s="4">
        <v>20228849</v>
      </c>
      <c r="B1320" s="4" t="s">
        <v>9449</v>
      </c>
      <c r="C1320" s="4" t="s">
        <v>9450</v>
      </c>
      <c r="D1320" s="4" t="s">
        <v>9451</v>
      </c>
      <c r="E1320" s="4" t="s">
        <v>942</v>
      </c>
      <c r="F1320" s="4" t="s">
        <v>4863</v>
      </c>
      <c r="G1320" s="4">
        <v>2011</v>
      </c>
      <c r="H1320" s="25">
        <v>40253</v>
      </c>
      <c r="K1320" s="4" t="s">
        <v>943</v>
      </c>
    </row>
    <row r="1321" spans="1:11" ht="15.75" customHeight="1">
      <c r="A1321" s="4">
        <v>30122653</v>
      </c>
      <c r="B1321" s="4" t="s">
        <v>9441</v>
      </c>
      <c r="C1321" s="4" t="s">
        <v>9442</v>
      </c>
      <c r="D1321" s="4" t="s">
        <v>9443</v>
      </c>
      <c r="E1321" s="4" t="s">
        <v>3395</v>
      </c>
      <c r="F1321" s="4" t="s">
        <v>8416</v>
      </c>
      <c r="G1321" s="4">
        <v>2018</v>
      </c>
      <c r="H1321" s="25">
        <v>43333</v>
      </c>
      <c r="K1321" s="4" t="s">
        <v>3396</v>
      </c>
    </row>
    <row r="1322" spans="1:11" ht="15.75" customHeight="1">
      <c r="A1322" s="4">
        <v>36589231</v>
      </c>
      <c r="B1322" s="4" t="s">
        <v>9459</v>
      </c>
      <c r="C1322" s="4" t="s">
        <v>9460</v>
      </c>
      <c r="D1322" s="4" t="s">
        <v>9461</v>
      </c>
      <c r="E1322" s="4" t="s">
        <v>2626</v>
      </c>
      <c r="F1322" s="4" t="s">
        <v>9462</v>
      </c>
      <c r="G1322" s="4">
        <v>2022</v>
      </c>
      <c r="H1322" s="25">
        <v>44928</v>
      </c>
      <c r="I1322" s="4" t="s">
        <v>9463</v>
      </c>
      <c r="K1322" s="4" t="s">
        <v>2627</v>
      </c>
    </row>
    <row r="1323" spans="1:11" ht="15.75" customHeight="1">
      <c r="A1323" s="4">
        <v>34989946</v>
      </c>
      <c r="B1323" s="4" t="s">
        <v>9455</v>
      </c>
      <c r="C1323" s="4" t="s">
        <v>9456</v>
      </c>
      <c r="D1323" s="4" t="s">
        <v>9457</v>
      </c>
      <c r="E1323" s="4" t="s">
        <v>3935</v>
      </c>
      <c r="F1323" s="4" t="s">
        <v>7225</v>
      </c>
      <c r="G1323" s="4">
        <v>2022</v>
      </c>
      <c r="H1323" s="25">
        <v>44567</v>
      </c>
      <c r="I1323" s="4" t="s">
        <v>9458</v>
      </c>
      <c r="K1323" s="4" t="s">
        <v>3936</v>
      </c>
    </row>
    <row r="1324" spans="1:11" ht="15.75" customHeight="1">
      <c r="A1324" s="4">
        <v>30815505</v>
      </c>
      <c r="B1324" s="4" t="s">
        <v>9499</v>
      </c>
      <c r="C1324" s="4" t="s">
        <v>9500</v>
      </c>
      <c r="D1324" s="4" t="s">
        <v>9501</v>
      </c>
      <c r="E1324" s="4" t="s">
        <v>247</v>
      </c>
      <c r="F1324" s="4" t="s">
        <v>9246</v>
      </c>
      <c r="G1324" s="4">
        <v>2019</v>
      </c>
      <c r="H1324" s="25">
        <v>43525</v>
      </c>
      <c r="I1324" s="4" t="s">
        <v>9502</v>
      </c>
      <c r="K1324" s="4" t="s">
        <v>381</v>
      </c>
    </row>
    <row r="1325" spans="1:11" ht="15.75" customHeight="1">
      <c r="A1325" s="4">
        <v>8896431</v>
      </c>
      <c r="B1325" s="4" t="s">
        <v>9485</v>
      </c>
      <c r="C1325" s="4" t="s">
        <v>9486</v>
      </c>
      <c r="D1325" s="4" t="s">
        <v>9487</v>
      </c>
      <c r="E1325" s="4" t="s">
        <v>175</v>
      </c>
      <c r="F1325" s="4" t="s">
        <v>5343</v>
      </c>
      <c r="G1325" s="4">
        <v>1996</v>
      </c>
      <c r="H1325" s="25">
        <v>35370</v>
      </c>
    </row>
    <row r="1326" spans="1:11" ht="15.75" customHeight="1">
      <c r="A1326" s="4">
        <v>2888966</v>
      </c>
      <c r="B1326" s="4" t="s">
        <v>9468</v>
      </c>
      <c r="C1326" s="4" t="s">
        <v>9469</v>
      </c>
      <c r="D1326" s="4" t="s">
        <v>9470</v>
      </c>
      <c r="E1326" s="4" t="s">
        <v>3041</v>
      </c>
      <c r="F1326" s="4" t="s">
        <v>6147</v>
      </c>
      <c r="G1326" s="4">
        <v>1987</v>
      </c>
      <c r="H1326" s="25">
        <v>32046</v>
      </c>
      <c r="K1326" s="4" t="s">
        <v>3063</v>
      </c>
    </row>
    <row r="1327" spans="1:11" ht="15.75" customHeight="1">
      <c r="A1327" s="4">
        <v>37496724</v>
      </c>
      <c r="B1327" s="4" t="s">
        <v>10984</v>
      </c>
      <c r="C1327" s="4" t="s">
        <v>9472</v>
      </c>
      <c r="D1327" s="4" t="s">
        <v>9473</v>
      </c>
      <c r="E1327" s="4" t="s">
        <v>2183</v>
      </c>
      <c r="F1327" s="4" t="s">
        <v>9474</v>
      </c>
      <c r="G1327" s="4">
        <v>2023</v>
      </c>
      <c r="H1327" s="25">
        <v>45134</v>
      </c>
      <c r="I1327" s="4" t="s">
        <v>9475</v>
      </c>
      <c r="K1327" s="4" t="s">
        <v>2184</v>
      </c>
    </row>
    <row r="1328" spans="1:11" ht="15.75" customHeight="1">
      <c r="A1328" s="4">
        <v>18394275</v>
      </c>
      <c r="B1328" s="4" t="s">
        <v>9506</v>
      </c>
      <c r="C1328" s="4" t="s">
        <v>9507</v>
      </c>
      <c r="D1328" s="4" t="s">
        <v>9508</v>
      </c>
      <c r="E1328" s="4" t="s">
        <v>4591</v>
      </c>
      <c r="F1328" s="4" t="s">
        <v>5117</v>
      </c>
      <c r="G1328" s="4">
        <v>2008</v>
      </c>
      <c r="H1328" s="25">
        <v>39547</v>
      </c>
      <c r="I1328" s="4" t="s">
        <v>9509</v>
      </c>
      <c r="K1328" s="4" t="s">
        <v>4592</v>
      </c>
    </row>
    <row r="1329" spans="1:11" ht="15.75" customHeight="1">
      <c r="A1329" s="4">
        <v>36544772</v>
      </c>
      <c r="B1329" s="4" t="s">
        <v>9464</v>
      </c>
      <c r="C1329" s="4" t="s">
        <v>9465</v>
      </c>
      <c r="D1329" s="4" t="s">
        <v>9466</v>
      </c>
      <c r="E1329" s="4" t="s">
        <v>2238</v>
      </c>
      <c r="F1329" s="4" t="s">
        <v>4912</v>
      </c>
      <c r="G1329" s="4">
        <v>2022</v>
      </c>
      <c r="H1329" s="25">
        <v>44917</v>
      </c>
      <c r="I1329" s="4" t="s">
        <v>9467</v>
      </c>
      <c r="K1329" s="4" t="s">
        <v>2239</v>
      </c>
    </row>
    <row r="1330" spans="1:11" ht="15.75" customHeight="1">
      <c r="A1330" s="4">
        <v>20399877</v>
      </c>
      <c r="B1330" s="4" t="s">
        <v>9476</v>
      </c>
      <c r="C1330" s="4" t="s">
        <v>9477</v>
      </c>
      <c r="D1330" s="4" t="s">
        <v>9478</v>
      </c>
      <c r="E1330" s="4" t="s">
        <v>278</v>
      </c>
      <c r="F1330" s="4" t="s">
        <v>5076</v>
      </c>
      <c r="G1330" s="4">
        <v>2010</v>
      </c>
      <c r="H1330" s="25">
        <v>40288</v>
      </c>
      <c r="K1330" s="4" t="s">
        <v>410</v>
      </c>
    </row>
    <row r="1331" spans="1:11" ht="15.75" customHeight="1">
      <c r="A1331" s="4">
        <v>33789834</v>
      </c>
      <c r="B1331" s="4" t="s">
        <v>9482</v>
      </c>
      <c r="C1331" s="4" t="s">
        <v>9483</v>
      </c>
      <c r="D1331" s="4" t="s">
        <v>9484</v>
      </c>
      <c r="E1331" s="4" t="s">
        <v>4573</v>
      </c>
      <c r="F1331" s="4" t="s">
        <v>4876</v>
      </c>
      <c r="G1331" s="4">
        <v>2021</v>
      </c>
      <c r="H1331" s="25">
        <v>44287</v>
      </c>
      <c r="K1331" s="4" t="s">
        <v>4574</v>
      </c>
    </row>
    <row r="1332" spans="1:11" ht="15.75" customHeight="1">
      <c r="A1332" s="4">
        <v>36798106</v>
      </c>
      <c r="B1332" s="4" t="s">
        <v>9491</v>
      </c>
      <c r="C1332" s="4" t="s">
        <v>9492</v>
      </c>
      <c r="D1332" s="4" t="s">
        <v>9493</v>
      </c>
      <c r="E1332" s="4" t="s">
        <v>3663</v>
      </c>
      <c r="F1332" s="4" t="s">
        <v>9494</v>
      </c>
      <c r="G1332" s="4">
        <v>2023</v>
      </c>
      <c r="H1332" s="25">
        <v>44974</v>
      </c>
      <c r="I1332" s="4" t="s">
        <v>9495</v>
      </c>
      <c r="K1332" s="4" t="s">
        <v>3664</v>
      </c>
    </row>
    <row r="1333" spans="1:11" ht="15.75" customHeight="1">
      <c r="A1333" s="4">
        <v>17259874</v>
      </c>
      <c r="B1333" s="4" t="s">
        <v>9488</v>
      </c>
      <c r="C1333" s="4" t="s">
        <v>9489</v>
      </c>
      <c r="D1333" s="4" t="s">
        <v>9490</v>
      </c>
      <c r="E1333" s="4" t="s">
        <v>4453</v>
      </c>
      <c r="F1333" s="4" t="s">
        <v>5982</v>
      </c>
      <c r="G1333" s="4">
        <v>2007</v>
      </c>
      <c r="H1333" s="25">
        <v>39112</v>
      </c>
      <c r="K1333" s="4" t="s">
        <v>4454</v>
      </c>
    </row>
    <row r="1334" spans="1:11" ht="15.75" customHeight="1">
      <c r="A1334" s="4">
        <v>16170749</v>
      </c>
      <c r="B1334" s="4" t="s">
        <v>9503</v>
      </c>
      <c r="C1334" s="4" t="s">
        <v>9504</v>
      </c>
      <c r="D1334" s="4" t="s">
        <v>9505</v>
      </c>
      <c r="E1334" s="4" t="s">
        <v>3695</v>
      </c>
      <c r="F1334" s="4" t="s">
        <v>4992</v>
      </c>
      <c r="G1334" s="4">
        <v>2005</v>
      </c>
      <c r="H1334" s="25">
        <v>38615</v>
      </c>
      <c r="K1334" s="4" t="s">
        <v>3710</v>
      </c>
    </row>
    <row r="1335" spans="1:11" ht="15.75" customHeight="1">
      <c r="A1335" s="4">
        <v>28894558</v>
      </c>
      <c r="B1335" s="4" t="s">
        <v>9564</v>
      </c>
      <c r="C1335" s="4" t="s">
        <v>9565</v>
      </c>
      <c r="D1335" s="4" t="s">
        <v>9566</v>
      </c>
      <c r="E1335" s="4" t="s">
        <v>4301</v>
      </c>
      <c r="F1335" s="4" t="s">
        <v>9408</v>
      </c>
      <c r="G1335" s="4">
        <v>2017</v>
      </c>
      <c r="H1335" s="25">
        <v>42991</v>
      </c>
      <c r="I1335" s="4" t="s">
        <v>9567</v>
      </c>
      <c r="K1335" s="4" t="s">
        <v>4302</v>
      </c>
    </row>
    <row r="1336" spans="1:11" ht="15.75" customHeight="1">
      <c r="A1336" s="4">
        <v>2846608</v>
      </c>
      <c r="B1336" s="4" t="s">
        <v>9510</v>
      </c>
      <c r="C1336" s="4" t="s">
        <v>9511</v>
      </c>
      <c r="D1336" s="4" t="s">
        <v>9512</v>
      </c>
      <c r="E1336" s="4" t="s">
        <v>2800</v>
      </c>
      <c r="F1336" s="4" t="s">
        <v>5267</v>
      </c>
      <c r="G1336" s="4">
        <v>1988</v>
      </c>
      <c r="H1336" s="25">
        <v>32387</v>
      </c>
      <c r="K1336" s="4" t="s">
        <v>2810</v>
      </c>
    </row>
    <row r="1337" spans="1:11" ht="15.75" customHeight="1">
      <c r="A1337" s="4">
        <v>18765102</v>
      </c>
      <c r="B1337" s="4" t="s">
        <v>9513</v>
      </c>
      <c r="C1337" s="4" t="s">
        <v>9514</v>
      </c>
      <c r="D1337" s="4" t="s">
        <v>9515</v>
      </c>
      <c r="E1337" s="4" t="s">
        <v>2157</v>
      </c>
      <c r="F1337" s="4" t="s">
        <v>9516</v>
      </c>
      <c r="G1337" s="4">
        <v>2008</v>
      </c>
      <c r="H1337" s="25">
        <v>39695</v>
      </c>
      <c r="K1337" s="4" t="s">
        <v>2158</v>
      </c>
    </row>
    <row r="1338" spans="1:11" ht="15.75" customHeight="1">
      <c r="A1338" s="4">
        <v>27419347</v>
      </c>
      <c r="B1338" s="4" t="s">
        <v>9526</v>
      </c>
      <c r="C1338" s="4" t="s">
        <v>9527</v>
      </c>
      <c r="D1338" s="4" t="s">
        <v>9528</v>
      </c>
      <c r="E1338" s="4" t="s">
        <v>286</v>
      </c>
      <c r="F1338" s="4" t="s">
        <v>9529</v>
      </c>
      <c r="G1338" s="4">
        <v>2001</v>
      </c>
      <c r="H1338" s="25">
        <v>42567</v>
      </c>
      <c r="K1338" s="4" t="s">
        <v>416</v>
      </c>
    </row>
    <row r="1339" spans="1:11" ht="15.75" customHeight="1">
      <c r="A1339" s="4">
        <v>3412023</v>
      </c>
      <c r="B1339" s="4" t="s">
        <v>9523</v>
      </c>
      <c r="C1339" s="4" t="s">
        <v>9524</v>
      </c>
      <c r="D1339" s="4" t="s">
        <v>9525</v>
      </c>
      <c r="E1339" s="4" t="s">
        <v>2556</v>
      </c>
      <c r="F1339" s="4" t="s">
        <v>6382</v>
      </c>
      <c r="G1339" s="4">
        <v>1988</v>
      </c>
      <c r="H1339" s="25">
        <v>32356</v>
      </c>
    </row>
    <row r="1340" spans="1:11" ht="15.75" customHeight="1">
      <c r="A1340" s="4">
        <v>9384487</v>
      </c>
      <c r="B1340" s="4" t="s">
        <v>9517</v>
      </c>
      <c r="C1340" s="4" t="s">
        <v>9518</v>
      </c>
      <c r="D1340" s="4" t="s">
        <v>9519</v>
      </c>
      <c r="E1340" s="4" t="s">
        <v>3458</v>
      </c>
      <c r="F1340" s="4" t="s">
        <v>4863</v>
      </c>
      <c r="G1340" s="4">
        <v>1997</v>
      </c>
      <c r="H1340" s="25">
        <v>35802</v>
      </c>
      <c r="K1340" s="4" t="s">
        <v>3459</v>
      </c>
    </row>
    <row r="1341" spans="1:11" ht="15.75" customHeight="1">
      <c r="A1341" s="4">
        <v>32299316</v>
      </c>
      <c r="B1341" s="4" t="s">
        <v>9537</v>
      </c>
      <c r="C1341" s="4" t="s">
        <v>9538</v>
      </c>
      <c r="D1341" s="4" t="s">
        <v>9539</v>
      </c>
      <c r="E1341" s="4" t="s">
        <v>2752</v>
      </c>
      <c r="F1341" s="4" t="s">
        <v>7258</v>
      </c>
      <c r="G1341" s="4">
        <v>2020</v>
      </c>
      <c r="H1341" s="25">
        <v>43939</v>
      </c>
      <c r="K1341" s="4" t="s">
        <v>2753</v>
      </c>
    </row>
    <row r="1342" spans="1:11" ht="15.75" customHeight="1">
      <c r="A1342" s="4">
        <v>37012846</v>
      </c>
      <c r="B1342" s="4" t="s">
        <v>9540</v>
      </c>
      <c r="C1342" s="4" t="s">
        <v>9541</v>
      </c>
      <c r="D1342" s="4" t="s">
        <v>9542</v>
      </c>
      <c r="E1342" s="4" t="s">
        <v>2206</v>
      </c>
      <c r="F1342" s="4" t="s">
        <v>9543</v>
      </c>
      <c r="G1342" s="4">
        <v>2007</v>
      </c>
      <c r="H1342" s="25">
        <v>45020</v>
      </c>
      <c r="K1342" s="4" t="s">
        <v>2209</v>
      </c>
    </row>
    <row r="1343" spans="1:11" ht="15.75" customHeight="1">
      <c r="A1343" s="4">
        <v>2786090</v>
      </c>
      <c r="B1343" s="4" t="s">
        <v>9533</v>
      </c>
      <c r="C1343" s="4" t="s">
        <v>9534</v>
      </c>
      <c r="D1343" s="4" t="s">
        <v>9535</v>
      </c>
      <c r="E1343" s="4" t="s">
        <v>1256</v>
      </c>
      <c r="F1343" s="4" t="s">
        <v>4891</v>
      </c>
      <c r="G1343" s="4">
        <v>1989</v>
      </c>
      <c r="H1343" s="25">
        <v>32660</v>
      </c>
      <c r="I1343" s="4" t="s">
        <v>9536</v>
      </c>
      <c r="K1343" s="4" t="s">
        <v>1257</v>
      </c>
    </row>
    <row r="1344" spans="1:11" ht="15.75" customHeight="1">
      <c r="A1344" s="4">
        <v>21166693</v>
      </c>
      <c r="B1344" s="4" t="s">
        <v>9520</v>
      </c>
      <c r="C1344" s="4" t="s">
        <v>9521</v>
      </c>
      <c r="D1344" s="4" t="s">
        <v>9522</v>
      </c>
      <c r="E1344" s="4" t="s">
        <v>4594</v>
      </c>
      <c r="F1344" s="4" t="s">
        <v>8114</v>
      </c>
      <c r="G1344" s="4">
        <v>2010</v>
      </c>
      <c r="H1344" s="25">
        <v>40533</v>
      </c>
      <c r="K1344" s="4" t="s">
        <v>4595</v>
      </c>
    </row>
    <row r="1345" spans="1:11" ht="15.75" customHeight="1">
      <c r="A1345" s="4">
        <v>2544678</v>
      </c>
      <c r="B1345" s="4" t="s">
        <v>9551</v>
      </c>
      <c r="C1345" s="4" t="s">
        <v>9552</v>
      </c>
      <c r="D1345" s="4" t="s">
        <v>9553</v>
      </c>
      <c r="E1345" s="4" t="s">
        <v>4435</v>
      </c>
      <c r="F1345" s="4" t="s">
        <v>4923</v>
      </c>
      <c r="G1345" s="4">
        <v>1989</v>
      </c>
      <c r="H1345" s="25">
        <v>32660</v>
      </c>
      <c r="K1345" s="4" t="s">
        <v>4446</v>
      </c>
    </row>
    <row r="1346" spans="1:11" ht="15.75" customHeight="1">
      <c r="A1346" s="4">
        <v>31891386</v>
      </c>
      <c r="B1346" s="4" t="s">
        <v>9562</v>
      </c>
      <c r="C1346" s="4" t="s">
        <v>5489</v>
      </c>
      <c r="D1346" s="4" t="s">
        <v>9563</v>
      </c>
      <c r="E1346" s="4" t="s">
        <v>775</v>
      </c>
      <c r="F1346" s="4" t="s">
        <v>4992</v>
      </c>
      <c r="G1346" s="4">
        <v>2020</v>
      </c>
      <c r="H1346" s="25">
        <v>43831</v>
      </c>
      <c r="K1346" s="4" t="s">
        <v>3339</v>
      </c>
    </row>
    <row r="1347" spans="1:11" ht="15.75" customHeight="1">
      <c r="A1347" s="4">
        <v>34329754</v>
      </c>
      <c r="B1347" s="4" t="s">
        <v>9548</v>
      </c>
      <c r="C1347" s="4" t="s">
        <v>9549</v>
      </c>
      <c r="D1347" s="4" t="s">
        <v>9550</v>
      </c>
      <c r="E1347" s="4" t="s">
        <v>239</v>
      </c>
      <c r="F1347" s="4" t="s">
        <v>4876</v>
      </c>
      <c r="G1347" s="4">
        <v>2021</v>
      </c>
      <c r="H1347" s="25">
        <v>44407</v>
      </c>
      <c r="K1347" s="4" t="s">
        <v>375</v>
      </c>
    </row>
    <row r="1348" spans="1:11" ht="15.75" customHeight="1">
      <c r="A1348" s="4">
        <v>26105089</v>
      </c>
      <c r="B1348" s="4" t="s">
        <v>9559</v>
      </c>
      <c r="C1348" s="4" t="s">
        <v>9560</v>
      </c>
      <c r="D1348" s="4" t="s">
        <v>9561</v>
      </c>
      <c r="E1348" s="4" t="s">
        <v>991</v>
      </c>
      <c r="F1348" s="4" t="s">
        <v>5211</v>
      </c>
      <c r="G1348" s="4">
        <v>2015</v>
      </c>
      <c r="H1348" s="25">
        <v>42180</v>
      </c>
      <c r="K1348" s="4" t="s">
        <v>992</v>
      </c>
    </row>
    <row r="1349" spans="1:11" ht="15.75" customHeight="1">
      <c r="A1349" s="4">
        <v>29896671</v>
      </c>
      <c r="B1349" s="4" t="s">
        <v>9557</v>
      </c>
      <c r="C1349" s="4" t="s">
        <v>6689</v>
      </c>
      <c r="D1349" s="4" t="s">
        <v>9558</v>
      </c>
      <c r="E1349" s="4" t="s">
        <v>195</v>
      </c>
      <c r="F1349" s="4" t="s">
        <v>6522</v>
      </c>
      <c r="G1349" s="4">
        <v>2018</v>
      </c>
      <c r="H1349" s="25">
        <v>43265</v>
      </c>
      <c r="K1349" s="4" t="s">
        <v>4672</v>
      </c>
    </row>
    <row r="1350" spans="1:11" ht="15.75" customHeight="1">
      <c r="A1350" s="4">
        <v>37452206</v>
      </c>
      <c r="B1350" s="4" t="s">
        <v>9217</v>
      </c>
      <c r="C1350" s="4" t="s">
        <v>9218</v>
      </c>
      <c r="D1350" s="4" t="s">
        <v>9219</v>
      </c>
      <c r="E1350" s="4" t="s">
        <v>729</v>
      </c>
      <c r="F1350" s="4" t="s">
        <v>7225</v>
      </c>
      <c r="G1350" s="4">
        <v>2023</v>
      </c>
      <c r="H1350" s="25">
        <v>45121</v>
      </c>
      <c r="K1350" s="4" t="s">
        <v>730</v>
      </c>
    </row>
    <row r="1351" spans="1:11" ht="15.75" customHeight="1">
      <c r="A1351" s="4">
        <v>2161867</v>
      </c>
      <c r="B1351" s="4" t="s">
        <v>9577</v>
      </c>
      <c r="C1351" s="4" t="s">
        <v>9578</v>
      </c>
      <c r="D1351" s="4" t="s">
        <v>9579</v>
      </c>
      <c r="E1351" s="4" t="s">
        <v>1639</v>
      </c>
      <c r="F1351" s="4" t="s">
        <v>5331</v>
      </c>
      <c r="G1351" s="4">
        <v>1990</v>
      </c>
      <c r="H1351" s="25">
        <v>32994</v>
      </c>
      <c r="I1351" s="4" t="s">
        <v>9580</v>
      </c>
      <c r="K1351" s="4" t="s">
        <v>1640</v>
      </c>
    </row>
    <row r="1352" spans="1:11" ht="15.75" customHeight="1">
      <c r="A1352" s="4">
        <v>25462447</v>
      </c>
      <c r="B1352" s="4" t="s">
        <v>9572</v>
      </c>
      <c r="C1352" s="4" t="s">
        <v>9573</v>
      </c>
      <c r="D1352" s="4" t="s">
        <v>9574</v>
      </c>
      <c r="E1352" s="4" t="s">
        <v>3640</v>
      </c>
      <c r="F1352" s="4" t="s">
        <v>4855</v>
      </c>
      <c r="G1352" s="4">
        <v>2014</v>
      </c>
      <c r="H1352" s="25">
        <v>41976</v>
      </c>
      <c r="I1352" s="4" t="s">
        <v>9575</v>
      </c>
      <c r="J1352" s="4" t="s">
        <v>9576</v>
      </c>
      <c r="K1352" s="4" t="s">
        <v>3641</v>
      </c>
    </row>
    <row r="1353" spans="1:11" ht="15.75" customHeight="1">
      <c r="A1353" s="4">
        <v>35677042</v>
      </c>
      <c r="B1353" s="4" t="s">
        <v>9600</v>
      </c>
      <c r="C1353" s="4" t="s">
        <v>5066</v>
      </c>
      <c r="D1353" s="4" t="s">
        <v>9601</v>
      </c>
      <c r="E1353" s="4" t="s">
        <v>4464</v>
      </c>
      <c r="F1353" s="4" t="s">
        <v>4912</v>
      </c>
      <c r="G1353" s="4">
        <v>2022</v>
      </c>
      <c r="H1353" s="25">
        <v>44721</v>
      </c>
      <c r="I1353" s="4" t="s">
        <v>9602</v>
      </c>
      <c r="K1353" s="4" t="s">
        <v>4467</v>
      </c>
    </row>
    <row r="1354" spans="1:11" ht="15.75" customHeight="1">
      <c r="A1354" s="4">
        <v>28472480</v>
      </c>
      <c r="B1354" s="4" t="s">
        <v>9568</v>
      </c>
      <c r="C1354" s="4" t="s">
        <v>9569</v>
      </c>
      <c r="D1354" s="4" t="s">
        <v>9570</v>
      </c>
      <c r="E1354" s="4" t="s">
        <v>1109</v>
      </c>
      <c r="F1354" s="4" t="s">
        <v>4992</v>
      </c>
      <c r="G1354" s="4">
        <v>2017</v>
      </c>
      <c r="H1354" s="25">
        <v>42860</v>
      </c>
      <c r="I1354" s="4" t="s">
        <v>9571</v>
      </c>
      <c r="K1354" s="4" t="s">
        <v>1110</v>
      </c>
    </row>
    <row r="1355" spans="1:11" ht="15.75" customHeight="1">
      <c r="A1355" s="4">
        <v>9453142</v>
      </c>
      <c r="B1355" s="4" t="s">
        <v>9603</v>
      </c>
      <c r="C1355" s="4" t="s">
        <v>9604</v>
      </c>
      <c r="D1355" s="4" t="s">
        <v>9605</v>
      </c>
      <c r="E1355" s="4" t="s">
        <v>1341</v>
      </c>
      <c r="F1355" s="4" t="s">
        <v>5122</v>
      </c>
      <c r="G1355" s="4">
        <v>1997</v>
      </c>
      <c r="H1355" s="25">
        <v>35833</v>
      </c>
      <c r="K1355" s="4" t="s">
        <v>1350</v>
      </c>
    </row>
    <row r="1356" spans="1:11" ht="15.75" customHeight="1">
      <c r="A1356" s="4">
        <v>27419878</v>
      </c>
      <c r="B1356" s="4" t="s">
        <v>9581</v>
      </c>
      <c r="C1356" s="4" t="s">
        <v>9582</v>
      </c>
      <c r="D1356" s="4" t="s">
        <v>9583</v>
      </c>
      <c r="E1356" s="4" t="s">
        <v>4533</v>
      </c>
      <c r="F1356" s="4" t="s">
        <v>9529</v>
      </c>
      <c r="G1356" s="4">
        <v>2001</v>
      </c>
      <c r="H1356" s="25">
        <v>42567</v>
      </c>
      <c r="K1356" s="4" t="s">
        <v>4534</v>
      </c>
    </row>
    <row r="1357" spans="1:11" ht="15.75" customHeight="1">
      <c r="A1357" s="4">
        <v>26114018</v>
      </c>
      <c r="B1357" s="4" t="s">
        <v>9588</v>
      </c>
      <c r="C1357" s="4" t="s">
        <v>9589</v>
      </c>
      <c r="D1357" s="4" t="s">
        <v>9590</v>
      </c>
      <c r="E1357" s="4" t="s">
        <v>2620</v>
      </c>
      <c r="F1357" s="4" t="s">
        <v>9591</v>
      </c>
      <c r="G1357" s="4">
        <v>2014</v>
      </c>
      <c r="H1357" s="25">
        <v>42182</v>
      </c>
      <c r="I1357" s="4" t="s">
        <v>9592</v>
      </c>
      <c r="K1357" s="4" t="s">
        <v>2621</v>
      </c>
    </row>
    <row r="1358" spans="1:11" ht="15.75" customHeight="1">
      <c r="A1358" s="4">
        <v>37422195</v>
      </c>
      <c r="B1358" s="4" t="s">
        <v>9620</v>
      </c>
      <c r="C1358" s="4" t="s">
        <v>9621</v>
      </c>
      <c r="D1358" s="4" t="s">
        <v>9622</v>
      </c>
      <c r="E1358" s="4" t="s">
        <v>4286</v>
      </c>
      <c r="F1358" s="4" t="s">
        <v>4876</v>
      </c>
      <c r="G1358" s="4">
        <v>2023</v>
      </c>
      <c r="H1358" s="25">
        <v>45115</v>
      </c>
      <c r="K1358" s="4" t="s">
        <v>4289</v>
      </c>
    </row>
    <row r="1359" spans="1:11" ht="15.75" customHeight="1">
      <c r="A1359" s="4">
        <v>38238927</v>
      </c>
      <c r="B1359" s="4" t="s">
        <v>9584</v>
      </c>
      <c r="C1359" s="4" t="s">
        <v>9585</v>
      </c>
      <c r="D1359" s="4" t="s">
        <v>10985</v>
      </c>
      <c r="E1359" s="4" t="s">
        <v>1745</v>
      </c>
      <c r="F1359" s="4" t="s">
        <v>9587</v>
      </c>
      <c r="G1359" s="4">
        <v>2024</v>
      </c>
      <c r="H1359" s="25">
        <v>45310</v>
      </c>
      <c r="K1359" s="4" t="s">
        <v>1746</v>
      </c>
    </row>
    <row r="1360" spans="1:11" ht="15.75" customHeight="1">
      <c r="A1360" s="4">
        <v>2911127</v>
      </c>
      <c r="B1360" s="4" t="s">
        <v>9593</v>
      </c>
      <c r="C1360" s="4" t="s">
        <v>9594</v>
      </c>
      <c r="D1360" s="4" t="s">
        <v>9595</v>
      </c>
      <c r="E1360" s="4" t="s">
        <v>2412</v>
      </c>
      <c r="F1360" s="4" t="s">
        <v>4891</v>
      </c>
      <c r="G1360" s="4">
        <v>1989</v>
      </c>
      <c r="H1360" s="25">
        <v>32540</v>
      </c>
      <c r="I1360" s="4" t="s">
        <v>9596</v>
      </c>
      <c r="K1360" s="4" t="s">
        <v>2417</v>
      </c>
    </row>
    <row r="1361" spans="1:11" ht="15.75" customHeight="1">
      <c r="A1361" s="4">
        <v>37649537</v>
      </c>
      <c r="B1361" s="4" t="s">
        <v>9626</v>
      </c>
      <c r="C1361" s="4" t="s">
        <v>9627</v>
      </c>
      <c r="D1361" s="4" t="s">
        <v>9628</v>
      </c>
      <c r="E1361" s="4" t="s">
        <v>3088</v>
      </c>
      <c r="F1361" s="4" t="s">
        <v>9629</v>
      </c>
      <c r="G1361" s="4">
        <v>2023</v>
      </c>
      <c r="H1361" s="25">
        <v>45169</v>
      </c>
      <c r="I1361" s="4" t="s">
        <v>9630</v>
      </c>
      <c r="K1361" s="4" t="s">
        <v>3089</v>
      </c>
    </row>
    <row r="1362" spans="1:11" ht="15.75" customHeight="1">
      <c r="A1362" s="4">
        <v>14742988</v>
      </c>
      <c r="B1362" s="4" t="s">
        <v>9631</v>
      </c>
      <c r="C1362" s="4" t="s">
        <v>9632</v>
      </c>
      <c r="D1362" s="4" t="s">
        <v>9633</v>
      </c>
      <c r="E1362" s="4" t="s">
        <v>2617</v>
      </c>
      <c r="F1362" s="4" t="s">
        <v>5445</v>
      </c>
      <c r="G1362" s="4">
        <v>2004</v>
      </c>
      <c r="H1362" s="25">
        <v>38013</v>
      </c>
      <c r="K1362" s="4" t="s">
        <v>2618</v>
      </c>
    </row>
    <row r="1363" spans="1:11" ht="15.75" customHeight="1">
      <c r="A1363" s="4">
        <v>33965190</v>
      </c>
      <c r="B1363" s="4" t="s">
        <v>9623</v>
      </c>
      <c r="C1363" s="4" t="s">
        <v>9624</v>
      </c>
      <c r="D1363" s="4" t="s">
        <v>9625</v>
      </c>
      <c r="E1363" s="4" t="s">
        <v>918</v>
      </c>
      <c r="F1363" s="4" t="s">
        <v>4876</v>
      </c>
      <c r="G1363" s="4">
        <v>2021</v>
      </c>
      <c r="H1363" s="25">
        <v>44325</v>
      </c>
      <c r="K1363" s="4" t="s">
        <v>919</v>
      </c>
    </row>
    <row r="1364" spans="1:11" ht="15.75" customHeight="1">
      <c r="A1364" s="4">
        <v>31798967</v>
      </c>
      <c r="B1364" s="4" t="s">
        <v>9640</v>
      </c>
      <c r="C1364" s="4" t="s">
        <v>9280</v>
      </c>
      <c r="D1364" s="4" t="s">
        <v>9641</v>
      </c>
      <c r="E1364" s="4" t="s">
        <v>2075</v>
      </c>
      <c r="F1364" s="4" t="s">
        <v>9282</v>
      </c>
      <c r="G1364" s="4">
        <v>2019</v>
      </c>
      <c r="H1364" s="25">
        <v>43804</v>
      </c>
      <c r="I1364" s="4" t="s">
        <v>9642</v>
      </c>
      <c r="K1364" s="4" t="s">
        <v>2080</v>
      </c>
    </row>
    <row r="1365" spans="1:11" ht="15.75" customHeight="1">
      <c r="A1365" s="4">
        <v>9174632</v>
      </c>
      <c r="B1365" s="4" t="s">
        <v>9611</v>
      </c>
      <c r="C1365" s="4" t="s">
        <v>9612</v>
      </c>
      <c r="D1365" s="4" t="s">
        <v>9613</v>
      </c>
      <c r="E1365" s="4" t="s">
        <v>2721</v>
      </c>
      <c r="F1365" s="4" t="s">
        <v>9614</v>
      </c>
      <c r="G1365" s="4">
        <v>1997</v>
      </c>
      <c r="H1365" s="25">
        <v>35551</v>
      </c>
      <c r="K1365" s="4" t="s">
        <v>2722</v>
      </c>
    </row>
    <row r="1366" spans="1:11" ht="15.75" customHeight="1">
      <c r="A1366" s="4">
        <v>37532126</v>
      </c>
      <c r="B1366" s="4" t="s">
        <v>7987</v>
      </c>
      <c r="C1366" s="4" t="s">
        <v>7988</v>
      </c>
      <c r="D1366" s="4" t="s">
        <v>10986</v>
      </c>
      <c r="E1366" s="4" t="s">
        <v>679</v>
      </c>
      <c r="F1366" s="4" t="s">
        <v>4851</v>
      </c>
      <c r="G1366" s="4">
        <v>2023</v>
      </c>
      <c r="H1366" s="25">
        <v>45140</v>
      </c>
      <c r="K1366" s="4" t="s">
        <v>680</v>
      </c>
    </row>
    <row r="1367" spans="1:11" ht="15.75" customHeight="1">
      <c r="A1367" s="4">
        <v>29679773</v>
      </c>
      <c r="B1367" s="4" t="s">
        <v>9615</v>
      </c>
      <c r="C1367" s="4" t="s">
        <v>9616</v>
      </c>
      <c r="D1367" s="4" t="s">
        <v>9617</v>
      </c>
      <c r="E1367" s="4" t="s">
        <v>875</v>
      </c>
      <c r="F1367" s="4" t="s">
        <v>5076</v>
      </c>
      <c r="G1367" s="4">
        <v>2018</v>
      </c>
      <c r="H1367" s="25">
        <v>43212</v>
      </c>
      <c r="I1367" s="4" t="s">
        <v>9618</v>
      </c>
      <c r="J1367" s="4" t="s">
        <v>9619</v>
      </c>
      <c r="K1367" s="4" t="s">
        <v>876</v>
      </c>
    </row>
    <row r="1368" spans="1:11" ht="15.75" customHeight="1">
      <c r="A1368" s="4">
        <v>21348118</v>
      </c>
      <c r="B1368" s="4" t="s">
        <v>9649</v>
      </c>
      <c r="C1368" s="4" t="s">
        <v>10987</v>
      </c>
      <c r="D1368" s="4" t="s">
        <v>9651</v>
      </c>
      <c r="E1368" s="4" t="s">
        <v>3245</v>
      </c>
      <c r="F1368" s="4" t="s">
        <v>9113</v>
      </c>
      <c r="G1368" s="4">
        <v>2007</v>
      </c>
      <c r="H1368" s="25">
        <v>39083</v>
      </c>
    </row>
    <row r="1369" spans="1:11" ht="15.75" customHeight="1">
      <c r="A1369" s="4">
        <v>34757063</v>
      </c>
      <c r="B1369" s="4" t="s">
        <v>9634</v>
      </c>
      <c r="C1369" s="4" t="s">
        <v>9635</v>
      </c>
      <c r="D1369" s="4" t="s">
        <v>9636</v>
      </c>
      <c r="E1369" s="4" t="s">
        <v>3212</v>
      </c>
      <c r="F1369" s="4" t="s">
        <v>8370</v>
      </c>
      <c r="G1369" s="4">
        <v>2022</v>
      </c>
      <c r="H1369" s="25">
        <v>44510</v>
      </c>
      <c r="K1369" s="4" t="s">
        <v>3213</v>
      </c>
    </row>
    <row r="1370" spans="1:11" ht="15.75" customHeight="1">
      <c r="A1370" s="4">
        <v>25462450</v>
      </c>
      <c r="B1370" s="4" t="s">
        <v>9659</v>
      </c>
      <c r="C1370" s="4" t="s">
        <v>9660</v>
      </c>
      <c r="D1370" s="4" t="s">
        <v>9661</v>
      </c>
      <c r="E1370" s="4" t="s">
        <v>1543</v>
      </c>
      <c r="F1370" s="4" t="s">
        <v>4855</v>
      </c>
      <c r="G1370" s="4">
        <v>2014</v>
      </c>
      <c r="H1370" s="25">
        <v>41976</v>
      </c>
      <c r="K1370" s="4" t="s">
        <v>1554</v>
      </c>
    </row>
    <row r="1371" spans="1:11" ht="15.75" customHeight="1">
      <c r="A1371" s="4">
        <v>34298243</v>
      </c>
      <c r="B1371" s="4" t="s">
        <v>9637</v>
      </c>
      <c r="C1371" s="4" t="s">
        <v>9638</v>
      </c>
      <c r="D1371" s="4" t="s">
        <v>9639</v>
      </c>
      <c r="E1371" s="4" t="s">
        <v>4527</v>
      </c>
      <c r="F1371" s="4" t="s">
        <v>4876</v>
      </c>
      <c r="G1371" s="4">
        <v>2021</v>
      </c>
      <c r="H1371" s="25">
        <v>44400</v>
      </c>
      <c r="K1371" s="4" t="s">
        <v>4531</v>
      </c>
    </row>
    <row r="1372" spans="1:11" ht="15.75" customHeight="1">
      <c r="A1372" s="4">
        <v>28392330</v>
      </c>
      <c r="B1372" s="4" t="s">
        <v>9676</v>
      </c>
      <c r="C1372" s="4" t="s">
        <v>9677</v>
      </c>
      <c r="D1372" s="4" t="s">
        <v>9678</v>
      </c>
      <c r="E1372" s="4" t="s">
        <v>445</v>
      </c>
      <c r="F1372" s="4" t="s">
        <v>9679</v>
      </c>
      <c r="G1372" s="4">
        <v>2017</v>
      </c>
      <c r="H1372" s="25">
        <v>42836</v>
      </c>
      <c r="K1372" s="4" t="s">
        <v>446</v>
      </c>
    </row>
    <row r="1373" spans="1:11" ht="15.75" customHeight="1">
      <c r="A1373" s="4">
        <v>10968172</v>
      </c>
      <c r="B1373" s="4" t="s">
        <v>9646</v>
      </c>
      <c r="C1373" s="4" t="s">
        <v>9647</v>
      </c>
      <c r="D1373" s="4" t="s">
        <v>9648</v>
      </c>
      <c r="E1373" s="4" t="s">
        <v>1648</v>
      </c>
      <c r="F1373" s="4" t="s">
        <v>7915</v>
      </c>
      <c r="G1373" s="4">
        <v>1998</v>
      </c>
      <c r="H1373" s="25">
        <v>36770</v>
      </c>
    </row>
    <row r="1374" spans="1:11" ht="15.75" customHeight="1">
      <c r="A1374" s="4">
        <v>27364410</v>
      </c>
      <c r="B1374" s="4" t="s">
        <v>9643</v>
      </c>
      <c r="C1374" s="4" t="s">
        <v>9644</v>
      </c>
      <c r="D1374" s="4" t="s">
        <v>9645</v>
      </c>
      <c r="E1374" s="4" t="s">
        <v>184</v>
      </c>
      <c r="F1374" s="4" t="s">
        <v>4923</v>
      </c>
      <c r="G1374" s="4">
        <v>2017</v>
      </c>
      <c r="H1374" s="25">
        <v>42553</v>
      </c>
      <c r="K1374" s="4" t="s">
        <v>365</v>
      </c>
    </row>
    <row r="1375" spans="1:11" ht="15.75" customHeight="1">
      <c r="A1375" s="4">
        <v>28443092</v>
      </c>
      <c r="B1375" s="4" t="s">
        <v>9699</v>
      </c>
      <c r="C1375" s="4" t="s">
        <v>9700</v>
      </c>
      <c r="D1375" s="4" t="s">
        <v>9701</v>
      </c>
      <c r="E1375" s="4" t="s">
        <v>3927</v>
      </c>
      <c r="F1375" s="4" t="s">
        <v>4912</v>
      </c>
      <c r="G1375" s="4">
        <v>2017</v>
      </c>
      <c r="H1375" s="25">
        <v>42852</v>
      </c>
      <c r="I1375" s="4" t="s">
        <v>9702</v>
      </c>
      <c r="K1375" s="4" t="s">
        <v>3930</v>
      </c>
    </row>
    <row r="1376" spans="1:11" ht="15.75" customHeight="1">
      <c r="A1376" s="4">
        <v>21328386</v>
      </c>
      <c r="B1376" s="4" t="s">
        <v>9656</v>
      </c>
      <c r="C1376" s="4" t="s">
        <v>9657</v>
      </c>
      <c r="D1376" s="4" t="s">
        <v>9658</v>
      </c>
      <c r="E1376" s="4" t="s">
        <v>151</v>
      </c>
      <c r="F1376" s="4" t="s">
        <v>4923</v>
      </c>
      <c r="G1376" s="4">
        <v>2011</v>
      </c>
      <c r="H1376" s="25">
        <v>40592</v>
      </c>
      <c r="K1376" s="4" t="s">
        <v>806</v>
      </c>
    </row>
    <row r="1377" spans="1:11" ht="15.75" customHeight="1">
      <c r="A1377" s="4">
        <v>25015512</v>
      </c>
      <c r="B1377" s="4" t="s">
        <v>9665</v>
      </c>
      <c r="C1377" s="4" t="s">
        <v>9666</v>
      </c>
      <c r="D1377" s="4" t="s">
        <v>9667</v>
      </c>
      <c r="E1377" s="4" t="s">
        <v>3646</v>
      </c>
      <c r="F1377" s="4" t="s">
        <v>9668</v>
      </c>
      <c r="G1377" s="4">
        <v>2014</v>
      </c>
      <c r="H1377" s="25">
        <v>41833</v>
      </c>
      <c r="K1377" s="4" t="s">
        <v>3647</v>
      </c>
    </row>
    <row r="1378" spans="1:11" ht="15.75" customHeight="1">
      <c r="A1378" s="4">
        <v>12858204</v>
      </c>
      <c r="B1378" s="4" t="s">
        <v>9662</v>
      </c>
      <c r="C1378" s="4" t="s">
        <v>9663</v>
      </c>
      <c r="D1378" s="4" t="s">
        <v>9664</v>
      </c>
      <c r="E1378" s="4" t="s">
        <v>1003</v>
      </c>
      <c r="F1378" s="4" t="s">
        <v>4863</v>
      </c>
      <c r="G1378" s="4">
        <v>2003</v>
      </c>
      <c r="H1378" s="25">
        <v>37817</v>
      </c>
      <c r="K1378" s="4" t="s">
        <v>1004</v>
      </c>
    </row>
    <row r="1379" spans="1:11" ht="15.75" customHeight="1">
      <c r="A1379" s="4">
        <v>37543212</v>
      </c>
      <c r="B1379" s="4" t="s">
        <v>9653</v>
      </c>
      <c r="C1379" s="4" t="s">
        <v>9654</v>
      </c>
      <c r="D1379" s="4" t="s">
        <v>9655</v>
      </c>
      <c r="E1379" s="4" t="s">
        <v>613</v>
      </c>
      <c r="F1379" s="4" t="s">
        <v>4876</v>
      </c>
      <c r="G1379" s="4">
        <v>2023</v>
      </c>
      <c r="H1379" s="25">
        <v>45143</v>
      </c>
      <c r="K1379" s="4" t="s">
        <v>2282</v>
      </c>
    </row>
    <row r="1380" spans="1:11" ht="15.75" customHeight="1">
      <c r="A1380" s="4">
        <v>8212853</v>
      </c>
      <c r="B1380" s="4" t="s">
        <v>9669</v>
      </c>
      <c r="C1380" s="4" t="s">
        <v>9670</v>
      </c>
      <c r="D1380" s="4" t="s">
        <v>9671</v>
      </c>
      <c r="E1380" s="4" t="s">
        <v>1341</v>
      </c>
      <c r="F1380" s="4" t="s">
        <v>5122</v>
      </c>
      <c r="G1380" s="4">
        <v>1993</v>
      </c>
      <c r="H1380" s="25">
        <v>34151</v>
      </c>
      <c r="K1380" s="4" t="s">
        <v>1352</v>
      </c>
    </row>
    <row r="1381" spans="1:11" ht="15.75" customHeight="1">
      <c r="A1381" s="4">
        <v>35371815</v>
      </c>
      <c r="B1381" s="4" t="s">
        <v>9672</v>
      </c>
      <c r="C1381" s="4" t="s">
        <v>9673</v>
      </c>
      <c r="D1381" s="4" t="s">
        <v>9674</v>
      </c>
      <c r="E1381" s="4" t="s">
        <v>4253</v>
      </c>
      <c r="F1381" s="4" t="s">
        <v>9165</v>
      </c>
      <c r="G1381" s="4">
        <v>2022</v>
      </c>
      <c r="H1381" s="25">
        <v>44655</v>
      </c>
      <c r="I1381" s="4" t="s">
        <v>9675</v>
      </c>
      <c r="K1381" s="4" t="s">
        <v>4254</v>
      </c>
    </row>
    <row r="1382" spans="1:11" ht="15.75" customHeight="1">
      <c r="A1382" s="4">
        <v>32386102</v>
      </c>
      <c r="B1382" s="4" t="s">
        <v>9683</v>
      </c>
      <c r="C1382" s="4" t="s">
        <v>9684</v>
      </c>
      <c r="D1382" s="4" t="s">
        <v>9685</v>
      </c>
      <c r="E1382" s="4" t="s">
        <v>258</v>
      </c>
      <c r="F1382" s="4" t="s">
        <v>9686</v>
      </c>
      <c r="G1382" s="4">
        <v>2020</v>
      </c>
      <c r="H1382" s="25">
        <v>43961</v>
      </c>
      <c r="I1382" s="4" t="s">
        <v>9687</v>
      </c>
      <c r="K1382" s="4" t="s">
        <v>389</v>
      </c>
    </row>
    <row r="1383" spans="1:11" ht="15.75" customHeight="1">
      <c r="A1383" s="4">
        <v>11339860</v>
      </c>
      <c r="B1383" s="4" t="s">
        <v>9688</v>
      </c>
      <c r="C1383" s="4" t="s">
        <v>9689</v>
      </c>
      <c r="D1383" s="4" t="s">
        <v>9690</v>
      </c>
      <c r="E1383" s="4" t="s">
        <v>1332</v>
      </c>
      <c r="F1383" s="4" t="s">
        <v>9691</v>
      </c>
      <c r="G1383" s="4">
        <v>2001</v>
      </c>
      <c r="H1383" s="25">
        <v>37019</v>
      </c>
      <c r="K1383" s="4" t="s">
        <v>1333</v>
      </c>
    </row>
    <row r="1384" spans="1:11" ht="15.75" customHeight="1">
      <c r="A1384" s="4">
        <v>20487415</v>
      </c>
      <c r="B1384" s="4" t="s">
        <v>9692</v>
      </c>
      <c r="C1384" s="4" t="s">
        <v>9693</v>
      </c>
      <c r="D1384" s="4" t="s">
        <v>9694</v>
      </c>
      <c r="E1384" s="4" t="s">
        <v>1175</v>
      </c>
      <c r="F1384" s="4" t="s">
        <v>4974</v>
      </c>
      <c r="G1384" s="4">
        <v>2010</v>
      </c>
      <c r="H1384" s="25">
        <v>40320</v>
      </c>
      <c r="K1384" s="4" t="s">
        <v>1176</v>
      </c>
    </row>
    <row r="1385" spans="1:11" ht="15.75" customHeight="1">
      <c r="A1385" s="4">
        <v>22497528</v>
      </c>
      <c r="B1385" s="4" t="s">
        <v>9695</v>
      </c>
      <c r="C1385" s="4" t="s">
        <v>9696</v>
      </c>
      <c r="D1385" s="4" t="s">
        <v>9697</v>
      </c>
      <c r="E1385" s="4" t="s">
        <v>1425</v>
      </c>
      <c r="F1385" s="4" t="s">
        <v>9698</v>
      </c>
      <c r="G1385" s="4">
        <v>2012</v>
      </c>
      <c r="H1385" s="25">
        <v>41013</v>
      </c>
      <c r="K1385" s="4" t="s">
        <v>1426</v>
      </c>
    </row>
    <row r="1386" spans="1:11" ht="15.75" customHeight="1">
      <c r="A1386" s="4">
        <v>36110128</v>
      </c>
      <c r="B1386" s="4" t="s">
        <v>9709</v>
      </c>
      <c r="C1386" s="4" t="s">
        <v>9710</v>
      </c>
      <c r="D1386" s="4" t="s">
        <v>9711</v>
      </c>
      <c r="E1386" s="4" t="s">
        <v>733</v>
      </c>
      <c r="F1386" s="4" t="s">
        <v>9356</v>
      </c>
      <c r="G1386" s="4">
        <v>2022</v>
      </c>
      <c r="H1386" s="25">
        <v>44820</v>
      </c>
      <c r="I1386" s="4" t="s">
        <v>9712</v>
      </c>
      <c r="K1386" s="4" t="s">
        <v>734</v>
      </c>
    </row>
    <row r="1387" spans="1:11" ht="15.75" customHeight="1">
      <c r="A1387" s="4">
        <v>16387127</v>
      </c>
      <c r="B1387" s="4" t="s">
        <v>9530</v>
      </c>
      <c r="C1387" s="4" t="s">
        <v>9531</v>
      </c>
      <c r="D1387" s="4" t="s">
        <v>9532</v>
      </c>
      <c r="E1387" s="4" t="s">
        <v>2255</v>
      </c>
      <c r="F1387" s="4" t="s">
        <v>5696</v>
      </c>
      <c r="G1387" s="4">
        <v>2005</v>
      </c>
      <c r="H1387" s="25">
        <v>38720</v>
      </c>
      <c r="K1387" s="4" t="s">
        <v>2256</v>
      </c>
    </row>
    <row r="1388" spans="1:11" ht="15.75" customHeight="1">
      <c r="A1388" s="4">
        <v>20414752</v>
      </c>
      <c r="B1388" s="4" t="s">
        <v>9707</v>
      </c>
      <c r="C1388" s="4" t="s">
        <v>7324</v>
      </c>
      <c r="D1388" s="4" t="s">
        <v>9708</v>
      </c>
      <c r="E1388" s="4" t="s">
        <v>249</v>
      </c>
      <c r="F1388" s="4" t="s">
        <v>4927</v>
      </c>
      <c r="G1388" s="4">
        <v>2010</v>
      </c>
      <c r="H1388" s="25">
        <v>40292</v>
      </c>
      <c r="K1388" s="4" t="s">
        <v>2996</v>
      </c>
    </row>
    <row r="1389" spans="1:11" ht="15.75" customHeight="1">
      <c r="A1389" s="4">
        <v>27928011</v>
      </c>
      <c r="B1389" s="4" t="s">
        <v>9703</v>
      </c>
      <c r="C1389" s="4" t="s">
        <v>9704</v>
      </c>
      <c r="D1389" s="4" t="s">
        <v>9705</v>
      </c>
      <c r="E1389" s="4" t="s">
        <v>2465</v>
      </c>
      <c r="F1389" s="4" t="s">
        <v>4891</v>
      </c>
      <c r="G1389" s="4">
        <v>2017</v>
      </c>
      <c r="H1389" s="25">
        <v>42713</v>
      </c>
      <c r="I1389" s="4" t="s">
        <v>9706</v>
      </c>
      <c r="K1389" s="4" t="s">
        <v>2466</v>
      </c>
    </row>
    <row r="1390" spans="1:11" ht="15.75" customHeight="1">
      <c r="A1390" s="4">
        <v>23816504</v>
      </c>
      <c r="B1390" s="4" t="s">
        <v>9713</v>
      </c>
      <c r="C1390" s="4" t="s">
        <v>9714</v>
      </c>
      <c r="D1390" s="4" t="s">
        <v>9715</v>
      </c>
      <c r="E1390" s="4" t="s">
        <v>1852</v>
      </c>
      <c r="F1390" s="4" t="s">
        <v>9716</v>
      </c>
      <c r="G1390" s="4">
        <v>2014</v>
      </c>
      <c r="H1390" s="25">
        <v>41458</v>
      </c>
      <c r="K1390" s="4" t="s">
        <v>1855</v>
      </c>
    </row>
    <row r="1391" spans="1:11" ht="15.75" customHeight="1">
      <c r="A1391" s="4">
        <v>12355385</v>
      </c>
      <c r="B1391" s="4" t="s">
        <v>9721</v>
      </c>
      <c r="C1391" s="4" t="s">
        <v>9722</v>
      </c>
      <c r="D1391" s="4" t="s">
        <v>9723</v>
      </c>
      <c r="E1391" s="4" t="s">
        <v>3695</v>
      </c>
      <c r="F1391" s="4" t="s">
        <v>5080</v>
      </c>
      <c r="G1391" s="4">
        <v>2002</v>
      </c>
      <c r="H1391" s="25">
        <v>37531</v>
      </c>
      <c r="K1391" s="4" t="s">
        <v>3712</v>
      </c>
    </row>
    <row r="1392" spans="1:11" ht="15.75" customHeight="1">
      <c r="A1392" s="4">
        <v>9366423</v>
      </c>
      <c r="B1392" s="4" t="s">
        <v>9724</v>
      </c>
      <c r="C1392" s="4" t="s">
        <v>9725</v>
      </c>
      <c r="D1392" s="4" t="s">
        <v>9726</v>
      </c>
      <c r="E1392" s="4" t="s">
        <v>1228</v>
      </c>
      <c r="F1392" s="4" t="s">
        <v>6293</v>
      </c>
      <c r="G1392" s="4">
        <v>1997</v>
      </c>
      <c r="H1392" s="25">
        <v>35754</v>
      </c>
    </row>
    <row r="1393" spans="1:11" ht="15.75" customHeight="1">
      <c r="A1393" s="4">
        <v>33917715</v>
      </c>
      <c r="B1393" s="4" t="s">
        <v>9740</v>
      </c>
      <c r="C1393" s="4" t="s">
        <v>9741</v>
      </c>
      <c r="D1393" s="4" t="s">
        <v>9742</v>
      </c>
      <c r="E1393" s="4" t="s">
        <v>742</v>
      </c>
      <c r="F1393" s="4" t="s">
        <v>9231</v>
      </c>
      <c r="G1393" s="4">
        <v>2021</v>
      </c>
      <c r="H1393" s="25">
        <v>44316</v>
      </c>
      <c r="I1393" s="4" t="s">
        <v>9743</v>
      </c>
      <c r="K1393" s="4" t="s">
        <v>743</v>
      </c>
    </row>
    <row r="1394" spans="1:11" ht="15.75" customHeight="1">
      <c r="A1394" s="4">
        <v>32401076</v>
      </c>
      <c r="B1394" s="4" t="s">
        <v>9730</v>
      </c>
      <c r="C1394" s="4" t="s">
        <v>9731</v>
      </c>
      <c r="D1394" s="4" t="s">
        <v>9732</v>
      </c>
      <c r="E1394" s="4" t="s">
        <v>4055</v>
      </c>
      <c r="F1394" s="4" t="s">
        <v>9259</v>
      </c>
      <c r="G1394" s="4">
        <v>2022</v>
      </c>
      <c r="H1394" s="25">
        <v>43965</v>
      </c>
      <c r="I1394" s="4" t="s">
        <v>9733</v>
      </c>
      <c r="J1394" s="4" t="s">
        <v>9734</v>
      </c>
      <c r="K1394" s="4" t="s">
        <v>4056</v>
      </c>
    </row>
    <row r="1395" spans="1:11" ht="15.75" customHeight="1">
      <c r="A1395" s="4">
        <v>26920464</v>
      </c>
      <c r="B1395" s="4" t="s">
        <v>9735</v>
      </c>
      <c r="C1395" s="4" t="s">
        <v>9736</v>
      </c>
      <c r="D1395" s="4" t="s">
        <v>9737</v>
      </c>
      <c r="E1395" s="4" t="s">
        <v>772</v>
      </c>
      <c r="F1395" s="4" t="s">
        <v>9679</v>
      </c>
      <c r="G1395" s="4">
        <v>2016</v>
      </c>
      <c r="H1395" s="25">
        <v>42428</v>
      </c>
      <c r="I1395" s="4" t="s">
        <v>9738</v>
      </c>
      <c r="J1395" s="4" t="s">
        <v>9739</v>
      </c>
      <c r="K1395" s="4" t="s">
        <v>773</v>
      </c>
    </row>
    <row r="1396" spans="1:11" ht="15.75" customHeight="1">
      <c r="A1396" s="4">
        <v>2824914</v>
      </c>
      <c r="B1396" s="4" t="s">
        <v>9744</v>
      </c>
      <c r="C1396" s="4" t="s">
        <v>9745</v>
      </c>
      <c r="D1396" s="4" t="s">
        <v>9746</v>
      </c>
      <c r="E1396" s="4" t="s">
        <v>1330</v>
      </c>
      <c r="F1396" s="4" t="s">
        <v>9747</v>
      </c>
      <c r="G1396" s="4">
        <v>1987</v>
      </c>
      <c r="H1396" s="25">
        <v>32082</v>
      </c>
    </row>
    <row r="1397" spans="1:11" ht="15.75" customHeight="1">
      <c r="A1397" s="4">
        <v>1337559</v>
      </c>
      <c r="B1397" s="4" t="s">
        <v>9753</v>
      </c>
      <c r="C1397" s="4" t="s">
        <v>9754</v>
      </c>
      <c r="D1397" s="4" t="s">
        <v>9755</v>
      </c>
      <c r="E1397" s="4" t="s">
        <v>3461</v>
      </c>
      <c r="F1397" s="4" t="s">
        <v>5031</v>
      </c>
      <c r="G1397" s="4">
        <v>1992</v>
      </c>
      <c r="H1397" s="25">
        <v>33909</v>
      </c>
    </row>
    <row r="1398" spans="1:11" ht="15.75" customHeight="1">
      <c r="A1398" s="4">
        <v>32036434</v>
      </c>
      <c r="B1398" s="4" t="s">
        <v>9764</v>
      </c>
      <c r="C1398" s="4" t="s">
        <v>9765</v>
      </c>
      <c r="D1398" s="4" t="s">
        <v>9766</v>
      </c>
      <c r="E1398" s="4" t="s">
        <v>147</v>
      </c>
      <c r="F1398" s="4" t="s">
        <v>9767</v>
      </c>
      <c r="G1398" s="4">
        <v>2020</v>
      </c>
      <c r="H1398" s="25">
        <v>43871</v>
      </c>
      <c r="K1398" s="4" t="s">
        <v>736</v>
      </c>
    </row>
    <row r="1399" spans="1:11" ht="15.75" customHeight="1">
      <c r="A1399" s="4">
        <v>20851868</v>
      </c>
      <c r="B1399" s="4" t="s">
        <v>9756</v>
      </c>
      <c r="C1399" s="4" t="s">
        <v>9757</v>
      </c>
      <c r="D1399" s="4" t="s">
        <v>9758</v>
      </c>
      <c r="E1399" s="4" t="s">
        <v>872</v>
      </c>
      <c r="F1399" s="4" t="s">
        <v>6289</v>
      </c>
      <c r="G1399" s="4">
        <v>2011</v>
      </c>
      <c r="H1399" s="25">
        <v>40442</v>
      </c>
      <c r="I1399" s="4" t="s">
        <v>9759</v>
      </c>
      <c r="K1399" s="4" t="s">
        <v>873</v>
      </c>
    </row>
    <row r="1400" spans="1:11" ht="15.75" customHeight="1">
      <c r="A1400" s="4">
        <v>2548350</v>
      </c>
      <c r="B1400" s="4" t="s">
        <v>9760</v>
      </c>
      <c r="C1400" s="4" t="s">
        <v>9761</v>
      </c>
      <c r="D1400" s="4" t="s">
        <v>9762</v>
      </c>
      <c r="E1400" s="4" t="s">
        <v>2864</v>
      </c>
      <c r="F1400" s="4" t="s">
        <v>9763</v>
      </c>
      <c r="G1400" s="4">
        <v>1989</v>
      </c>
      <c r="H1400" s="25">
        <v>32682</v>
      </c>
    </row>
    <row r="1401" spans="1:11" ht="15.75" customHeight="1">
      <c r="A1401" s="4">
        <v>33088521</v>
      </c>
      <c r="B1401" s="4" t="s">
        <v>9772</v>
      </c>
      <c r="C1401" s="4" t="s">
        <v>9773</v>
      </c>
      <c r="D1401" s="4" t="s">
        <v>9774</v>
      </c>
      <c r="E1401" s="4" t="s">
        <v>2911</v>
      </c>
      <c r="F1401" s="4" t="s">
        <v>9775</v>
      </c>
      <c r="G1401" s="4">
        <v>2020</v>
      </c>
      <c r="H1401" s="25">
        <v>44126</v>
      </c>
      <c r="I1401" s="4" t="s">
        <v>9776</v>
      </c>
      <c r="K1401" s="4" t="s">
        <v>2912</v>
      </c>
    </row>
    <row r="1402" spans="1:11" ht="15.75" customHeight="1">
      <c r="A1402" s="4">
        <v>31554674</v>
      </c>
      <c r="B1402" s="4" t="s">
        <v>9777</v>
      </c>
      <c r="C1402" s="4" t="s">
        <v>9778</v>
      </c>
      <c r="D1402" s="4" t="s">
        <v>9779</v>
      </c>
      <c r="E1402" s="4" t="s">
        <v>1514</v>
      </c>
      <c r="F1402" s="4" t="s">
        <v>5331</v>
      </c>
      <c r="G1402" s="4">
        <v>2019</v>
      </c>
      <c r="H1402" s="25">
        <v>43735</v>
      </c>
      <c r="I1402" s="4" t="s">
        <v>9780</v>
      </c>
      <c r="K1402" s="4" t="s">
        <v>1515</v>
      </c>
    </row>
    <row r="1403" spans="1:11" ht="15.75" customHeight="1">
      <c r="A1403" s="4">
        <v>28452096</v>
      </c>
      <c r="B1403" s="4" t="s">
        <v>9792</v>
      </c>
      <c r="C1403" s="4" t="s">
        <v>9793</v>
      </c>
      <c r="D1403" s="4" t="s">
        <v>9794</v>
      </c>
      <c r="E1403" s="4" t="s">
        <v>1942</v>
      </c>
      <c r="F1403" s="4" t="s">
        <v>5543</v>
      </c>
      <c r="G1403" s="4">
        <v>2017</v>
      </c>
      <c r="H1403" s="25">
        <v>42854</v>
      </c>
      <c r="K1403" s="4" t="s">
        <v>1943</v>
      </c>
    </row>
    <row r="1404" spans="1:11" ht="15.75" customHeight="1">
      <c r="A1404" s="4">
        <v>18628071</v>
      </c>
      <c r="B1404" s="4" t="s">
        <v>9768</v>
      </c>
      <c r="C1404" s="4" t="s">
        <v>9769</v>
      </c>
      <c r="D1404" s="4" t="s">
        <v>9770</v>
      </c>
      <c r="E1404" s="4" t="s">
        <v>4358</v>
      </c>
      <c r="F1404" s="4" t="s">
        <v>9771</v>
      </c>
      <c r="G1404" s="4">
        <v>2008</v>
      </c>
      <c r="H1404" s="25">
        <v>39646</v>
      </c>
      <c r="K1404" s="4" t="s">
        <v>4359</v>
      </c>
    </row>
    <row r="1405" spans="1:11" ht="15.75" customHeight="1">
      <c r="A1405" s="4">
        <v>34523191</v>
      </c>
      <c r="B1405" s="4" t="s">
        <v>9781</v>
      </c>
      <c r="C1405" s="4" t="s">
        <v>9782</v>
      </c>
      <c r="D1405" s="4" t="s">
        <v>9783</v>
      </c>
      <c r="E1405" s="4" t="s">
        <v>147</v>
      </c>
      <c r="F1405" s="4" t="s">
        <v>8121</v>
      </c>
      <c r="G1405" s="4">
        <v>2023</v>
      </c>
      <c r="H1405" s="25">
        <v>44454</v>
      </c>
      <c r="K1405" s="4" t="s">
        <v>386</v>
      </c>
    </row>
    <row r="1406" spans="1:11" ht="15.75" customHeight="1">
      <c r="A1406" s="4">
        <v>27307972</v>
      </c>
      <c r="B1406" s="4" t="s">
        <v>9806</v>
      </c>
      <c r="C1406" s="4" t="s">
        <v>9807</v>
      </c>
      <c r="D1406" s="4" t="s">
        <v>9808</v>
      </c>
      <c r="E1406" s="4" t="s">
        <v>2688</v>
      </c>
      <c r="F1406" s="4" t="s">
        <v>9809</v>
      </c>
      <c r="G1406" s="4">
        <v>2016</v>
      </c>
      <c r="H1406" s="25">
        <v>42538</v>
      </c>
      <c r="I1406" s="4" t="s">
        <v>9810</v>
      </c>
      <c r="K1406" s="4" t="s">
        <v>2689</v>
      </c>
    </row>
    <row r="1407" spans="1:11" ht="15.75" customHeight="1">
      <c r="A1407" s="4">
        <v>29020348</v>
      </c>
      <c r="B1407" s="4" t="s">
        <v>9802</v>
      </c>
      <c r="C1407" s="4" t="s">
        <v>9803</v>
      </c>
      <c r="D1407" s="4" t="s">
        <v>9804</v>
      </c>
      <c r="E1407" s="4" t="s">
        <v>221</v>
      </c>
      <c r="F1407" s="4" t="s">
        <v>5080</v>
      </c>
      <c r="G1407" s="4">
        <v>2018</v>
      </c>
      <c r="H1407" s="25">
        <v>43020</v>
      </c>
      <c r="I1407" s="4" t="s">
        <v>9805</v>
      </c>
      <c r="K1407" s="4" t="s">
        <v>353</v>
      </c>
    </row>
    <row r="1408" spans="1:11" ht="15.75" customHeight="1">
      <c r="A1408" s="4">
        <v>25807050</v>
      </c>
      <c r="B1408" s="4" t="s">
        <v>9784</v>
      </c>
      <c r="C1408" s="4" t="s">
        <v>9785</v>
      </c>
      <c r="D1408" s="4" t="s">
        <v>9786</v>
      </c>
      <c r="E1408" s="4" t="s">
        <v>672</v>
      </c>
      <c r="F1408" s="4" t="s">
        <v>4842</v>
      </c>
      <c r="G1408" s="4">
        <v>2015</v>
      </c>
      <c r="H1408" s="25">
        <v>42089</v>
      </c>
      <c r="I1408" s="4" t="s">
        <v>9787</v>
      </c>
      <c r="K1408" s="4" t="s">
        <v>675</v>
      </c>
    </row>
    <row r="1409" spans="1:11" ht="15.75" customHeight="1">
      <c r="A1409" s="4">
        <v>29528545</v>
      </c>
      <c r="B1409" s="4" t="s">
        <v>9788</v>
      </c>
      <c r="C1409" s="4" t="s">
        <v>9789</v>
      </c>
      <c r="D1409" s="4" t="s">
        <v>9790</v>
      </c>
      <c r="E1409" s="4" t="s">
        <v>1149</v>
      </c>
      <c r="F1409" s="4" t="s">
        <v>9791</v>
      </c>
      <c r="G1409" s="4">
        <v>2018</v>
      </c>
      <c r="H1409" s="25">
        <v>43172</v>
      </c>
      <c r="K1409" s="4" t="s">
        <v>1150</v>
      </c>
    </row>
    <row r="1410" spans="1:11" ht="15.75" customHeight="1">
      <c r="A1410" s="4">
        <v>37181429</v>
      </c>
      <c r="B1410" s="4" t="s">
        <v>9606</v>
      </c>
      <c r="C1410" s="4" t="s">
        <v>9607</v>
      </c>
      <c r="D1410" s="4" t="s">
        <v>9608</v>
      </c>
      <c r="E1410" s="4" t="s">
        <v>4450</v>
      </c>
      <c r="F1410" s="4" t="s">
        <v>9609</v>
      </c>
      <c r="G1410" s="4">
        <v>2023</v>
      </c>
      <c r="H1410" s="25">
        <v>45060</v>
      </c>
      <c r="I1410" s="4" t="s">
        <v>9610</v>
      </c>
      <c r="K1410" s="4" t="s">
        <v>4451</v>
      </c>
    </row>
    <row r="1411" spans="1:11" ht="15.75" customHeight="1">
      <c r="A1411" s="4">
        <v>26555946</v>
      </c>
      <c r="B1411" s="4" t="s">
        <v>9795</v>
      </c>
      <c r="C1411" s="4" t="s">
        <v>9796</v>
      </c>
      <c r="D1411" s="4" t="s">
        <v>9797</v>
      </c>
      <c r="E1411" s="4" t="s">
        <v>127</v>
      </c>
      <c r="F1411" s="4" t="s">
        <v>5445</v>
      </c>
      <c r="G1411" s="4">
        <v>2016</v>
      </c>
      <c r="H1411" s="25">
        <v>42320</v>
      </c>
      <c r="K1411" s="4" t="s">
        <v>339</v>
      </c>
    </row>
    <row r="1412" spans="1:11" ht="15.75" customHeight="1">
      <c r="A1412" s="4">
        <v>37279857</v>
      </c>
      <c r="B1412" s="4" t="s">
        <v>9855</v>
      </c>
      <c r="C1412" s="4" t="s">
        <v>9856</v>
      </c>
      <c r="D1412" s="4" t="s">
        <v>9857</v>
      </c>
      <c r="E1412" s="4" t="s">
        <v>835</v>
      </c>
      <c r="F1412" s="4" t="s">
        <v>4876</v>
      </c>
      <c r="G1412" s="4">
        <v>2023</v>
      </c>
      <c r="H1412" s="25">
        <v>45083</v>
      </c>
      <c r="K1412" s="4" t="s">
        <v>836</v>
      </c>
    </row>
    <row r="1413" spans="1:11" ht="15.75" customHeight="1">
      <c r="A1413" s="4">
        <v>21348077</v>
      </c>
      <c r="B1413" s="4" t="s">
        <v>9816</v>
      </c>
      <c r="C1413" s="4" t="s">
        <v>9817</v>
      </c>
      <c r="D1413" s="4" t="s">
        <v>9818</v>
      </c>
      <c r="E1413" s="4" t="s">
        <v>4096</v>
      </c>
      <c r="F1413" s="4" t="s">
        <v>9113</v>
      </c>
      <c r="G1413" s="4">
        <v>2007</v>
      </c>
      <c r="H1413" s="25">
        <v>39083</v>
      </c>
    </row>
    <row r="1414" spans="1:11" ht="15.75" customHeight="1">
      <c r="A1414" s="4">
        <v>32201900</v>
      </c>
      <c r="B1414" s="4" t="s">
        <v>9798</v>
      </c>
      <c r="C1414" s="4" t="s">
        <v>9799</v>
      </c>
      <c r="D1414" s="4" t="s">
        <v>9800</v>
      </c>
      <c r="E1414" s="4" t="s">
        <v>3225</v>
      </c>
      <c r="F1414" s="4" t="s">
        <v>6990</v>
      </c>
      <c r="G1414" s="4">
        <v>2020</v>
      </c>
      <c r="H1414" s="25">
        <v>43914</v>
      </c>
      <c r="I1414" s="4" t="s">
        <v>9801</v>
      </c>
      <c r="K1414" s="4" t="s">
        <v>3230</v>
      </c>
    </row>
    <row r="1415" spans="1:11" ht="15.75" customHeight="1">
      <c r="A1415" s="4">
        <v>11964800</v>
      </c>
      <c r="B1415" s="4" t="s">
        <v>9824</v>
      </c>
      <c r="C1415" s="4" t="s">
        <v>7130</v>
      </c>
      <c r="D1415" s="4" t="s">
        <v>9825</v>
      </c>
      <c r="E1415" s="4" t="s">
        <v>4017</v>
      </c>
      <c r="F1415" s="4" t="s">
        <v>5035</v>
      </c>
      <c r="G1415" s="4">
        <v>2000</v>
      </c>
      <c r="H1415" s="25">
        <v>37366</v>
      </c>
      <c r="K1415" s="4" t="s">
        <v>4033</v>
      </c>
    </row>
    <row r="1416" spans="1:11" ht="15.75" customHeight="1">
      <c r="A1416" s="4">
        <v>29297965</v>
      </c>
      <c r="B1416" s="4" t="s">
        <v>9867</v>
      </c>
      <c r="C1416" s="4" t="s">
        <v>9868</v>
      </c>
      <c r="D1416" s="4" t="s">
        <v>9869</v>
      </c>
      <c r="E1416" s="4" t="s">
        <v>468</v>
      </c>
      <c r="F1416" s="4" t="s">
        <v>5543</v>
      </c>
      <c r="G1416" s="4">
        <v>2018</v>
      </c>
      <c r="H1416" s="25">
        <v>43104</v>
      </c>
      <c r="I1416" s="4" t="s">
        <v>9870</v>
      </c>
      <c r="K1416" s="4" t="s">
        <v>469</v>
      </c>
    </row>
    <row r="1417" spans="1:11" ht="15.75" customHeight="1">
      <c r="A1417" s="4">
        <v>33311918</v>
      </c>
      <c r="B1417" s="4" t="s">
        <v>9811</v>
      </c>
      <c r="C1417" s="4" t="s">
        <v>9812</v>
      </c>
      <c r="D1417" s="4" t="s">
        <v>9813</v>
      </c>
      <c r="E1417" s="4" t="s">
        <v>1772</v>
      </c>
      <c r="F1417" s="4" t="s">
        <v>9814</v>
      </c>
      <c r="G1417" s="4">
        <v>2020</v>
      </c>
      <c r="H1417" s="25">
        <v>44179</v>
      </c>
      <c r="I1417" s="4" t="s">
        <v>9815</v>
      </c>
      <c r="K1417" s="4" t="s">
        <v>1777</v>
      </c>
    </row>
    <row r="1418" spans="1:11" ht="15.75" customHeight="1">
      <c r="A1418" s="4">
        <v>11342304</v>
      </c>
      <c r="B1418" s="4" t="s">
        <v>9834</v>
      </c>
      <c r="C1418" s="4" t="s">
        <v>9835</v>
      </c>
      <c r="D1418" s="4" t="s">
        <v>9836</v>
      </c>
      <c r="E1418" s="4" t="s">
        <v>254</v>
      </c>
      <c r="F1418" s="4" t="s">
        <v>5099</v>
      </c>
      <c r="G1418" s="4">
        <v>2000</v>
      </c>
      <c r="H1418" s="25">
        <v>37020</v>
      </c>
      <c r="K1418" s="4" t="s">
        <v>712</v>
      </c>
    </row>
    <row r="1419" spans="1:11" ht="15.75" customHeight="1">
      <c r="A1419" s="4">
        <v>17412968</v>
      </c>
      <c r="B1419" s="4" t="s">
        <v>9826</v>
      </c>
      <c r="C1419" s="4" t="s">
        <v>9827</v>
      </c>
      <c r="D1419" s="4" t="s">
        <v>9828</v>
      </c>
      <c r="E1419" s="4" t="s">
        <v>4175</v>
      </c>
      <c r="F1419" s="4" t="s">
        <v>4966</v>
      </c>
      <c r="G1419" s="4">
        <v>2007</v>
      </c>
      <c r="H1419" s="25">
        <v>39179</v>
      </c>
      <c r="K1419" s="4" t="s">
        <v>4178</v>
      </c>
    </row>
    <row r="1420" spans="1:11" ht="15.75" customHeight="1">
      <c r="A1420" s="4">
        <v>30742492</v>
      </c>
      <c r="B1420" s="4" t="s">
        <v>9819</v>
      </c>
      <c r="C1420" s="4" t="s">
        <v>9820</v>
      </c>
      <c r="D1420" s="4" t="s">
        <v>9821</v>
      </c>
      <c r="E1420" s="4" t="s">
        <v>1023</v>
      </c>
      <c r="F1420" s="4" t="s">
        <v>9822</v>
      </c>
      <c r="G1420" s="4">
        <v>2019</v>
      </c>
      <c r="H1420" s="25">
        <v>43508</v>
      </c>
      <c r="I1420" s="4" t="s">
        <v>9823</v>
      </c>
      <c r="K1420" s="4" t="s">
        <v>1024</v>
      </c>
    </row>
    <row r="1421" spans="1:11" ht="15.75" customHeight="1">
      <c r="A1421" s="4">
        <v>28668490</v>
      </c>
      <c r="B1421" s="4" t="s">
        <v>9829</v>
      </c>
      <c r="C1421" s="4" t="s">
        <v>9830</v>
      </c>
      <c r="D1421" s="4" t="s">
        <v>9831</v>
      </c>
      <c r="E1421" s="4" t="s">
        <v>645</v>
      </c>
      <c r="F1421" s="4" t="s">
        <v>5076</v>
      </c>
      <c r="G1421" s="4">
        <v>2017</v>
      </c>
      <c r="H1421" s="25">
        <v>42919</v>
      </c>
      <c r="I1421" s="4" t="s">
        <v>9832</v>
      </c>
      <c r="J1421" s="4" t="s">
        <v>9833</v>
      </c>
      <c r="K1421" s="4" t="s">
        <v>646</v>
      </c>
    </row>
    <row r="1422" spans="1:11" ht="15.75" customHeight="1">
      <c r="A1422" s="4">
        <v>29326672</v>
      </c>
      <c r="B1422" s="4" t="s">
        <v>9887</v>
      </c>
      <c r="C1422" s="4" t="s">
        <v>9888</v>
      </c>
      <c r="D1422" s="4" t="s">
        <v>9889</v>
      </c>
      <c r="E1422" s="4" t="s">
        <v>1533</v>
      </c>
      <c r="F1422" s="4" t="s">
        <v>9131</v>
      </c>
      <c r="G1422" s="4">
        <v>2017</v>
      </c>
      <c r="H1422" s="25">
        <v>43113</v>
      </c>
      <c r="I1422" s="4" t="s">
        <v>9890</v>
      </c>
      <c r="K1422" s="4" t="s">
        <v>1541</v>
      </c>
    </row>
    <row r="1423" spans="1:11" ht="15.75" customHeight="1">
      <c r="A1423" s="4">
        <v>23821512</v>
      </c>
      <c r="B1423" s="4" t="s">
        <v>9841</v>
      </c>
      <c r="C1423" s="4" t="s">
        <v>9842</v>
      </c>
      <c r="D1423" s="4" t="s">
        <v>9843</v>
      </c>
      <c r="E1423" s="4" t="s">
        <v>1681</v>
      </c>
      <c r="F1423" s="4" t="s">
        <v>9844</v>
      </c>
      <c r="G1423" s="4">
        <v>2013</v>
      </c>
      <c r="H1423" s="25">
        <v>41459</v>
      </c>
      <c r="K1423" s="4" t="s">
        <v>1682</v>
      </c>
    </row>
    <row r="1424" spans="1:11" ht="15.75" customHeight="1">
      <c r="A1424" s="4">
        <v>1893076</v>
      </c>
      <c r="B1424" s="4" t="s">
        <v>9848</v>
      </c>
      <c r="C1424" s="4" t="s">
        <v>9849</v>
      </c>
      <c r="D1424" s="4" t="s">
        <v>9850</v>
      </c>
      <c r="E1424" s="4" t="s">
        <v>2363</v>
      </c>
      <c r="F1424" s="4" t="s">
        <v>4954</v>
      </c>
      <c r="G1424" s="4">
        <v>1991</v>
      </c>
      <c r="H1424" s="25">
        <v>33359</v>
      </c>
    </row>
    <row r="1425" spans="1:11" ht="15.75" customHeight="1">
      <c r="A1425" s="4">
        <v>28390986</v>
      </c>
      <c r="B1425" s="4" t="s">
        <v>9845</v>
      </c>
      <c r="C1425" s="4" t="s">
        <v>9846</v>
      </c>
      <c r="D1425" s="4" t="s">
        <v>9847</v>
      </c>
      <c r="E1425" s="4" t="s">
        <v>548</v>
      </c>
      <c r="F1425" s="4" t="s">
        <v>5076</v>
      </c>
      <c r="G1425" s="4">
        <v>2017</v>
      </c>
      <c r="H1425" s="25">
        <v>42835</v>
      </c>
      <c r="K1425" s="4" t="s">
        <v>549</v>
      </c>
    </row>
    <row r="1426" spans="1:11" ht="15.75" customHeight="1">
      <c r="A1426" s="4">
        <v>37808908</v>
      </c>
      <c r="B1426" s="4" t="s">
        <v>9851</v>
      </c>
      <c r="C1426" s="4" t="s">
        <v>9852</v>
      </c>
      <c r="D1426" s="4" t="s">
        <v>9853</v>
      </c>
      <c r="E1426" s="4" t="s">
        <v>3776</v>
      </c>
      <c r="F1426" s="4" t="s">
        <v>9191</v>
      </c>
      <c r="G1426" s="4">
        <v>2023</v>
      </c>
      <c r="H1426" s="25">
        <v>45208</v>
      </c>
      <c r="I1426" s="4" t="s">
        <v>9854</v>
      </c>
      <c r="K1426" s="4" t="s">
        <v>3777</v>
      </c>
    </row>
    <row r="1427" spans="1:11" ht="15.75" customHeight="1">
      <c r="A1427" s="4">
        <v>31528583</v>
      </c>
      <c r="B1427" s="4" t="s">
        <v>9858</v>
      </c>
      <c r="C1427" s="4" t="s">
        <v>9859</v>
      </c>
      <c r="D1427" s="4" t="s">
        <v>9860</v>
      </c>
      <c r="E1427" s="4" t="s">
        <v>1797</v>
      </c>
      <c r="F1427" s="4" t="s">
        <v>9861</v>
      </c>
      <c r="G1427" s="4">
        <v>2012</v>
      </c>
      <c r="H1427" s="25">
        <v>43727</v>
      </c>
      <c r="I1427" s="4" t="s">
        <v>9862</v>
      </c>
      <c r="K1427" s="4" t="s">
        <v>1798</v>
      </c>
    </row>
    <row r="1428" spans="1:11" ht="15.75" customHeight="1">
      <c r="A1428" s="4">
        <v>25918347</v>
      </c>
      <c r="B1428" s="4" t="s">
        <v>9863</v>
      </c>
      <c r="C1428" s="4" t="s">
        <v>9864</v>
      </c>
      <c r="D1428" s="4" t="s">
        <v>9865</v>
      </c>
      <c r="E1428" s="4" t="s">
        <v>881</v>
      </c>
      <c r="F1428" s="4" t="s">
        <v>5343</v>
      </c>
      <c r="G1428" s="4">
        <v>2015</v>
      </c>
      <c r="H1428" s="25">
        <v>42123</v>
      </c>
      <c r="I1428" s="4" t="s">
        <v>9866</v>
      </c>
      <c r="K1428" s="4" t="s">
        <v>882</v>
      </c>
    </row>
    <row r="1429" spans="1:11" ht="15.75" customHeight="1">
      <c r="A1429" s="4">
        <v>24445302</v>
      </c>
      <c r="B1429" s="4" t="s">
        <v>9925</v>
      </c>
      <c r="C1429" s="4" t="s">
        <v>9926</v>
      </c>
      <c r="D1429" s="4" t="s">
        <v>9927</v>
      </c>
      <c r="E1429" s="4" t="s">
        <v>2349</v>
      </c>
      <c r="F1429" s="4" t="s">
        <v>9928</v>
      </c>
      <c r="G1429" s="4">
        <v>2014</v>
      </c>
      <c r="H1429" s="25">
        <v>41661</v>
      </c>
    </row>
    <row r="1430" spans="1:11" ht="15.75" customHeight="1">
      <c r="A1430" s="4">
        <v>22872823</v>
      </c>
      <c r="B1430" s="4" t="s">
        <v>9874</v>
      </c>
      <c r="C1430" s="4" t="s">
        <v>9875</v>
      </c>
      <c r="D1430" s="4" t="s">
        <v>9876</v>
      </c>
      <c r="E1430" s="4" t="s">
        <v>2322</v>
      </c>
      <c r="F1430" s="4" t="s">
        <v>9877</v>
      </c>
      <c r="G1430" s="4">
        <v>2012</v>
      </c>
      <c r="H1430" s="25">
        <v>41130</v>
      </c>
      <c r="I1430" s="4" t="s">
        <v>9878</v>
      </c>
      <c r="K1430" s="4" t="s">
        <v>2325</v>
      </c>
    </row>
    <row r="1431" spans="1:11" ht="15.75" customHeight="1">
      <c r="A1431" s="4">
        <v>8805707</v>
      </c>
      <c r="B1431" s="4" t="s">
        <v>9879</v>
      </c>
      <c r="C1431" s="4" t="s">
        <v>9880</v>
      </c>
      <c r="D1431" s="4" t="s">
        <v>9881</v>
      </c>
      <c r="E1431" s="4" t="s">
        <v>3660</v>
      </c>
      <c r="F1431" s="4" t="s">
        <v>4813</v>
      </c>
      <c r="G1431" s="4">
        <v>1996</v>
      </c>
      <c r="H1431" s="25">
        <v>35327</v>
      </c>
      <c r="K1431" s="4" t="s">
        <v>3661</v>
      </c>
    </row>
    <row r="1432" spans="1:11" ht="15.75" customHeight="1">
      <c r="A1432" s="4">
        <v>2542794</v>
      </c>
      <c r="B1432" s="4" t="s">
        <v>9894</v>
      </c>
      <c r="C1432" s="4" t="s">
        <v>9895</v>
      </c>
      <c r="D1432" s="4" t="s">
        <v>9896</v>
      </c>
      <c r="E1432" s="4" t="s">
        <v>3293</v>
      </c>
      <c r="F1432" s="4" t="s">
        <v>5377</v>
      </c>
      <c r="G1432" s="4">
        <v>1989</v>
      </c>
      <c r="H1432" s="25">
        <v>32667</v>
      </c>
    </row>
    <row r="1433" spans="1:11" ht="15.75" customHeight="1">
      <c r="A1433" s="4">
        <v>11996753</v>
      </c>
      <c r="B1433" s="4" t="s">
        <v>9882</v>
      </c>
      <c r="C1433" s="4" t="s">
        <v>7628</v>
      </c>
      <c r="D1433" s="4" t="s">
        <v>9883</v>
      </c>
      <c r="E1433" s="4" t="s">
        <v>2189</v>
      </c>
      <c r="F1433" s="4" t="s">
        <v>6913</v>
      </c>
      <c r="G1433" s="4">
        <v>2002</v>
      </c>
      <c r="H1433" s="25">
        <v>37385</v>
      </c>
      <c r="K1433" s="4" t="s">
        <v>2192</v>
      </c>
    </row>
    <row r="1434" spans="1:11" ht="15.75" customHeight="1">
      <c r="A1434" s="4">
        <v>19671120</v>
      </c>
      <c r="B1434" s="4" t="s">
        <v>9884</v>
      </c>
      <c r="C1434" s="4" t="s">
        <v>9885</v>
      </c>
      <c r="D1434" s="4" t="s">
        <v>9886</v>
      </c>
      <c r="E1434" s="4" t="s">
        <v>3543</v>
      </c>
      <c r="F1434" s="4" t="s">
        <v>4974</v>
      </c>
      <c r="G1434" s="4">
        <v>2009</v>
      </c>
      <c r="H1434" s="25">
        <v>40038</v>
      </c>
      <c r="K1434" s="4" t="s">
        <v>3544</v>
      </c>
    </row>
    <row r="1435" spans="1:11" ht="15.75" customHeight="1">
      <c r="A1435" s="4">
        <v>16225414</v>
      </c>
      <c r="B1435" s="4" t="s">
        <v>9891</v>
      </c>
      <c r="C1435" s="4" t="s">
        <v>9892</v>
      </c>
      <c r="D1435" s="4" t="s">
        <v>9893</v>
      </c>
      <c r="E1435" s="4" t="s">
        <v>2932</v>
      </c>
      <c r="F1435" s="4" t="s">
        <v>5433</v>
      </c>
      <c r="G1435" s="4">
        <v>2005</v>
      </c>
      <c r="H1435" s="25">
        <v>38643</v>
      </c>
      <c r="K1435" s="4" t="s">
        <v>2933</v>
      </c>
    </row>
    <row r="1436" spans="1:11" ht="15.75" customHeight="1">
      <c r="A1436" s="4">
        <v>31516647</v>
      </c>
      <c r="B1436" s="4" t="s">
        <v>9897</v>
      </c>
      <c r="C1436" s="4" t="s">
        <v>9898</v>
      </c>
      <c r="D1436" s="4" t="s">
        <v>9899</v>
      </c>
      <c r="E1436" s="4" t="s">
        <v>4511</v>
      </c>
      <c r="F1436" s="4" t="s">
        <v>9900</v>
      </c>
      <c r="G1436" s="4">
        <v>2019</v>
      </c>
      <c r="H1436" s="25">
        <v>43722</v>
      </c>
      <c r="I1436" s="4" t="s">
        <v>9901</v>
      </c>
      <c r="K1436" s="4" t="s">
        <v>4512</v>
      </c>
    </row>
    <row r="1437" spans="1:11" ht="15.75" customHeight="1">
      <c r="A1437" s="4">
        <v>28755030</v>
      </c>
      <c r="B1437" s="4" t="s">
        <v>9905</v>
      </c>
      <c r="C1437" s="4" t="s">
        <v>9906</v>
      </c>
      <c r="D1437" s="4" t="s">
        <v>9907</v>
      </c>
      <c r="E1437" s="4" t="s">
        <v>3986</v>
      </c>
      <c r="F1437" s="4" t="s">
        <v>9908</v>
      </c>
      <c r="G1437" s="4">
        <v>2018</v>
      </c>
      <c r="H1437" s="25">
        <v>42946</v>
      </c>
      <c r="I1437" s="4" t="s">
        <v>9909</v>
      </c>
      <c r="K1437" s="4" t="s">
        <v>3987</v>
      </c>
    </row>
    <row r="1438" spans="1:11" ht="15.75" customHeight="1">
      <c r="A1438" s="4">
        <v>19022297</v>
      </c>
      <c r="B1438" s="4" t="s">
        <v>9727</v>
      </c>
      <c r="C1438" s="4" t="s">
        <v>9728</v>
      </c>
      <c r="D1438" s="4" t="s">
        <v>9729</v>
      </c>
      <c r="E1438" s="4" t="s">
        <v>3310</v>
      </c>
      <c r="F1438" s="4" t="s">
        <v>5267</v>
      </c>
      <c r="G1438" s="4">
        <v>2009</v>
      </c>
      <c r="H1438" s="25">
        <v>39774</v>
      </c>
      <c r="K1438" s="4" t="s">
        <v>3311</v>
      </c>
    </row>
    <row r="1439" spans="1:11" ht="15.75" customHeight="1">
      <c r="A1439" s="4">
        <v>22018204</v>
      </c>
      <c r="B1439" s="4" t="s">
        <v>9910</v>
      </c>
      <c r="C1439" s="4" t="s">
        <v>9911</v>
      </c>
      <c r="D1439" s="4" t="s">
        <v>9912</v>
      </c>
      <c r="E1439" s="4" t="s">
        <v>720</v>
      </c>
      <c r="F1439" s="4" t="s">
        <v>9913</v>
      </c>
      <c r="G1439" s="4">
        <v>2011</v>
      </c>
      <c r="H1439" s="25">
        <v>40841</v>
      </c>
      <c r="I1439" s="4" t="s">
        <v>9914</v>
      </c>
      <c r="K1439" s="4" t="s">
        <v>721</v>
      </c>
    </row>
    <row r="1440" spans="1:11" ht="15.75" customHeight="1">
      <c r="A1440" s="4">
        <v>21487503</v>
      </c>
      <c r="B1440" s="4" t="s">
        <v>9929</v>
      </c>
      <c r="C1440" s="4" t="s">
        <v>9930</v>
      </c>
      <c r="D1440" s="4" t="s">
        <v>9931</v>
      </c>
      <c r="E1440" s="4" t="s">
        <v>4006</v>
      </c>
      <c r="F1440" s="4" t="s">
        <v>9932</v>
      </c>
      <c r="G1440" s="4">
        <v>2010</v>
      </c>
      <c r="H1440" s="25">
        <v>40647</v>
      </c>
      <c r="I1440" s="4" t="s">
        <v>9933</v>
      </c>
      <c r="K1440" s="4" t="s">
        <v>4007</v>
      </c>
    </row>
    <row r="1441" spans="1:11" ht="15.75" customHeight="1">
      <c r="A1441" s="4">
        <v>7510619</v>
      </c>
      <c r="B1441" s="4" t="s">
        <v>9918</v>
      </c>
      <c r="C1441" s="4" t="s">
        <v>9919</v>
      </c>
      <c r="D1441" s="4" t="s">
        <v>9920</v>
      </c>
      <c r="E1441" s="4" t="s">
        <v>4392</v>
      </c>
      <c r="F1441" s="4" t="s">
        <v>9921</v>
      </c>
      <c r="G1441" s="4">
        <v>1994</v>
      </c>
      <c r="H1441" s="25">
        <v>34335</v>
      </c>
      <c r="K1441" s="4" t="s">
        <v>4393</v>
      </c>
    </row>
    <row r="1442" spans="1:11" ht="15.75" customHeight="1">
      <c r="A1442" s="4">
        <v>19892483</v>
      </c>
      <c r="B1442" s="4" t="s">
        <v>9934</v>
      </c>
      <c r="C1442" s="4" t="s">
        <v>9935</v>
      </c>
      <c r="D1442" s="4" t="s">
        <v>9936</v>
      </c>
      <c r="E1442" s="4" t="s">
        <v>501</v>
      </c>
      <c r="F1442" s="4" t="s">
        <v>8060</v>
      </c>
      <c r="G1442" s="4">
        <v>2010</v>
      </c>
      <c r="H1442" s="25">
        <v>40124</v>
      </c>
      <c r="K1442" s="4" t="s">
        <v>1403</v>
      </c>
    </row>
    <row r="1443" spans="1:11" ht="15.75" customHeight="1">
      <c r="A1443" s="4">
        <v>12868990</v>
      </c>
      <c r="B1443" s="4" t="s">
        <v>9965</v>
      </c>
      <c r="C1443" s="4" t="s">
        <v>9966</v>
      </c>
      <c r="D1443" s="4" t="s">
        <v>9967</v>
      </c>
      <c r="E1443" s="4" t="s">
        <v>4539</v>
      </c>
      <c r="F1443" s="4" t="s">
        <v>5243</v>
      </c>
      <c r="G1443" s="4">
        <v>2003</v>
      </c>
      <c r="H1443" s="25">
        <v>37821</v>
      </c>
      <c r="K1443" s="4" t="s">
        <v>4540</v>
      </c>
    </row>
    <row r="1444" spans="1:11" ht="15.75" customHeight="1">
      <c r="A1444" s="4">
        <v>21858750</v>
      </c>
      <c r="B1444" s="4" t="s">
        <v>9937</v>
      </c>
      <c r="C1444" s="4" t="s">
        <v>9938</v>
      </c>
      <c r="D1444" s="4" t="s">
        <v>9939</v>
      </c>
      <c r="E1444" s="4" t="s">
        <v>4685</v>
      </c>
      <c r="F1444" s="4" t="s">
        <v>9844</v>
      </c>
      <c r="G1444" s="4">
        <v>2011</v>
      </c>
      <c r="H1444" s="25">
        <v>40778</v>
      </c>
      <c r="K1444" s="4" t="s">
        <v>4686</v>
      </c>
    </row>
    <row r="1445" spans="1:11" ht="15.75" customHeight="1">
      <c r="A1445" s="4">
        <v>15566823</v>
      </c>
      <c r="B1445" s="4" t="s">
        <v>9940</v>
      </c>
      <c r="C1445" s="4" t="s">
        <v>9941</v>
      </c>
      <c r="D1445" s="4" t="s">
        <v>9942</v>
      </c>
      <c r="E1445" s="4" t="s">
        <v>1063</v>
      </c>
      <c r="F1445" s="4" t="s">
        <v>9339</v>
      </c>
      <c r="G1445" s="4">
        <v>1995</v>
      </c>
      <c r="H1445" s="25">
        <v>34881</v>
      </c>
      <c r="K1445" s="4" t="s">
        <v>1077</v>
      </c>
    </row>
    <row r="1446" spans="1:11" ht="15.75" customHeight="1">
      <c r="A1446" s="4">
        <v>19664576</v>
      </c>
      <c r="B1446" s="4" t="s">
        <v>9943</v>
      </c>
      <c r="C1446" s="4" t="s">
        <v>9944</v>
      </c>
      <c r="D1446" s="4" t="s">
        <v>9945</v>
      </c>
      <c r="E1446" s="4" t="s">
        <v>1181</v>
      </c>
      <c r="F1446" s="4" t="s">
        <v>9946</v>
      </c>
      <c r="G1446" s="4">
        <v>2009</v>
      </c>
      <c r="H1446" s="25">
        <v>40037</v>
      </c>
      <c r="K1446" s="4" t="s">
        <v>1182</v>
      </c>
    </row>
    <row r="1447" spans="1:11" ht="15.75" customHeight="1">
      <c r="A1447" s="4">
        <v>23465006</v>
      </c>
      <c r="B1447" s="4" t="s">
        <v>9947</v>
      </c>
      <c r="C1447" s="4" t="s">
        <v>9948</v>
      </c>
      <c r="D1447" s="4" t="s">
        <v>9949</v>
      </c>
      <c r="E1447" s="4" t="s">
        <v>2894</v>
      </c>
      <c r="F1447" s="4" t="s">
        <v>5726</v>
      </c>
      <c r="G1447" s="4">
        <v>2013</v>
      </c>
      <c r="H1447" s="25">
        <v>41341</v>
      </c>
      <c r="K1447" s="4" t="s">
        <v>2895</v>
      </c>
    </row>
    <row r="1448" spans="1:11" ht="15.75" customHeight="1">
      <c r="A1448" s="4">
        <v>34788405</v>
      </c>
      <c r="B1448" s="4" t="s">
        <v>9950</v>
      </c>
      <c r="C1448" s="4" t="s">
        <v>9951</v>
      </c>
      <c r="D1448" s="4" t="s">
        <v>9952</v>
      </c>
      <c r="E1448" s="4" t="s">
        <v>4236</v>
      </c>
      <c r="F1448" s="4" t="s">
        <v>4833</v>
      </c>
      <c r="G1448" s="4">
        <v>2022</v>
      </c>
      <c r="H1448" s="25">
        <v>44517</v>
      </c>
      <c r="I1448" s="4" t="s">
        <v>9953</v>
      </c>
      <c r="K1448" s="4" t="s">
        <v>4237</v>
      </c>
    </row>
    <row r="1449" spans="1:11" ht="15.75" customHeight="1">
      <c r="A1449" s="4">
        <v>9043936</v>
      </c>
      <c r="B1449" s="4" t="s">
        <v>9974</v>
      </c>
      <c r="C1449" s="4" t="s">
        <v>9975</v>
      </c>
      <c r="D1449" s="4" t="s">
        <v>9976</v>
      </c>
      <c r="E1449" s="4" t="s">
        <v>3951</v>
      </c>
      <c r="F1449" s="4" t="s">
        <v>9977</v>
      </c>
      <c r="G1449" s="4">
        <v>1997</v>
      </c>
      <c r="H1449" s="25">
        <v>35431</v>
      </c>
      <c r="K1449" s="4" t="s">
        <v>3952</v>
      </c>
    </row>
    <row r="1450" spans="1:11" ht="15.75" customHeight="1">
      <c r="A1450" s="4">
        <v>16250879</v>
      </c>
      <c r="B1450" s="4" t="s">
        <v>9959</v>
      </c>
      <c r="C1450" s="4" t="s">
        <v>9960</v>
      </c>
      <c r="D1450" s="4" t="s">
        <v>9961</v>
      </c>
      <c r="E1450" s="4" t="s">
        <v>4474</v>
      </c>
      <c r="F1450" s="4" t="s">
        <v>5550</v>
      </c>
      <c r="G1450" s="4">
        <v>2005</v>
      </c>
      <c r="H1450" s="25">
        <v>38653</v>
      </c>
      <c r="K1450" s="4" t="s">
        <v>4475</v>
      </c>
    </row>
    <row r="1451" spans="1:11" ht="15.75" customHeight="1">
      <c r="A1451" s="4">
        <v>38200989</v>
      </c>
      <c r="B1451" s="4" t="s">
        <v>9954</v>
      </c>
      <c r="C1451" s="4" t="s">
        <v>9955</v>
      </c>
      <c r="D1451" s="4" t="s">
        <v>9956</v>
      </c>
      <c r="E1451" s="4" t="s">
        <v>1408</v>
      </c>
      <c r="F1451" s="4" t="s">
        <v>9957</v>
      </c>
      <c r="G1451" s="4">
        <v>2023</v>
      </c>
      <c r="H1451" s="25">
        <v>45302</v>
      </c>
      <c r="I1451" s="4" t="s">
        <v>9958</v>
      </c>
      <c r="K1451" s="4" t="s">
        <v>1409</v>
      </c>
    </row>
    <row r="1452" spans="1:11" ht="15.75" customHeight="1">
      <c r="A1452" s="4">
        <v>29178248</v>
      </c>
      <c r="B1452" s="4" t="s">
        <v>9962</v>
      </c>
      <c r="C1452" s="4" t="s">
        <v>9963</v>
      </c>
      <c r="D1452" s="4" t="s">
        <v>9964</v>
      </c>
      <c r="E1452" s="4" t="s">
        <v>780</v>
      </c>
      <c r="F1452" s="4" t="s">
        <v>4974</v>
      </c>
      <c r="G1452" s="4">
        <v>2018</v>
      </c>
      <c r="H1452" s="25">
        <v>43067</v>
      </c>
      <c r="K1452" s="4" t="s">
        <v>781</v>
      </c>
    </row>
    <row r="1453" spans="1:11" ht="15.75" customHeight="1">
      <c r="A1453" s="4">
        <v>29545911</v>
      </c>
      <c r="B1453" s="4" t="s">
        <v>9837</v>
      </c>
      <c r="C1453" s="4" t="s">
        <v>9838</v>
      </c>
      <c r="D1453" s="4" t="s">
        <v>9839</v>
      </c>
      <c r="E1453" s="4" t="s">
        <v>3741</v>
      </c>
      <c r="F1453" s="4" t="s">
        <v>5802</v>
      </c>
      <c r="G1453" s="4">
        <v>2018</v>
      </c>
      <c r="H1453" s="25">
        <v>43176</v>
      </c>
      <c r="I1453" s="4" t="s">
        <v>9840</v>
      </c>
      <c r="K1453" s="4" t="s">
        <v>3742</v>
      </c>
    </row>
    <row r="1454" spans="1:11" ht="15.75" customHeight="1">
      <c r="A1454" s="4">
        <v>16931140</v>
      </c>
      <c r="B1454" s="4" t="s">
        <v>9971</v>
      </c>
      <c r="C1454" s="4" t="s">
        <v>9972</v>
      </c>
      <c r="D1454" s="4" t="s">
        <v>9973</v>
      </c>
      <c r="E1454" s="4" t="s">
        <v>3001</v>
      </c>
      <c r="F1454" s="4" t="s">
        <v>4896</v>
      </c>
      <c r="G1454" s="4">
        <v>2006</v>
      </c>
      <c r="H1454" s="25">
        <v>38955</v>
      </c>
      <c r="K1454" s="4" t="s">
        <v>3006</v>
      </c>
    </row>
    <row r="1455" spans="1:11" ht="15.75" customHeight="1">
      <c r="A1455" s="4">
        <v>24923536</v>
      </c>
      <c r="B1455" s="4" t="s">
        <v>9871</v>
      </c>
      <c r="C1455" s="4" t="s">
        <v>9872</v>
      </c>
      <c r="D1455" s="4" t="s">
        <v>9873</v>
      </c>
      <c r="E1455" s="4" t="s">
        <v>717</v>
      </c>
      <c r="F1455" s="4" t="s">
        <v>5076</v>
      </c>
      <c r="G1455" s="4">
        <v>2014</v>
      </c>
      <c r="H1455" s="25">
        <v>41804</v>
      </c>
      <c r="K1455" s="4" t="s">
        <v>718</v>
      </c>
    </row>
    <row r="1456" spans="1:11" ht="15.75" customHeight="1">
      <c r="A1456" s="4">
        <v>23271411</v>
      </c>
      <c r="B1456" s="4" t="s">
        <v>9991</v>
      </c>
      <c r="C1456" s="4" t="s">
        <v>9992</v>
      </c>
      <c r="D1456" s="4" t="s">
        <v>9993</v>
      </c>
      <c r="E1456" s="4" t="s">
        <v>2487</v>
      </c>
      <c r="F1456" s="4" t="s">
        <v>4927</v>
      </c>
      <c r="G1456" s="4">
        <v>2013</v>
      </c>
      <c r="H1456" s="25">
        <v>41272</v>
      </c>
      <c r="K1456" s="4" t="s">
        <v>2488</v>
      </c>
    </row>
    <row r="1457" spans="1:11" ht="15.75" customHeight="1">
      <c r="A1457" s="4">
        <v>33359064</v>
      </c>
      <c r="B1457" s="4" t="s">
        <v>10028</v>
      </c>
      <c r="C1457" s="4" t="s">
        <v>10029</v>
      </c>
      <c r="D1457" s="4" t="s">
        <v>10030</v>
      </c>
      <c r="E1457" s="4" t="s">
        <v>3517</v>
      </c>
      <c r="F1457" s="4" t="s">
        <v>6176</v>
      </c>
      <c r="G1457" s="4">
        <v>2021</v>
      </c>
      <c r="H1457" s="25">
        <v>44193</v>
      </c>
      <c r="I1457" s="4" t="s">
        <v>10031</v>
      </c>
      <c r="K1457" s="4" t="s">
        <v>3518</v>
      </c>
    </row>
    <row r="1458" spans="1:11" ht="15.75" customHeight="1">
      <c r="A1458" s="4">
        <v>34587551</v>
      </c>
      <c r="B1458" s="4" t="s">
        <v>9978</v>
      </c>
      <c r="C1458" s="4" t="s">
        <v>9979</v>
      </c>
      <c r="D1458" s="4" t="s">
        <v>9980</v>
      </c>
      <c r="E1458" s="4" t="s">
        <v>896</v>
      </c>
      <c r="F1458" s="4" t="s">
        <v>4876</v>
      </c>
      <c r="G1458" s="4">
        <v>2022</v>
      </c>
      <c r="H1458" s="25">
        <v>44468</v>
      </c>
      <c r="I1458" s="4" t="s">
        <v>9981</v>
      </c>
      <c r="J1458" s="4" t="s">
        <v>9982</v>
      </c>
      <c r="K1458" s="4" t="s">
        <v>897</v>
      </c>
    </row>
    <row r="1459" spans="1:11" ht="15.75" customHeight="1">
      <c r="A1459" s="4">
        <v>36493341</v>
      </c>
      <c r="B1459" s="4" t="s">
        <v>9986</v>
      </c>
      <c r="C1459" s="4" t="s">
        <v>9987</v>
      </c>
      <c r="D1459" s="4" t="s">
        <v>9988</v>
      </c>
      <c r="E1459" s="4" t="s">
        <v>1028</v>
      </c>
      <c r="F1459" s="4" t="s">
        <v>5343</v>
      </c>
      <c r="G1459" s="4">
        <v>2023</v>
      </c>
      <c r="H1459" s="25">
        <v>44904</v>
      </c>
      <c r="I1459" s="4" t="s">
        <v>9989</v>
      </c>
      <c r="K1459" s="4" t="s">
        <v>1754</v>
      </c>
    </row>
    <row r="1460" spans="1:11" ht="15.75" customHeight="1">
      <c r="A1460" s="4">
        <v>28398495</v>
      </c>
      <c r="B1460" s="4" t="s">
        <v>9983</v>
      </c>
      <c r="C1460" s="4" t="s">
        <v>9984</v>
      </c>
      <c r="D1460" s="4" t="s">
        <v>9985</v>
      </c>
      <c r="E1460" s="4" t="s">
        <v>4609</v>
      </c>
      <c r="F1460" s="4" t="s">
        <v>9720</v>
      </c>
      <c r="G1460" s="4">
        <v>2017</v>
      </c>
      <c r="H1460" s="25">
        <v>42837</v>
      </c>
      <c r="K1460" s="4" t="s">
        <v>4610</v>
      </c>
    </row>
    <row r="1461" spans="1:11" ht="15.75" customHeight="1">
      <c r="A1461" s="4">
        <v>17033403</v>
      </c>
      <c r="B1461" s="4" t="s">
        <v>9824</v>
      </c>
      <c r="C1461" s="4" t="s">
        <v>7130</v>
      </c>
      <c r="D1461" s="4" t="s">
        <v>9990</v>
      </c>
      <c r="E1461" s="4" t="s">
        <v>4017</v>
      </c>
      <c r="F1461" s="4" t="s">
        <v>5035</v>
      </c>
      <c r="G1461" s="4">
        <v>1998</v>
      </c>
      <c r="H1461" s="25">
        <v>39003</v>
      </c>
      <c r="K1461" s="4" t="s">
        <v>4035</v>
      </c>
    </row>
    <row r="1462" spans="1:11" ht="15.75" customHeight="1">
      <c r="A1462" s="4">
        <v>24881673</v>
      </c>
      <c r="B1462" s="4" t="s">
        <v>10022</v>
      </c>
      <c r="C1462" s="4" t="s">
        <v>10023</v>
      </c>
      <c r="D1462" s="4" t="s">
        <v>10024</v>
      </c>
      <c r="E1462" s="4" t="s">
        <v>212</v>
      </c>
      <c r="F1462" s="4" t="s">
        <v>9109</v>
      </c>
      <c r="G1462" s="4">
        <v>2014</v>
      </c>
      <c r="H1462" s="25">
        <v>41793</v>
      </c>
      <c r="K1462" s="4" t="s">
        <v>334</v>
      </c>
    </row>
    <row r="1463" spans="1:11" ht="15.75" customHeight="1">
      <c r="A1463" s="4">
        <v>33670052</v>
      </c>
      <c r="B1463" s="4" t="s">
        <v>9994</v>
      </c>
      <c r="C1463" s="4" t="s">
        <v>9995</v>
      </c>
      <c r="D1463" s="4" t="s">
        <v>9996</v>
      </c>
      <c r="E1463" s="4" t="s">
        <v>3225</v>
      </c>
      <c r="F1463" s="4" t="s">
        <v>9997</v>
      </c>
      <c r="G1463" s="4">
        <v>2021</v>
      </c>
      <c r="H1463" s="25">
        <v>44261</v>
      </c>
      <c r="I1463" s="4" t="s">
        <v>9998</v>
      </c>
      <c r="K1463" s="4" t="s">
        <v>3232</v>
      </c>
    </row>
    <row r="1464" spans="1:11" ht="15.75" customHeight="1">
      <c r="A1464" s="4">
        <v>8085554</v>
      </c>
      <c r="B1464" s="4" t="s">
        <v>9999</v>
      </c>
      <c r="C1464" s="4" t="s">
        <v>10000</v>
      </c>
      <c r="D1464" s="4" t="s">
        <v>10001</v>
      </c>
      <c r="E1464" s="4" t="s">
        <v>3804</v>
      </c>
      <c r="F1464" s="4" t="s">
        <v>7017</v>
      </c>
      <c r="G1464" s="4">
        <v>1994</v>
      </c>
      <c r="H1464" s="25">
        <v>34578</v>
      </c>
      <c r="K1464" s="4" t="s">
        <v>3805</v>
      </c>
    </row>
    <row r="1465" spans="1:11" ht="15.75" customHeight="1">
      <c r="A1465" s="4">
        <v>31248389</v>
      </c>
      <c r="B1465" s="4" t="s">
        <v>10002</v>
      </c>
      <c r="C1465" s="4" t="s">
        <v>10003</v>
      </c>
      <c r="D1465" s="4" t="s">
        <v>10004</v>
      </c>
      <c r="E1465" s="4" t="s">
        <v>3690</v>
      </c>
      <c r="F1465" s="4" t="s">
        <v>10005</v>
      </c>
      <c r="G1465" s="4">
        <v>2019</v>
      </c>
      <c r="H1465" s="25">
        <v>43645</v>
      </c>
      <c r="I1465" s="4" t="s">
        <v>10006</v>
      </c>
      <c r="K1465" s="4" t="s">
        <v>3691</v>
      </c>
    </row>
    <row r="1466" spans="1:11" ht="15.75" customHeight="1">
      <c r="A1466" s="4">
        <v>17035801</v>
      </c>
      <c r="B1466" s="4" t="s">
        <v>9824</v>
      </c>
      <c r="C1466" s="4" t="s">
        <v>7130</v>
      </c>
      <c r="D1466" s="4" t="s">
        <v>10010</v>
      </c>
      <c r="E1466" s="4" t="s">
        <v>4017</v>
      </c>
      <c r="F1466" s="4" t="s">
        <v>5035</v>
      </c>
      <c r="G1466" s="4">
        <v>1999</v>
      </c>
      <c r="H1466" s="25">
        <v>39003</v>
      </c>
      <c r="K1466" s="4" t="s">
        <v>4037</v>
      </c>
    </row>
    <row r="1467" spans="1:11" ht="15.75" customHeight="1">
      <c r="A1467" s="4">
        <v>16382451</v>
      </c>
      <c r="B1467" s="4" t="s">
        <v>10011</v>
      </c>
      <c r="C1467" s="4" t="s">
        <v>10012</v>
      </c>
      <c r="D1467" s="4" t="s">
        <v>10013</v>
      </c>
      <c r="E1467" s="4" t="s">
        <v>2844</v>
      </c>
      <c r="F1467" s="4" t="s">
        <v>5295</v>
      </c>
      <c r="G1467" s="4">
        <v>2006</v>
      </c>
      <c r="H1467" s="25">
        <v>38717</v>
      </c>
      <c r="K1467" s="4" t="s">
        <v>2845</v>
      </c>
    </row>
    <row r="1468" spans="1:11" ht="15.75" customHeight="1">
      <c r="A1468" s="4">
        <v>26493843</v>
      </c>
      <c r="B1468" s="4" t="s">
        <v>10007</v>
      </c>
      <c r="C1468" s="4" t="s">
        <v>10008</v>
      </c>
      <c r="D1468" s="4" t="s">
        <v>10009</v>
      </c>
      <c r="E1468" s="4" t="s">
        <v>899</v>
      </c>
      <c r="F1468" s="4" t="s">
        <v>4851</v>
      </c>
      <c r="G1468" s="4">
        <v>2016</v>
      </c>
      <c r="H1468" s="25">
        <v>42301</v>
      </c>
      <c r="K1468" s="4" t="s">
        <v>900</v>
      </c>
    </row>
    <row r="1469" spans="1:11" ht="15.75" customHeight="1">
      <c r="A1469" s="4">
        <v>30663091</v>
      </c>
      <c r="B1469" s="4" t="s">
        <v>10014</v>
      </c>
      <c r="C1469" s="4" t="s">
        <v>10015</v>
      </c>
      <c r="D1469" s="4" t="s">
        <v>10016</v>
      </c>
      <c r="E1469" s="4" t="s">
        <v>4217</v>
      </c>
      <c r="F1469" s="4" t="s">
        <v>7139</v>
      </c>
      <c r="G1469" s="4">
        <v>2019</v>
      </c>
      <c r="H1469" s="25">
        <v>43487</v>
      </c>
      <c r="K1469" s="4" t="s">
        <v>4218</v>
      </c>
    </row>
    <row r="1470" spans="1:11" ht="15.75" customHeight="1">
      <c r="A1470" s="4">
        <v>22524157</v>
      </c>
      <c r="B1470" s="4" t="s">
        <v>10017</v>
      </c>
      <c r="C1470" s="4" t="s">
        <v>10018</v>
      </c>
      <c r="D1470" s="4" t="s">
        <v>10019</v>
      </c>
      <c r="E1470" s="4" t="s">
        <v>2154</v>
      </c>
      <c r="F1470" s="4" t="s">
        <v>9259</v>
      </c>
      <c r="G1470" s="4">
        <v>2012</v>
      </c>
      <c r="H1470" s="25">
        <v>41024</v>
      </c>
      <c r="I1470" s="4" t="s">
        <v>10020</v>
      </c>
      <c r="J1470" s="4" t="s">
        <v>10021</v>
      </c>
      <c r="K1470" s="4" t="s">
        <v>2155</v>
      </c>
    </row>
    <row r="1471" spans="1:11" ht="15.75" customHeight="1">
      <c r="A1471" s="4">
        <v>12627369</v>
      </c>
      <c r="B1471" s="4" t="s">
        <v>10025</v>
      </c>
      <c r="C1471" s="4" t="s">
        <v>10026</v>
      </c>
      <c r="D1471" s="4" t="s">
        <v>10027</v>
      </c>
      <c r="E1471" s="4" t="s">
        <v>2789</v>
      </c>
      <c r="F1471" s="4" t="s">
        <v>5080</v>
      </c>
      <c r="G1471" s="4">
        <v>2003</v>
      </c>
      <c r="H1471" s="25">
        <v>37691</v>
      </c>
      <c r="K1471" s="4" t="s">
        <v>2790</v>
      </c>
    </row>
    <row r="1472" spans="1:11" ht="15.75" customHeight="1">
      <c r="A1472" s="4">
        <v>32450288</v>
      </c>
      <c r="B1472" s="4" t="s">
        <v>10032</v>
      </c>
      <c r="C1472" s="4" t="s">
        <v>10033</v>
      </c>
      <c r="D1472" s="4" t="s">
        <v>10034</v>
      </c>
      <c r="E1472" s="4" t="s">
        <v>581</v>
      </c>
      <c r="F1472" s="4" t="s">
        <v>5076</v>
      </c>
      <c r="G1472" s="4">
        <v>2020</v>
      </c>
      <c r="H1472" s="25">
        <v>43977</v>
      </c>
      <c r="I1472" s="4" t="s">
        <v>10035</v>
      </c>
      <c r="J1472" s="4" t="s">
        <v>10036</v>
      </c>
      <c r="K1472" s="4" t="s">
        <v>582</v>
      </c>
    </row>
    <row r="1473" spans="1:11" ht="15.75" customHeight="1">
      <c r="A1473" s="4">
        <v>19298239</v>
      </c>
      <c r="B1473" s="4" t="s">
        <v>10037</v>
      </c>
      <c r="C1473" s="4" t="s">
        <v>10038</v>
      </c>
      <c r="D1473" s="4" t="s">
        <v>10039</v>
      </c>
      <c r="E1473" s="4" t="s">
        <v>848</v>
      </c>
      <c r="F1473" s="4" t="s">
        <v>4974</v>
      </c>
      <c r="G1473" s="4">
        <v>2009</v>
      </c>
      <c r="H1473" s="25">
        <v>39893</v>
      </c>
      <c r="K1473" s="4" t="s">
        <v>849</v>
      </c>
    </row>
    <row r="1474" spans="1:11" ht="15.75" customHeight="1">
      <c r="A1474" s="4">
        <v>10846461</v>
      </c>
      <c r="B1474" s="4" t="s">
        <v>10054</v>
      </c>
      <c r="C1474" s="4" t="s">
        <v>10055</v>
      </c>
      <c r="D1474" s="4" t="s">
        <v>10056</v>
      </c>
      <c r="E1474" s="4" t="s">
        <v>2719</v>
      </c>
      <c r="F1474" s="4" t="s">
        <v>5047</v>
      </c>
      <c r="G1474" s="4">
        <v>2000</v>
      </c>
      <c r="H1474" s="25">
        <v>36687</v>
      </c>
    </row>
    <row r="1475" spans="1:11" ht="15.75" customHeight="1">
      <c r="A1475" s="4">
        <v>19033999</v>
      </c>
      <c r="B1475" s="4" t="s">
        <v>10040</v>
      </c>
      <c r="C1475" s="4" t="s">
        <v>10041</v>
      </c>
      <c r="D1475" s="4" t="s">
        <v>10042</v>
      </c>
      <c r="E1475" s="4" t="s">
        <v>2045</v>
      </c>
      <c r="F1475" s="4" t="s">
        <v>5445</v>
      </c>
      <c r="G1475" s="4">
        <v>2008</v>
      </c>
      <c r="H1475" s="25">
        <v>39779</v>
      </c>
      <c r="K1475" s="4" t="s">
        <v>2046</v>
      </c>
    </row>
    <row r="1476" spans="1:11" ht="15.75" customHeight="1">
      <c r="A1476" s="4">
        <v>17173218</v>
      </c>
      <c r="B1476" s="4" t="s">
        <v>10043</v>
      </c>
      <c r="C1476" s="4" t="s">
        <v>10044</v>
      </c>
      <c r="D1476" s="4" t="s">
        <v>10045</v>
      </c>
      <c r="E1476" s="4" t="s">
        <v>3549</v>
      </c>
      <c r="F1476" s="4" t="s">
        <v>5080</v>
      </c>
      <c r="G1476" s="4">
        <v>2007</v>
      </c>
      <c r="H1476" s="25">
        <v>39070</v>
      </c>
      <c r="K1476" s="4" t="s">
        <v>3550</v>
      </c>
    </row>
    <row r="1477" spans="1:11" ht="15.75" customHeight="1">
      <c r="A1477" s="4">
        <v>2904225</v>
      </c>
      <c r="B1477" s="4" t="s">
        <v>10050</v>
      </c>
      <c r="C1477" s="4" t="s">
        <v>10051</v>
      </c>
      <c r="D1477" s="4" t="s">
        <v>10052</v>
      </c>
      <c r="E1477" s="4" t="s">
        <v>1287</v>
      </c>
      <c r="F1477" s="4" t="s">
        <v>10053</v>
      </c>
      <c r="G1477" s="4">
        <v>1988</v>
      </c>
      <c r="H1477" s="25">
        <v>32478</v>
      </c>
      <c r="K1477" s="4" t="s">
        <v>1288</v>
      </c>
    </row>
    <row r="1478" spans="1:11" ht="15.75" customHeight="1">
      <c r="A1478" s="4">
        <v>36189995</v>
      </c>
      <c r="B1478" s="4" t="s">
        <v>10046</v>
      </c>
      <c r="C1478" s="4" t="s">
        <v>10047</v>
      </c>
      <c r="D1478" s="4" t="s">
        <v>10048</v>
      </c>
      <c r="E1478" s="4" t="s">
        <v>960</v>
      </c>
      <c r="F1478" s="4" t="s">
        <v>10049</v>
      </c>
      <c r="G1478" s="4">
        <v>2022</v>
      </c>
      <c r="H1478" s="25">
        <v>44837</v>
      </c>
      <c r="K1478" s="4" t="s">
        <v>961</v>
      </c>
    </row>
    <row r="1479" spans="1:11" ht="15.75" customHeight="1">
      <c r="A1479" s="4">
        <v>12206970</v>
      </c>
      <c r="B1479" s="4" t="s">
        <v>10084</v>
      </c>
      <c r="C1479" s="4" t="s">
        <v>10085</v>
      </c>
      <c r="D1479" s="4" t="s">
        <v>10086</v>
      </c>
      <c r="E1479" s="4" t="s">
        <v>1475</v>
      </c>
      <c r="F1479" s="4" t="s">
        <v>10087</v>
      </c>
      <c r="G1479" s="4">
        <v>2002</v>
      </c>
      <c r="H1479" s="25">
        <v>37510</v>
      </c>
      <c r="K1479" s="4" t="s">
        <v>1476</v>
      </c>
    </row>
    <row r="1480" spans="1:11" ht="15.75" customHeight="1">
      <c r="A1480" s="4">
        <v>30696997</v>
      </c>
      <c r="B1480" s="4" t="s">
        <v>10057</v>
      </c>
      <c r="C1480" s="4" t="s">
        <v>10058</v>
      </c>
      <c r="D1480" s="4" t="s">
        <v>10059</v>
      </c>
      <c r="E1480" s="4" t="s">
        <v>440</v>
      </c>
      <c r="F1480" s="4" t="s">
        <v>4863</v>
      </c>
      <c r="G1480" s="4">
        <v>2019</v>
      </c>
      <c r="H1480" s="25">
        <v>43496</v>
      </c>
      <c r="I1480" s="4" t="s">
        <v>10060</v>
      </c>
      <c r="J1480" s="4" t="s">
        <v>10061</v>
      </c>
      <c r="K1480" s="4" t="s">
        <v>441</v>
      </c>
    </row>
    <row r="1481" spans="1:11" ht="15.75" customHeight="1">
      <c r="A1481" s="4">
        <v>22623774</v>
      </c>
      <c r="B1481" s="4" t="s">
        <v>10062</v>
      </c>
      <c r="C1481" s="4" t="s">
        <v>10063</v>
      </c>
      <c r="D1481" s="4" t="s">
        <v>10064</v>
      </c>
      <c r="E1481" s="4" t="s">
        <v>4703</v>
      </c>
      <c r="F1481" s="4" t="s">
        <v>4891</v>
      </c>
      <c r="G1481" s="4">
        <v>2012</v>
      </c>
      <c r="H1481" s="25">
        <v>41054</v>
      </c>
      <c r="I1481" s="4" t="s">
        <v>10065</v>
      </c>
      <c r="K1481" s="4" t="s">
        <v>4704</v>
      </c>
    </row>
    <row r="1482" spans="1:11" ht="15.75" customHeight="1">
      <c r="A1482" s="4">
        <v>17617406</v>
      </c>
      <c r="B1482" s="4" t="s">
        <v>10066</v>
      </c>
      <c r="C1482" s="4" t="s">
        <v>10067</v>
      </c>
      <c r="D1482" s="4" t="s">
        <v>10068</v>
      </c>
      <c r="E1482" s="4" t="s">
        <v>3122</v>
      </c>
      <c r="F1482" s="4" t="s">
        <v>10069</v>
      </c>
      <c r="G1482" s="4">
        <v>2007</v>
      </c>
      <c r="H1482" s="25">
        <v>39273</v>
      </c>
      <c r="K1482" s="4" t="s">
        <v>3123</v>
      </c>
    </row>
    <row r="1483" spans="1:11" ht="15.75" customHeight="1">
      <c r="A1483" s="4">
        <v>31704470</v>
      </c>
      <c r="B1483" s="4" t="s">
        <v>10070</v>
      </c>
      <c r="C1483" s="4" t="s">
        <v>10071</v>
      </c>
      <c r="D1483" s="4" t="s">
        <v>10072</v>
      </c>
      <c r="E1483" s="4" t="s">
        <v>288</v>
      </c>
      <c r="F1483" s="4" t="s">
        <v>5076</v>
      </c>
      <c r="G1483" s="4">
        <v>2020</v>
      </c>
      <c r="H1483" s="25">
        <v>43779</v>
      </c>
      <c r="K1483" s="4" t="s">
        <v>418</v>
      </c>
    </row>
    <row r="1484" spans="1:11" ht="15.75" customHeight="1">
      <c r="A1484" s="4">
        <v>2691680</v>
      </c>
      <c r="B1484" s="4" t="s">
        <v>10073</v>
      </c>
      <c r="C1484" s="4" t="s">
        <v>10074</v>
      </c>
      <c r="D1484" s="4" t="s">
        <v>10075</v>
      </c>
      <c r="E1484" s="4" t="s">
        <v>2755</v>
      </c>
      <c r="F1484" s="4" t="s">
        <v>10076</v>
      </c>
      <c r="G1484" s="4">
        <v>1989</v>
      </c>
      <c r="H1484" s="25">
        <v>32813</v>
      </c>
    </row>
    <row r="1485" spans="1:11" ht="15.75" customHeight="1">
      <c r="A1485" s="4">
        <v>32534440</v>
      </c>
      <c r="B1485" s="4" t="s">
        <v>10122</v>
      </c>
      <c r="C1485" s="4" t="s">
        <v>10123</v>
      </c>
      <c r="D1485" s="4" t="s">
        <v>10124</v>
      </c>
      <c r="E1485" s="4" t="s">
        <v>2740</v>
      </c>
      <c r="F1485" s="4" t="s">
        <v>10125</v>
      </c>
      <c r="G1485" s="4">
        <v>2020</v>
      </c>
      <c r="H1485" s="25">
        <v>43996</v>
      </c>
      <c r="I1485" s="4" t="s">
        <v>10126</v>
      </c>
      <c r="K1485" s="4" t="s">
        <v>2741</v>
      </c>
    </row>
    <row r="1486" spans="1:11" ht="15.75" customHeight="1">
      <c r="A1486" s="4">
        <v>2173884</v>
      </c>
      <c r="B1486" s="4" t="s">
        <v>10077</v>
      </c>
      <c r="C1486" s="4" t="s">
        <v>10078</v>
      </c>
      <c r="D1486" s="4" t="s">
        <v>10079</v>
      </c>
      <c r="E1486" s="4" t="s">
        <v>4722</v>
      </c>
      <c r="F1486" s="4" t="s">
        <v>7017</v>
      </c>
      <c r="G1486" s="4">
        <v>1990</v>
      </c>
      <c r="H1486" s="25">
        <v>33208</v>
      </c>
      <c r="K1486" s="4" t="s">
        <v>4723</v>
      </c>
    </row>
    <row r="1487" spans="1:11" ht="15.75" customHeight="1">
      <c r="A1487" s="4">
        <v>36895097</v>
      </c>
      <c r="B1487" s="4" t="s">
        <v>10080</v>
      </c>
      <c r="C1487" s="4" t="s">
        <v>10081</v>
      </c>
      <c r="D1487" s="4" t="s">
        <v>10082</v>
      </c>
      <c r="E1487" s="4" t="s">
        <v>2346</v>
      </c>
      <c r="F1487" s="4" t="s">
        <v>10083</v>
      </c>
      <c r="G1487" s="4">
        <v>2023</v>
      </c>
      <c r="H1487" s="25">
        <v>44995</v>
      </c>
      <c r="K1487" s="4" t="s">
        <v>2347</v>
      </c>
    </row>
    <row r="1488" spans="1:11" ht="15.75" customHeight="1">
      <c r="A1488" s="4">
        <v>22801446</v>
      </c>
      <c r="B1488" s="4" t="s">
        <v>10099</v>
      </c>
      <c r="C1488" s="4" t="s">
        <v>10100</v>
      </c>
      <c r="D1488" s="4" t="s">
        <v>10101</v>
      </c>
      <c r="E1488" s="4" t="s">
        <v>601</v>
      </c>
      <c r="F1488" s="4" t="s">
        <v>10102</v>
      </c>
      <c r="G1488" s="4">
        <v>2012</v>
      </c>
      <c r="H1488" s="25">
        <v>41108</v>
      </c>
      <c r="I1488" s="4" t="s">
        <v>10103</v>
      </c>
      <c r="K1488" s="4" t="s">
        <v>2152</v>
      </c>
    </row>
    <row r="1489" spans="1:11" ht="15.75" customHeight="1">
      <c r="A1489" s="4">
        <v>18675117</v>
      </c>
      <c r="B1489" s="4" t="s">
        <v>10088</v>
      </c>
      <c r="C1489" s="4" t="s">
        <v>10089</v>
      </c>
      <c r="D1489" s="4" t="s">
        <v>10090</v>
      </c>
      <c r="E1489" s="4" t="s">
        <v>4076</v>
      </c>
      <c r="F1489" s="4" t="s">
        <v>5696</v>
      </c>
      <c r="G1489" s="4">
        <v>2008</v>
      </c>
      <c r="H1489" s="25">
        <v>39665</v>
      </c>
      <c r="K1489" s="4" t="s">
        <v>4077</v>
      </c>
    </row>
    <row r="1490" spans="1:11" ht="15.75" customHeight="1">
      <c r="A1490" s="4">
        <v>34071792</v>
      </c>
      <c r="B1490" s="4" t="s">
        <v>10091</v>
      </c>
      <c r="C1490" s="4" t="s">
        <v>10092</v>
      </c>
      <c r="D1490" s="4" t="s">
        <v>10093</v>
      </c>
      <c r="E1490" s="4" t="s">
        <v>2327</v>
      </c>
      <c r="F1490" s="4" t="s">
        <v>10094</v>
      </c>
      <c r="G1490" s="4">
        <v>2021</v>
      </c>
      <c r="H1490" s="25">
        <v>44349</v>
      </c>
      <c r="I1490" s="4" t="s">
        <v>10095</v>
      </c>
      <c r="K1490" s="4" t="s">
        <v>2328</v>
      </c>
    </row>
    <row r="1491" spans="1:11" ht="15.75" customHeight="1">
      <c r="A1491" s="4">
        <v>33059947</v>
      </c>
      <c r="B1491" s="4" t="s">
        <v>10096</v>
      </c>
      <c r="C1491" s="4" t="s">
        <v>10097</v>
      </c>
      <c r="D1491" s="4" t="s">
        <v>10098</v>
      </c>
      <c r="E1491" s="4" t="s">
        <v>2252</v>
      </c>
      <c r="F1491" s="4" t="s">
        <v>8407</v>
      </c>
      <c r="G1491" s="4">
        <v>2021</v>
      </c>
      <c r="H1491" s="25">
        <v>44120</v>
      </c>
      <c r="K1491" s="4" t="s">
        <v>2253</v>
      </c>
    </row>
    <row r="1492" spans="1:11" ht="15.75" customHeight="1">
      <c r="A1492" s="4">
        <v>1394174</v>
      </c>
      <c r="B1492" s="4" t="s">
        <v>10110</v>
      </c>
      <c r="C1492" s="4" t="s">
        <v>10111</v>
      </c>
      <c r="D1492" s="4" t="s">
        <v>10112</v>
      </c>
      <c r="E1492" s="4" t="s">
        <v>2935</v>
      </c>
      <c r="F1492" s="4" t="s">
        <v>10113</v>
      </c>
      <c r="G1492" s="4">
        <v>1992</v>
      </c>
      <c r="H1492" s="25">
        <v>33878</v>
      </c>
    </row>
    <row r="1493" spans="1:11" ht="15.75" customHeight="1">
      <c r="A1493" s="4">
        <v>28723708</v>
      </c>
      <c r="B1493" s="4" t="s">
        <v>10104</v>
      </c>
      <c r="C1493" s="4" t="s">
        <v>10105</v>
      </c>
      <c r="D1493" s="4" t="s">
        <v>10106</v>
      </c>
      <c r="E1493" s="4" t="s">
        <v>1112</v>
      </c>
      <c r="F1493" s="4" t="s">
        <v>10107</v>
      </c>
      <c r="G1493" s="4">
        <v>2017</v>
      </c>
      <c r="H1493" s="25">
        <v>42937</v>
      </c>
      <c r="I1493" s="4" t="s">
        <v>10108</v>
      </c>
      <c r="J1493" s="4" t="s">
        <v>10109</v>
      </c>
      <c r="K1493" s="4" t="s">
        <v>1113</v>
      </c>
    </row>
    <row r="1494" spans="1:11" ht="15.75" customHeight="1">
      <c r="A1494" s="4">
        <v>20225269</v>
      </c>
      <c r="B1494" s="4" t="s">
        <v>10117</v>
      </c>
      <c r="C1494" s="4" t="s">
        <v>10118</v>
      </c>
      <c r="D1494" s="4" t="s">
        <v>10119</v>
      </c>
      <c r="E1494" s="4" t="s">
        <v>3028</v>
      </c>
      <c r="F1494" s="4" t="s">
        <v>7649</v>
      </c>
      <c r="G1494" s="4">
        <v>2010</v>
      </c>
      <c r="H1494" s="25">
        <v>40250</v>
      </c>
      <c r="I1494" s="4" t="s">
        <v>10120</v>
      </c>
      <c r="J1494" s="4" t="s">
        <v>10121</v>
      </c>
      <c r="K1494" s="4" t="s">
        <v>3029</v>
      </c>
    </row>
    <row r="1495" spans="1:11" ht="15.75" customHeight="1">
      <c r="A1495" s="4">
        <v>9700844</v>
      </c>
      <c r="B1495" s="4" t="s">
        <v>10134</v>
      </c>
      <c r="C1495" s="4" t="s">
        <v>7130</v>
      </c>
      <c r="D1495" s="4" t="s">
        <v>10135</v>
      </c>
      <c r="E1495" s="4" t="s">
        <v>4017</v>
      </c>
      <c r="F1495" s="4" t="s">
        <v>10136</v>
      </c>
      <c r="G1495" s="4">
        <v>1998</v>
      </c>
      <c r="H1495" s="25">
        <v>36020</v>
      </c>
    </row>
    <row r="1496" spans="1:11" ht="15.75" customHeight="1">
      <c r="A1496" s="4">
        <v>7955311</v>
      </c>
      <c r="B1496" s="4" t="s">
        <v>10137</v>
      </c>
      <c r="C1496" s="4" t="s">
        <v>10138</v>
      </c>
      <c r="D1496" s="4" t="s">
        <v>10139</v>
      </c>
      <c r="E1496" s="4" t="s">
        <v>1239</v>
      </c>
      <c r="F1496" s="4" t="s">
        <v>10140</v>
      </c>
      <c r="G1496" s="4">
        <v>1994</v>
      </c>
      <c r="H1496" s="25">
        <v>34578</v>
      </c>
      <c r="K1496" s="4" t="s">
        <v>1240</v>
      </c>
    </row>
    <row r="1497" spans="1:11" ht="15.75" customHeight="1">
      <c r="A1497" s="4">
        <v>30013962</v>
      </c>
      <c r="B1497" s="4" t="s">
        <v>10164</v>
      </c>
      <c r="C1497" s="4" t="s">
        <v>10165</v>
      </c>
      <c r="D1497" s="4" t="s">
        <v>10166</v>
      </c>
      <c r="E1497" s="4" t="s">
        <v>3938</v>
      </c>
      <c r="F1497" s="4" t="s">
        <v>9609</v>
      </c>
      <c r="G1497" s="4">
        <v>2018</v>
      </c>
      <c r="H1497" s="25">
        <v>43299</v>
      </c>
      <c r="I1497" s="4" t="s">
        <v>10167</v>
      </c>
      <c r="K1497" s="4" t="s">
        <v>3939</v>
      </c>
    </row>
    <row r="1498" spans="1:11" ht="15.75" customHeight="1">
      <c r="A1498" s="4">
        <v>15936168</v>
      </c>
      <c r="B1498" s="4" t="s">
        <v>10127</v>
      </c>
      <c r="C1498" s="4" t="s">
        <v>10128</v>
      </c>
      <c r="D1498" s="4" t="s">
        <v>10129</v>
      </c>
      <c r="E1498" s="4" t="s">
        <v>1335</v>
      </c>
      <c r="F1498" s="4" t="s">
        <v>10130</v>
      </c>
      <c r="G1498" s="4">
        <v>2005</v>
      </c>
      <c r="H1498" s="25">
        <v>38510</v>
      </c>
      <c r="K1498" s="4" t="s">
        <v>1336</v>
      </c>
    </row>
    <row r="1499" spans="1:11" ht="15.75" customHeight="1">
      <c r="A1499" s="4">
        <v>36882347</v>
      </c>
      <c r="B1499" s="4" t="s">
        <v>10141</v>
      </c>
      <c r="C1499" s="4" t="s">
        <v>10142</v>
      </c>
      <c r="D1499" s="4" t="s">
        <v>10143</v>
      </c>
      <c r="E1499" s="4" t="s">
        <v>2963</v>
      </c>
      <c r="F1499" s="4" t="s">
        <v>8416</v>
      </c>
      <c r="G1499" s="4">
        <v>2023</v>
      </c>
      <c r="H1499" s="25">
        <v>44992</v>
      </c>
      <c r="K1499" s="4" t="s">
        <v>2964</v>
      </c>
    </row>
    <row r="1500" spans="1:11" ht="15.75" customHeight="1">
      <c r="A1500" s="4">
        <v>33133590</v>
      </c>
      <c r="B1500" s="4" t="s">
        <v>10148</v>
      </c>
      <c r="C1500" s="4" t="s">
        <v>10149</v>
      </c>
      <c r="D1500" s="4" t="s">
        <v>10150</v>
      </c>
      <c r="E1500" s="4" t="s">
        <v>988</v>
      </c>
      <c r="F1500" s="4" t="s">
        <v>10151</v>
      </c>
      <c r="G1500" s="4">
        <v>2020</v>
      </c>
      <c r="H1500" s="25">
        <v>44137</v>
      </c>
      <c r="I1500" s="4" t="s">
        <v>10152</v>
      </c>
      <c r="K1500" s="4" t="s">
        <v>989</v>
      </c>
    </row>
    <row r="1501" spans="1:11" ht="15.75" customHeight="1">
      <c r="A1501" s="4">
        <v>2560619</v>
      </c>
      <c r="B1501" s="4" t="s">
        <v>10168</v>
      </c>
      <c r="C1501" s="4" t="s">
        <v>10169</v>
      </c>
      <c r="D1501" s="4" t="s">
        <v>10170</v>
      </c>
      <c r="E1501" s="4" t="s">
        <v>1320</v>
      </c>
      <c r="F1501" s="4" t="s">
        <v>7639</v>
      </c>
      <c r="G1501" s="4">
        <v>1989</v>
      </c>
      <c r="H1501" s="25">
        <v>32813</v>
      </c>
    </row>
    <row r="1502" spans="1:11" ht="15.75" customHeight="1">
      <c r="A1502" s="4">
        <v>20466274</v>
      </c>
      <c r="B1502" s="4" t="s">
        <v>10188</v>
      </c>
      <c r="C1502" s="4" t="s">
        <v>10189</v>
      </c>
      <c r="D1502" s="4" t="s">
        <v>10190</v>
      </c>
      <c r="E1502" s="4" t="s">
        <v>2339</v>
      </c>
      <c r="F1502" s="4" t="s">
        <v>8612</v>
      </c>
      <c r="G1502" s="4">
        <v>2010</v>
      </c>
      <c r="H1502" s="25">
        <v>40313</v>
      </c>
      <c r="K1502" s="4" t="s">
        <v>2342</v>
      </c>
    </row>
    <row r="1503" spans="1:11" ht="15.75" customHeight="1">
      <c r="A1503" s="4">
        <v>33819481</v>
      </c>
      <c r="B1503" s="4" t="s">
        <v>10153</v>
      </c>
      <c r="C1503" s="4" t="s">
        <v>10154</v>
      </c>
      <c r="D1503" s="4" t="s">
        <v>10155</v>
      </c>
      <c r="E1503" s="4" t="s">
        <v>517</v>
      </c>
      <c r="F1503" s="4" t="s">
        <v>4876</v>
      </c>
      <c r="G1503" s="4">
        <v>2021</v>
      </c>
      <c r="H1503" s="25">
        <v>44291</v>
      </c>
      <c r="K1503" s="4" t="s">
        <v>518</v>
      </c>
    </row>
    <row r="1504" spans="1:11" ht="15.75" customHeight="1">
      <c r="A1504" s="4">
        <v>21279280</v>
      </c>
      <c r="B1504" s="4" t="s">
        <v>10156</v>
      </c>
      <c r="C1504" s="4" t="s">
        <v>10157</v>
      </c>
      <c r="D1504" s="4" t="s">
        <v>10158</v>
      </c>
      <c r="E1504" s="4" t="s">
        <v>2124</v>
      </c>
      <c r="F1504" s="4" t="s">
        <v>10159</v>
      </c>
      <c r="G1504" s="4">
        <v>2010</v>
      </c>
      <c r="H1504" s="25">
        <v>40575</v>
      </c>
    </row>
    <row r="1505" spans="1:11" ht="15.75" customHeight="1">
      <c r="A1505" s="4">
        <v>30188990</v>
      </c>
      <c r="B1505" s="4" t="s">
        <v>10171</v>
      </c>
      <c r="C1505" s="4" t="s">
        <v>10172</v>
      </c>
      <c r="D1505" s="4" t="s">
        <v>10173</v>
      </c>
      <c r="E1505" s="4" t="s">
        <v>4332</v>
      </c>
      <c r="F1505" s="4" t="s">
        <v>5080</v>
      </c>
      <c r="G1505" s="4">
        <v>2019</v>
      </c>
      <c r="H1505" s="25">
        <v>43350</v>
      </c>
      <c r="I1505" s="4" t="s">
        <v>10174</v>
      </c>
      <c r="K1505" s="4" t="s">
        <v>4333</v>
      </c>
    </row>
    <row r="1506" spans="1:11" ht="15.75" customHeight="1">
      <c r="A1506" s="4">
        <v>28096984</v>
      </c>
      <c r="B1506" s="4" t="s">
        <v>10191</v>
      </c>
      <c r="C1506" s="4" t="s">
        <v>5778</v>
      </c>
      <c r="D1506" s="4" t="s">
        <v>10192</v>
      </c>
      <c r="E1506" s="4" t="s">
        <v>2490</v>
      </c>
      <c r="F1506" s="4" t="s">
        <v>9775</v>
      </c>
      <c r="G1506" s="4">
        <v>2016</v>
      </c>
      <c r="H1506" s="25">
        <v>42754</v>
      </c>
      <c r="I1506" s="4" t="s">
        <v>10193</v>
      </c>
      <c r="K1506" s="4" t="s">
        <v>2493</v>
      </c>
    </row>
    <row r="1507" spans="1:11" ht="15.75" customHeight="1">
      <c r="A1507" s="4">
        <v>34939755</v>
      </c>
      <c r="B1507" s="4" t="s">
        <v>10194</v>
      </c>
      <c r="C1507" s="4" t="s">
        <v>10195</v>
      </c>
      <c r="D1507" s="4" t="s">
        <v>10196</v>
      </c>
      <c r="E1507" s="4" t="s">
        <v>3857</v>
      </c>
      <c r="F1507" s="4" t="s">
        <v>10197</v>
      </c>
      <c r="G1507" s="4">
        <v>2021</v>
      </c>
      <c r="H1507" s="25">
        <v>44553</v>
      </c>
      <c r="I1507" s="4" t="s">
        <v>10198</v>
      </c>
      <c r="K1507" s="4" t="s">
        <v>3858</v>
      </c>
    </row>
    <row r="1508" spans="1:11" ht="15.75" customHeight="1">
      <c r="A1508" s="4">
        <v>17124085</v>
      </c>
      <c r="B1508" s="4" t="s">
        <v>10175</v>
      </c>
      <c r="C1508" s="4" t="s">
        <v>10176</v>
      </c>
      <c r="D1508" s="4" t="s">
        <v>10177</v>
      </c>
      <c r="E1508" s="4" t="s">
        <v>4386</v>
      </c>
      <c r="F1508" s="4" t="s">
        <v>10178</v>
      </c>
      <c r="G1508" s="4">
        <v>2006</v>
      </c>
      <c r="H1508" s="25">
        <v>39046</v>
      </c>
      <c r="K1508" s="4" t="s">
        <v>4387</v>
      </c>
    </row>
    <row r="1509" spans="1:11" ht="15.75" customHeight="1">
      <c r="A1509" s="4">
        <v>30562175</v>
      </c>
      <c r="B1509" s="4" t="s">
        <v>10185</v>
      </c>
      <c r="C1509" s="4" t="s">
        <v>10186</v>
      </c>
      <c r="D1509" s="4" t="s">
        <v>10187</v>
      </c>
      <c r="E1509" s="4" t="s">
        <v>1769</v>
      </c>
      <c r="F1509" s="4" t="s">
        <v>8940</v>
      </c>
      <c r="G1509" s="4">
        <v>2019</v>
      </c>
      <c r="H1509" s="25">
        <v>43453</v>
      </c>
      <c r="K1509" s="4" t="s">
        <v>1770</v>
      </c>
    </row>
    <row r="1510" spans="1:11" ht="15.75" customHeight="1">
      <c r="A1510" s="4">
        <v>21748845</v>
      </c>
      <c r="B1510" s="4" t="s">
        <v>10179</v>
      </c>
      <c r="C1510" s="4" t="s">
        <v>10180</v>
      </c>
      <c r="D1510" s="4" t="s">
        <v>10181</v>
      </c>
      <c r="E1510" s="4" t="s">
        <v>2048</v>
      </c>
      <c r="F1510" s="4" t="s">
        <v>5295</v>
      </c>
      <c r="G1510" s="4">
        <v>2011</v>
      </c>
      <c r="H1510" s="25">
        <v>40737</v>
      </c>
      <c r="K1510" s="4" t="s">
        <v>2049</v>
      </c>
    </row>
    <row r="1511" spans="1:11" ht="15.75" customHeight="1">
      <c r="A1511" s="4">
        <v>32047230</v>
      </c>
      <c r="B1511" s="4" t="s">
        <v>10182</v>
      </c>
      <c r="C1511" s="4" t="s">
        <v>10183</v>
      </c>
      <c r="D1511" s="4" t="s">
        <v>10184</v>
      </c>
      <c r="E1511" s="4" t="s">
        <v>1322</v>
      </c>
      <c r="F1511" s="4" t="s">
        <v>8947</v>
      </c>
      <c r="G1511" s="4">
        <v>2020</v>
      </c>
      <c r="H1511" s="25">
        <v>43874</v>
      </c>
      <c r="K1511" s="4" t="s">
        <v>1323</v>
      </c>
    </row>
    <row r="1512" spans="1:11" ht="15.75" customHeight="1">
      <c r="A1512" s="4">
        <v>24315842</v>
      </c>
      <c r="B1512" s="4" t="s">
        <v>10199</v>
      </c>
      <c r="C1512" s="4" t="s">
        <v>10200</v>
      </c>
      <c r="D1512" s="4" t="s">
        <v>10201</v>
      </c>
      <c r="E1512" s="4" t="s">
        <v>475</v>
      </c>
      <c r="F1512" s="4" t="s">
        <v>5076</v>
      </c>
      <c r="G1512" s="4">
        <v>2014</v>
      </c>
      <c r="H1512" s="25">
        <v>41618</v>
      </c>
      <c r="K1512" s="4" t="s">
        <v>476</v>
      </c>
    </row>
    <row r="1513" spans="1:11" ht="15.75" customHeight="1">
      <c r="A1513" s="4">
        <v>2560617</v>
      </c>
      <c r="B1513" s="4" t="s">
        <v>9922</v>
      </c>
      <c r="C1513" s="4" t="s">
        <v>9923</v>
      </c>
      <c r="D1513" s="4" t="s">
        <v>9924</v>
      </c>
      <c r="E1513" s="4" t="s">
        <v>2800</v>
      </c>
      <c r="F1513" s="4" t="s">
        <v>7639</v>
      </c>
      <c r="G1513" s="4">
        <v>1989</v>
      </c>
      <c r="H1513" s="25">
        <v>32813</v>
      </c>
    </row>
    <row r="1514" spans="1:11" ht="15.75" customHeight="1">
      <c r="A1514" s="4">
        <v>31380705</v>
      </c>
      <c r="B1514" s="4" t="s">
        <v>10202</v>
      </c>
      <c r="C1514" s="4" t="s">
        <v>10203</v>
      </c>
      <c r="D1514" s="4" t="s">
        <v>10204</v>
      </c>
      <c r="E1514" s="4" t="s">
        <v>449</v>
      </c>
      <c r="F1514" s="4" t="s">
        <v>10205</v>
      </c>
      <c r="G1514" s="4">
        <v>2019</v>
      </c>
      <c r="H1514" s="25">
        <v>43683</v>
      </c>
      <c r="K1514" s="4" t="s">
        <v>450</v>
      </c>
    </row>
    <row r="1515" spans="1:11" ht="15.75" customHeight="1">
      <c r="A1515" s="4">
        <v>19845116</v>
      </c>
      <c r="B1515" s="4" t="s">
        <v>10206</v>
      </c>
      <c r="C1515" s="4" t="s">
        <v>10207</v>
      </c>
      <c r="D1515" s="4" t="s">
        <v>10208</v>
      </c>
      <c r="E1515" s="4" t="s">
        <v>545</v>
      </c>
      <c r="F1515" s="4" t="s">
        <v>5103</v>
      </c>
      <c r="G1515" s="4">
        <v>2009</v>
      </c>
      <c r="H1515" s="25">
        <v>40109</v>
      </c>
    </row>
    <row r="1516" spans="1:11" ht="15.75" customHeight="1">
      <c r="A1516" s="4">
        <v>27486740</v>
      </c>
      <c r="B1516" s="4" t="s">
        <v>10209</v>
      </c>
      <c r="C1516" s="4" t="s">
        <v>10210</v>
      </c>
      <c r="D1516" s="4" t="s">
        <v>10211</v>
      </c>
      <c r="E1516" s="4" t="s">
        <v>3735</v>
      </c>
      <c r="F1516" s="4" t="s">
        <v>9844</v>
      </c>
      <c r="G1516" s="4">
        <v>2016</v>
      </c>
      <c r="H1516" s="25">
        <v>42586</v>
      </c>
      <c r="I1516" s="4" t="s">
        <v>10212</v>
      </c>
      <c r="K1516" s="4" t="s">
        <v>3736</v>
      </c>
    </row>
    <row r="1517" spans="1:11" ht="15.75" customHeight="1">
      <c r="A1517" s="4">
        <v>31942610</v>
      </c>
      <c r="B1517" s="4" t="s">
        <v>10218</v>
      </c>
      <c r="C1517" s="4" t="s">
        <v>10219</v>
      </c>
      <c r="D1517" s="4" t="s">
        <v>10220</v>
      </c>
      <c r="E1517" s="4" t="s">
        <v>2668</v>
      </c>
      <c r="F1517" s="4" t="s">
        <v>5343</v>
      </c>
      <c r="G1517" s="4">
        <v>2020</v>
      </c>
      <c r="H1517" s="25">
        <v>43847</v>
      </c>
      <c r="I1517" s="4" t="s">
        <v>10221</v>
      </c>
      <c r="K1517" s="4" t="s">
        <v>2669</v>
      </c>
    </row>
    <row r="1518" spans="1:11" ht="15.75" customHeight="1">
      <c r="A1518" s="4">
        <v>36964509</v>
      </c>
      <c r="B1518" s="4" t="s">
        <v>10213</v>
      </c>
      <c r="C1518" s="4" t="s">
        <v>10214</v>
      </c>
      <c r="D1518" s="4" t="s">
        <v>10215</v>
      </c>
      <c r="E1518" s="4" t="s">
        <v>2899</v>
      </c>
      <c r="F1518" s="4" t="s">
        <v>10216</v>
      </c>
      <c r="G1518" s="4">
        <v>2023</v>
      </c>
      <c r="H1518" s="25">
        <v>45010</v>
      </c>
      <c r="I1518" s="4" t="s">
        <v>10217</v>
      </c>
      <c r="K1518" s="4" t="s">
        <v>2900</v>
      </c>
    </row>
    <row r="1519" spans="1:11" ht="15.75" customHeight="1">
      <c r="A1519" s="4">
        <v>21720806</v>
      </c>
      <c r="B1519" s="4" t="s">
        <v>10222</v>
      </c>
      <c r="C1519" s="4" t="s">
        <v>10223</v>
      </c>
      <c r="D1519" s="4" t="s">
        <v>10224</v>
      </c>
      <c r="E1519" s="4" t="s">
        <v>2746</v>
      </c>
      <c r="F1519" s="4" t="s">
        <v>10225</v>
      </c>
      <c r="G1519" s="4">
        <v>2011</v>
      </c>
      <c r="H1519" s="25">
        <v>40726</v>
      </c>
      <c r="I1519" s="4" t="s">
        <v>10226</v>
      </c>
      <c r="J1519" s="4" t="s">
        <v>10227</v>
      </c>
      <c r="K1519" s="4" t="s">
        <v>2747</v>
      </c>
    </row>
    <row r="1520" spans="1:11" ht="15.75" customHeight="1">
      <c r="A1520" s="4">
        <v>25582535</v>
      </c>
      <c r="B1520" s="4" t="s">
        <v>10228</v>
      </c>
      <c r="C1520" s="4" t="s">
        <v>10229</v>
      </c>
      <c r="D1520" s="4" t="s">
        <v>10230</v>
      </c>
      <c r="E1520" s="4" t="s">
        <v>4283</v>
      </c>
      <c r="F1520" s="4" t="s">
        <v>6395</v>
      </c>
      <c r="G1520" s="4">
        <v>2015</v>
      </c>
      <c r="H1520" s="25">
        <v>42018</v>
      </c>
      <c r="K1520" s="4" t="s">
        <v>4284</v>
      </c>
    </row>
    <row r="1521" spans="1:11" ht="15.75" customHeight="1">
      <c r="A1521" s="4">
        <v>29756385</v>
      </c>
      <c r="B1521" s="4" t="s">
        <v>10245</v>
      </c>
      <c r="C1521" s="4" t="s">
        <v>10246</v>
      </c>
      <c r="D1521" s="4" t="s">
        <v>10247</v>
      </c>
      <c r="E1521" s="4" t="s">
        <v>842</v>
      </c>
      <c r="F1521" s="4" t="s">
        <v>5291</v>
      </c>
      <c r="G1521" s="4">
        <v>2018</v>
      </c>
      <c r="H1521" s="25">
        <v>43235</v>
      </c>
      <c r="I1521" s="4" t="s">
        <v>10248</v>
      </c>
      <c r="J1521" s="4" t="s">
        <v>10249</v>
      </c>
      <c r="K1521" s="4" t="s">
        <v>843</v>
      </c>
    </row>
    <row r="1522" spans="1:11" ht="15.75" customHeight="1">
      <c r="A1522" s="4">
        <v>34595132</v>
      </c>
      <c r="B1522" s="4" t="s">
        <v>10235</v>
      </c>
      <c r="C1522" s="4" t="s">
        <v>10236</v>
      </c>
      <c r="D1522" s="4" t="s">
        <v>10237</v>
      </c>
      <c r="E1522" s="4" t="s">
        <v>4697</v>
      </c>
      <c r="F1522" s="4" t="s">
        <v>9191</v>
      </c>
      <c r="G1522" s="4">
        <v>2021</v>
      </c>
      <c r="H1522" s="25">
        <v>44470</v>
      </c>
      <c r="I1522" s="4" t="s">
        <v>10238</v>
      </c>
      <c r="K1522" s="4" t="s">
        <v>4698</v>
      </c>
    </row>
    <row r="1523" spans="1:11" ht="15.75" customHeight="1">
      <c r="A1523" s="4">
        <v>21037551</v>
      </c>
      <c r="B1523" s="4" t="s">
        <v>10231</v>
      </c>
      <c r="C1523" s="4" t="s">
        <v>10232</v>
      </c>
      <c r="D1523" s="4" t="s">
        <v>10233</v>
      </c>
      <c r="E1523" s="4" t="s">
        <v>3871</v>
      </c>
      <c r="F1523" s="4" t="s">
        <v>10234</v>
      </c>
      <c r="G1523" s="4">
        <v>2010</v>
      </c>
      <c r="H1523" s="25">
        <v>40484</v>
      </c>
    </row>
    <row r="1524" spans="1:11" ht="15.75" customHeight="1">
      <c r="A1524" s="4">
        <v>9886378</v>
      </c>
      <c r="B1524" s="4" t="s">
        <v>10239</v>
      </c>
      <c r="C1524" s="4" t="s">
        <v>10240</v>
      </c>
      <c r="D1524" s="4" t="s">
        <v>10241</v>
      </c>
      <c r="E1524" s="4" t="s">
        <v>4341</v>
      </c>
      <c r="F1524" s="4" t="s">
        <v>6293</v>
      </c>
      <c r="G1524" s="4">
        <v>1999</v>
      </c>
      <c r="H1524" s="25">
        <v>36174</v>
      </c>
    </row>
    <row r="1525" spans="1:11" ht="15.75" customHeight="1">
      <c r="A1525" s="4">
        <v>11171895</v>
      </c>
      <c r="B1525" s="4" t="s">
        <v>10242</v>
      </c>
      <c r="C1525" s="4" t="s">
        <v>10243</v>
      </c>
      <c r="D1525" s="4" t="s">
        <v>10244</v>
      </c>
      <c r="E1525" s="4" t="s">
        <v>3209</v>
      </c>
      <c r="F1525" s="4" t="s">
        <v>7413</v>
      </c>
      <c r="G1525" s="4">
        <v>2001</v>
      </c>
      <c r="H1525" s="25">
        <v>36937</v>
      </c>
      <c r="K1525" s="4" t="s">
        <v>3210</v>
      </c>
    </row>
    <row r="1526" spans="1:11" ht="15.75" customHeight="1">
      <c r="A1526" s="4">
        <v>25946433</v>
      </c>
      <c r="B1526" s="4" t="s">
        <v>10253</v>
      </c>
      <c r="C1526" s="4" t="s">
        <v>10254</v>
      </c>
      <c r="D1526" s="4" t="s">
        <v>10255</v>
      </c>
      <c r="E1526" s="4" t="s">
        <v>184</v>
      </c>
      <c r="F1526" s="4" t="s">
        <v>4923</v>
      </c>
      <c r="G1526" s="4">
        <v>2015</v>
      </c>
      <c r="H1526" s="25">
        <v>42131</v>
      </c>
      <c r="K1526" s="4" t="s">
        <v>661</v>
      </c>
    </row>
    <row r="1527" spans="1:11" ht="15.75" customHeight="1">
      <c r="A1527" s="4">
        <v>36216522</v>
      </c>
      <c r="B1527" s="4" t="s">
        <v>10250</v>
      </c>
      <c r="C1527" s="4" t="s">
        <v>10251</v>
      </c>
      <c r="D1527" s="4" t="s">
        <v>10252</v>
      </c>
      <c r="E1527" s="4" t="s">
        <v>1451</v>
      </c>
      <c r="F1527" s="4" t="s">
        <v>7413</v>
      </c>
      <c r="G1527" s="4">
        <v>2022</v>
      </c>
      <c r="H1527" s="25">
        <v>44844</v>
      </c>
      <c r="K1527" s="4" t="s">
        <v>1452</v>
      </c>
    </row>
    <row r="1528" spans="1:11" ht="15.75" customHeight="1">
      <c r="A1528" s="4">
        <v>26950725</v>
      </c>
      <c r="B1528" s="4" t="s">
        <v>10131</v>
      </c>
      <c r="C1528" s="4" t="s">
        <v>10132</v>
      </c>
      <c r="D1528" s="4" t="s">
        <v>10133</v>
      </c>
      <c r="E1528" s="4" t="s">
        <v>1739</v>
      </c>
      <c r="F1528" s="4" t="s">
        <v>5445</v>
      </c>
      <c r="G1528" s="4">
        <v>2016</v>
      </c>
      <c r="H1528" s="25">
        <v>42437</v>
      </c>
      <c r="K1528" s="4" t="s">
        <v>1740</v>
      </c>
    </row>
    <row r="1529" spans="1:11" ht="15.75" customHeight="1">
      <c r="A1529" s="4">
        <v>33533068</v>
      </c>
      <c r="B1529" s="4" t="s">
        <v>10273</v>
      </c>
      <c r="C1529" s="4" t="s">
        <v>10274</v>
      </c>
      <c r="D1529" s="4" t="s">
        <v>10275</v>
      </c>
      <c r="E1529" s="4" t="s">
        <v>282</v>
      </c>
      <c r="F1529" s="4" t="s">
        <v>4974</v>
      </c>
      <c r="G1529" s="4">
        <v>2021</v>
      </c>
      <c r="H1529" s="25">
        <v>44230</v>
      </c>
      <c r="K1529" s="4" t="s">
        <v>413</v>
      </c>
    </row>
    <row r="1530" spans="1:11" ht="15.75" customHeight="1">
      <c r="A1530" s="4">
        <v>26046087</v>
      </c>
      <c r="B1530" s="4" t="s">
        <v>10259</v>
      </c>
      <c r="C1530" s="4" t="s">
        <v>10260</v>
      </c>
      <c r="D1530" s="4" t="s">
        <v>10261</v>
      </c>
      <c r="E1530" s="4" t="s">
        <v>709</v>
      </c>
      <c r="F1530" s="4" t="s">
        <v>10262</v>
      </c>
      <c r="G1530" s="4">
        <v>2015</v>
      </c>
      <c r="H1530" s="25">
        <v>42161</v>
      </c>
      <c r="I1530" s="4" t="s">
        <v>10263</v>
      </c>
      <c r="K1530" s="4" t="s">
        <v>710</v>
      </c>
    </row>
    <row r="1531" spans="1:11" ht="15.75" customHeight="1">
      <c r="A1531" s="4">
        <v>22414904</v>
      </c>
      <c r="B1531" s="4" t="s">
        <v>10256</v>
      </c>
      <c r="C1531" s="4" t="s">
        <v>10257</v>
      </c>
      <c r="D1531" s="4" t="s">
        <v>10258</v>
      </c>
      <c r="E1531" s="4" t="s">
        <v>2462</v>
      </c>
      <c r="F1531" s="4" t="s">
        <v>5982</v>
      </c>
      <c r="G1531" s="4">
        <v>2012</v>
      </c>
      <c r="H1531" s="25">
        <v>40983</v>
      </c>
      <c r="K1531" s="4" t="s">
        <v>2463</v>
      </c>
    </row>
    <row r="1532" spans="1:11" ht="15.75" customHeight="1">
      <c r="A1532" s="4">
        <v>16174601</v>
      </c>
      <c r="B1532" s="4" t="s">
        <v>10269</v>
      </c>
      <c r="C1532" s="4" t="s">
        <v>10270</v>
      </c>
      <c r="D1532" s="4" t="s">
        <v>10271</v>
      </c>
      <c r="E1532" s="4" t="s">
        <v>3268</v>
      </c>
      <c r="F1532" s="4" t="s">
        <v>10272</v>
      </c>
      <c r="G1532" s="4">
        <v>2005</v>
      </c>
      <c r="H1532" s="25">
        <v>38617</v>
      </c>
      <c r="K1532" s="4" t="s">
        <v>3269</v>
      </c>
    </row>
    <row r="1533" spans="1:11" ht="15.75" customHeight="1">
      <c r="A1533" s="4">
        <v>30168657</v>
      </c>
      <c r="B1533" s="4" t="s">
        <v>10264</v>
      </c>
      <c r="C1533" s="4" t="s">
        <v>10265</v>
      </c>
      <c r="D1533" s="4" t="s">
        <v>10266</v>
      </c>
      <c r="E1533" s="4" t="s">
        <v>3307</v>
      </c>
      <c r="F1533" s="4" t="s">
        <v>10267</v>
      </c>
      <c r="G1533" s="4">
        <v>2018</v>
      </c>
      <c r="H1533" s="25">
        <v>43344</v>
      </c>
      <c r="I1533" s="4" t="s">
        <v>10268</v>
      </c>
      <c r="K1533" s="4" t="s">
        <v>3308</v>
      </c>
    </row>
    <row r="1534" spans="1:11" ht="15.75" customHeight="1">
      <c r="A1534" s="4">
        <v>29787887</v>
      </c>
      <c r="B1534" s="4" t="s">
        <v>10285</v>
      </c>
      <c r="C1534" s="4" t="s">
        <v>10286</v>
      </c>
      <c r="D1534" s="4" t="s">
        <v>10287</v>
      </c>
      <c r="E1534" s="4" t="s">
        <v>945</v>
      </c>
      <c r="F1534" s="4" t="s">
        <v>4851</v>
      </c>
      <c r="G1534" s="4">
        <v>2019</v>
      </c>
      <c r="H1534" s="25">
        <v>43243</v>
      </c>
      <c r="K1534" s="4" t="s">
        <v>946</v>
      </c>
    </row>
    <row r="1535" spans="1:11" ht="15.75" customHeight="1">
      <c r="A1535" s="4">
        <v>1650955</v>
      </c>
      <c r="B1535" s="4" t="s">
        <v>10281</v>
      </c>
      <c r="C1535" s="4" t="s">
        <v>10282</v>
      </c>
      <c r="D1535" s="4" t="s">
        <v>10283</v>
      </c>
      <c r="E1535" s="4" t="s">
        <v>2033</v>
      </c>
      <c r="F1535" s="4" t="s">
        <v>10284</v>
      </c>
      <c r="G1535" s="4">
        <v>1991</v>
      </c>
      <c r="H1535" s="25">
        <v>33270</v>
      </c>
      <c r="K1535" s="4" t="s">
        <v>2034</v>
      </c>
    </row>
    <row r="1536" spans="1:11" ht="15.75" customHeight="1">
      <c r="A1536" s="4">
        <v>19667214</v>
      </c>
      <c r="B1536" s="4" t="s">
        <v>10276</v>
      </c>
      <c r="C1536" s="4" t="s">
        <v>10277</v>
      </c>
      <c r="D1536" s="4" t="s">
        <v>10278</v>
      </c>
      <c r="E1536" s="4" t="s">
        <v>4316</v>
      </c>
      <c r="F1536" s="4" t="s">
        <v>8689</v>
      </c>
      <c r="G1536" s="4">
        <v>2009</v>
      </c>
      <c r="H1536" s="25">
        <v>40037</v>
      </c>
      <c r="I1536" s="4" t="s">
        <v>10279</v>
      </c>
      <c r="J1536" s="4" t="s">
        <v>10280</v>
      </c>
      <c r="K1536" s="4" t="s">
        <v>4317</v>
      </c>
    </row>
    <row r="1537" spans="1:11" ht="15.75" customHeight="1">
      <c r="A1537" s="4">
        <v>32027295</v>
      </c>
      <c r="B1537" s="4" t="s">
        <v>10288</v>
      </c>
      <c r="C1537" s="4" t="s">
        <v>10289</v>
      </c>
      <c r="D1537" s="4" t="s">
        <v>10290</v>
      </c>
      <c r="E1537" s="4" t="s">
        <v>4679</v>
      </c>
      <c r="F1537" s="4" t="s">
        <v>6151</v>
      </c>
      <c r="G1537" s="4">
        <v>2020</v>
      </c>
      <c r="H1537" s="25">
        <v>43868</v>
      </c>
      <c r="K1537" s="4" t="s">
        <v>4680</v>
      </c>
    </row>
    <row r="1538" spans="1:11" ht="15.75" customHeight="1">
      <c r="A1538" s="4">
        <v>19099488</v>
      </c>
      <c r="B1538" s="4" t="s">
        <v>10291</v>
      </c>
      <c r="C1538" s="4" t="s">
        <v>10292</v>
      </c>
      <c r="D1538" s="4" t="s">
        <v>10293</v>
      </c>
      <c r="E1538" s="4" t="s">
        <v>1276</v>
      </c>
      <c r="F1538" s="4" t="s">
        <v>4992</v>
      </c>
      <c r="G1538" s="4">
        <v>2009</v>
      </c>
      <c r="H1538" s="25">
        <v>39805</v>
      </c>
      <c r="K1538" s="4" t="s">
        <v>1277</v>
      </c>
    </row>
    <row r="1539" spans="1:11" ht="15.75" customHeight="1">
      <c r="A1539" s="4">
        <v>36996872</v>
      </c>
      <c r="B1539" s="4" t="s">
        <v>10294</v>
      </c>
      <c r="C1539" s="4" t="s">
        <v>10988</v>
      </c>
      <c r="D1539" s="4" t="s">
        <v>10296</v>
      </c>
      <c r="E1539" s="4" t="s">
        <v>3262</v>
      </c>
      <c r="F1539" s="4" t="s">
        <v>4813</v>
      </c>
      <c r="G1539" s="4">
        <v>2023</v>
      </c>
      <c r="H1539" s="25">
        <v>45015</v>
      </c>
      <c r="I1539" s="4" t="s">
        <v>10297</v>
      </c>
      <c r="K1539" s="4" t="s">
        <v>3263</v>
      </c>
    </row>
    <row r="1540" spans="1:11" ht="15.75" customHeight="1">
      <c r="A1540" s="4">
        <v>33823791</v>
      </c>
      <c r="B1540" s="4" t="s">
        <v>10316</v>
      </c>
      <c r="C1540" s="4" t="s">
        <v>10317</v>
      </c>
      <c r="D1540" s="4" t="s">
        <v>10318</v>
      </c>
      <c r="E1540" s="4" t="s">
        <v>3463</v>
      </c>
      <c r="F1540" s="4" t="s">
        <v>10319</v>
      </c>
      <c r="G1540" s="4">
        <v>2021</v>
      </c>
      <c r="H1540" s="25">
        <v>44293</v>
      </c>
      <c r="I1540" s="4" t="s">
        <v>10320</v>
      </c>
      <c r="K1540" s="4" t="s">
        <v>3464</v>
      </c>
    </row>
    <row r="1541" spans="1:11" ht="15.75" customHeight="1">
      <c r="A1541" s="4">
        <v>24877035</v>
      </c>
      <c r="B1541" s="4" t="s">
        <v>10321</v>
      </c>
      <c r="C1541" s="4" t="s">
        <v>10322</v>
      </c>
      <c r="D1541" s="4" t="s">
        <v>10323</v>
      </c>
      <c r="E1541" s="4" t="s">
        <v>2789</v>
      </c>
      <c r="F1541" s="4" t="s">
        <v>10324</v>
      </c>
      <c r="G1541" s="4">
        <v>2014</v>
      </c>
      <c r="H1541" s="25">
        <v>41790</v>
      </c>
      <c r="I1541" s="4" t="s">
        <v>10325</v>
      </c>
      <c r="K1541" s="4" t="s">
        <v>2792</v>
      </c>
    </row>
    <row r="1542" spans="1:11" ht="15.75" customHeight="1">
      <c r="A1542" s="4">
        <v>25888743</v>
      </c>
      <c r="B1542" s="4" t="s">
        <v>10298</v>
      </c>
      <c r="C1542" s="4" t="s">
        <v>10299</v>
      </c>
      <c r="D1542" s="4" t="s">
        <v>10300</v>
      </c>
      <c r="E1542" s="4" t="s">
        <v>4043</v>
      </c>
      <c r="F1542" s="4" t="s">
        <v>7653</v>
      </c>
      <c r="G1542" s="4">
        <v>2015</v>
      </c>
      <c r="H1542" s="25">
        <v>42113</v>
      </c>
      <c r="I1542" s="4" t="s">
        <v>10301</v>
      </c>
      <c r="K1542" s="4" t="s">
        <v>4044</v>
      </c>
    </row>
    <row r="1543" spans="1:11" ht="15.75" customHeight="1">
      <c r="A1543" s="4">
        <v>27402152</v>
      </c>
      <c r="B1543" s="4" t="s">
        <v>10306</v>
      </c>
      <c r="C1543" s="4" t="s">
        <v>10307</v>
      </c>
      <c r="D1543" s="4" t="s">
        <v>10308</v>
      </c>
      <c r="E1543" s="4" t="s">
        <v>4106</v>
      </c>
      <c r="F1543" s="4" t="s">
        <v>10309</v>
      </c>
      <c r="G1543" s="4">
        <v>2016</v>
      </c>
      <c r="H1543" s="25">
        <v>42564</v>
      </c>
      <c r="I1543" s="4" t="s">
        <v>10310</v>
      </c>
      <c r="K1543" s="4" t="s">
        <v>4107</v>
      </c>
    </row>
    <row r="1544" spans="1:11" ht="15.75" customHeight="1">
      <c r="A1544" s="4">
        <v>35651518</v>
      </c>
      <c r="B1544" s="4" t="s">
        <v>10311</v>
      </c>
      <c r="C1544" s="4" t="s">
        <v>10312</v>
      </c>
      <c r="D1544" s="4" t="s">
        <v>10313</v>
      </c>
      <c r="E1544" s="4" t="s">
        <v>1098</v>
      </c>
      <c r="F1544" s="4" t="s">
        <v>10314</v>
      </c>
      <c r="G1544" s="4">
        <v>2022</v>
      </c>
      <c r="H1544" s="25">
        <v>44714</v>
      </c>
      <c r="I1544" s="4" t="s">
        <v>10315</v>
      </c>
      <c r="K1544" s="4" t="s">
        <v>1099</v>
      </c>
    </row>
    <row r="1545" spans="1:11" ht="15.75" customHeight="1">
      <c r="A1545" s="4">
        <v>8830838</v>
      </c>
      <c r="B1545" s="4" t="s">
        <v>10326</v>
      </c>
      <c r="C1545" s="4" t="s">
        <v>10327</v>
      </c>
      <c r="D1545" s="4" t="s">
        <v>10328</v>
      </c>
      <c r="E1545" s="4" t="s">
        <v>1086</v>
      </c>
      <c r="F1545" s="4" t="s">
        <v>5445</v>
      </c>
      <c r="G1545" s="4">
        <v>1996</v>
      </c>
      <c r="H1545" s="25">
        <v>35323</v>
      </c>
      <c r="K1545" s="4" t="s">
        <v>1091</v>
      </c>
    </row>
    <row r="1546" spans="1:11" ht="15.75" customHeight="1">
      <c r="A1546" s="4">
        <v>8016478</v>
      </c>
      <c r="B1546" s="4" t="s">
        <v>10333</v>
      </c>
      <c r="C1546" s="4" t="s">
        <v>10334</v>
      </c>
      <c r="D1546" s="4" t="s">
        <v>10335</v>
      </c>
      <c r="E1546" s="4" t="s">
        <v>1737</v>
      </c>
      <c r="F1546" s="4" t="s">
        <v>5247</v>
      </c>
      <c r="G1546" s="4">
        <v>1993</v>
      </c>
      <c r="H1546" s="25">
        <v>34213</v>
      </c>
    </row>
    <row r="1547" spans="1:11" ht="15.75" customHeight="1">
      <c r="A1547" s="4">
        <v>19752295</v>
      </c>
      <c r="B1547" s="4" t="s">
        <v>10329</v>
      </c>
      <c r="C1547" s="4" t="s">
        <v>10277</v>
      </c>
      <c r="D1547" s="4" t="s">
        <v>10330</v>
      </c>
      <c r="E1547" s="4" t="s">
        <v>4316</v>
      </c>
      <c r="F1547" s="4" t="s">
        <v>8689</v>
      </c>
      <c r="G1547" s="4">
        <v>2009</v>
      </c>
      <c r="H1547" s="25">
        <v>40072</v>
      </c>
      <c r="I1547" s="4" t="s">
        <v>10331</v>
      </c>
      <c r="J1547" s="4" t="s">
        <v>10332</v>
      </c>
      <c r="K1547" s="4" t="s">
        <v>4319</v>
      </c>
    </row>
    <row r="1548" spans="1:11" ht="15.75" customHeight="1">
      <c r="A1548" s="4">
        <v>32004700</v>
      </c>
      <c r="B1548" s="4" t="s">
        <v>10336</v>
      </c>
      <c r="C1548" s="4" t="s">
        <v>10337</v>
      </c>
      <c r="D1548" s="4" t="s">
        <v>10338</v>
      </c>
      <c r="E1548" s="4" t="s">
        <v>265</v>
      </c>
      <c r="F1548" s="4" t="s">
        <v>5076</v>
      </c>
      <c r="G1548" s="4">
        <v>2020</v>
      </c>
      <c r="H1548" s="25">
        <v>43862</v>
      </c>
      <c r="K1548" s="4" t="s">
        <v>398</v>
      </c>
    </row>
    <row r="1549" spans="1:11" ht="15.75" customHeight="1">
      <c r="A1549" s="4">
        <v>9829439</v>
      </c>
      <c r="B1549" s="4" t="s">
        <v>10339</v>
      </c>
      <c r="C1549" s="4" t="s">
        <v>10340</v>
      </c>
      <c r="D1549" s="4" t="s">
        <v>10341</v>
      </c>
      <c r="E1549" s="4" t="s">
        <v>3951</v>
      </c>
      <c r="F1549" s="4" t="s">
        <v>10342</v>
      </c>
      <c r="G1549" s="4">
        <v>1998</v>
      </c>
      <c r="H1549" s="25">
        <v>36125</v>
      </c>
      <c r="K1549" s="4" t="s">
        <v>3954</v>
      </c>
    </row>
    <row r="1550" spans="1:11" ht="15.75" customHeight="1">
      <c r="A1550" s="4">
        <v>38041493</v>
      </c>
      <c r="B1550" s="4" t="s">
        <v>10343</v>
      </c>
      <c r="C1550" s="4" t="s">
        <v>10344</v>
      </c>
      <c r="D1550" s="4" t="s">
        <v>10345</v>
      </c>
      <c r="E1550" s="4" t="s">
        <v>4488</v>
      </c>
      <c r="F1550" s="4" t="s">
        <v>4974</v>
      </c>
      <c r="G1550" s="4">
        <v>2023</v>
      </c>
      <c r="H1550" s="25">
        <v>45262</v>
      </c>
      <c r="K1550" s="4" t="s">
        <v>4489</v>
      </c>
    </row>
    <row r="1551" spans="1:11" ht="15.75" customHeight="1">
      <c r="A1551" s="4">
        <v>9030868</v>
      </c>
      <c r="B1551" s="4" t="s">
        <v>10346</v>
      </c>
      <c r="C1551" s="4" t="s">
        <v>10347</v>
      </c>
      <c r="D1551" s="4" t="s">
        <v>10348</v>
      </c>
      <c r="E1551" s="4" t="s">
        <v>1445</v>
      </c>
      <c r="F1551" s="4" t="s">
        <v>9008</v>
      </c>
      <c r="G1551" s="4">
        <v>1997</v>
      </c>
      <c r="H1551" s="25">
        <v>35462</v>
      </c>
      <c r="I1551" s="4" t="s">
        <v>10349</v>
      </c>
      <c r="K1551" s="4" t="s">
        <v>1446</v>
      </c>
    </row>
    <row r="1552" spans="1:11" ht="15.75" customHeight="1">
      <c r="A1552" s="4">
        <v>26383177</v>
      </c>
      <c r="B1552" s="4" t="s">
        <v>10355</v>
      </c>
      <c r="C1552" s="4" t="s">
        <v>10356</v>
      </c>
      <c r="D1552" s="4" t="s">
        <v>10357</v>
      </c>
      <c r="E1552" s="4" t="s">
        <v>4307</v>
      </c>
      <c r="F1552" s="4" t="s">
        <v>10358</v>
      </c>
      <c r="G1552" s="4">
        <v>2016</v>
      </c>
      <c r="H1552" s="25">
        <v>42266</v>
      </c>
      <c r="K1552" s="4" t="s">
        <v>4308</v>
      </c>
    </row>
    <row r="1553" spans="1:11" ht="15.75" customHeight="1">
      <c r="A1553" s="4">
        <v>33718897</v>
      </c>
      <c r="B1553" s="4" t="s">
        <v>10350</v>
      </c>
      <c r="C1553" s="4" t="s">
        <v>10351</v>
      </c>
      <c r="D1553" s="4" t="s">
        <v>10352</v>
      </c>
      <c r="E1553" s="4" t="s">
        <v>484</v>
      </c>
      <c r="F1553" s="4" t="s">
        <v>4876</v>
      </c>
      <c r="G1553" s="4">
        <v>2021</v>
      </c>
      <c r="H1553" s="25">
        <v>44270</v>
      </c>
      <c r="I1553" s="4" t="s">
        <v>10353</v>
      </c>
      <c r="J1553" s="4" t="s">
        <v>10354</v>
      </c>
      <c r="K1553" s="4" t="s">
        <v>485</v>
      </c>
    </row>
    <row r="1554" spans="1:11" ht="15.75" customHeight="1">
      <c r="A1554" s="4">
        <v>31782875</v>
      </c>
      <c r="B1554" s="4" t="s">
        <v>10359</v>
      </c>
      <c r="C1554" s="4" t="s">
        <v>10360</v>
      </c>
      <c r="D1554" s="4" t="s">
        <v>10361</v>
      </c>
      <c r="E1554" s="4" t="s">
        <v>811</v>
      </c>
      <c r="F1554" s="4" t="s">
        <v>4974</v>
      </c>
      <c r="G1554" s="4">
        <v>2020</v>
      </c>
      <c r="H1554" s="25">
        <v>43799</v>
      </c>
      <c r="I1554" s="4" t="s">
        <v>10362</v>
      </c>
      <c r="J1554" s="4" t="s">
        <v>10363</v>
      </c>
      <c r="K1554" s="4" t="s">
        <v>812</v>
      </c>
    </row>
    <row r="1555" spans="1:11" ht="15.75" customHeight="1">
      <c r="A1555" s="4">
        <v>10392432</v>
      </c>
      <c r="B1555" s="4" t="s">
        <v>10368</v>
      </c>
      <c r="C1555" s="4" t="s">
        <v>10369</v>
      </c>
      <c r="D1555" s="4" t="s">
        <v>10370</v>
      </c>
      <c r="E1555" s="4" t="s">
        <v>2853</v>
      </c>
      <c r="F1555" s="4" t="s">
        <v>7389</v>
      </c>
      <c r="G1555" s="4">
        <v>1999</v>
      </c>
      <c r="H1555" s="25">
        <v>36348</v>
      </c>
    </row>
    <row r="1556" spans="1:11" ht="15.75" customHeight="1">
      <c r="A1556" s="4">
        <v>22996288</v>
      </c>
      <c r="B1556" s="4" t="s">
        <v>10364</v>
      </c>
      <c r="C1556" s="4" t="s">
        <v>10365</v>
      </c>
      <c r="D1556" s="4" t="s">
        <v>10366</v>
      </c>
      <c r="E1556" s="4" t="s">
        <v>3099</v>
      </c>
      <c r="F1556" s="4" t="s">
        <v>10367</v>
      </c>
      <c r="G1556" s="4">
        <v>2012</v>
      </c>
      <c r="H1556" s="25">
        <v>41174</v>
      </c>
      <c r="K1556" s="4" t="s">
        <v>3100</v>
      </c>
    </row>
    <row r="1557" spans="1:11" ht="15.75" customHeight="1">
      <c r="A1557" s="4">
        <v>36193010</v>
      </c>
      <c r="B1557" s="4" t="s">
        <v>10989</v>
      </c>
      <c r="C1557" s="4" t="s">
        <v>10372</v>
      </c>
      <c r="D1557" s="4" t="s">
        <v>10373</v>
      </c>
      <c r="E1557" s="4" t="s">
        <v>1785</v>
      </c>
      <c r="F1557" s="4" t="s">
        <v>10374</v>
      </c>
      <c r="G1557" s="4">
        <v>2022</v>
      </c>
      <c r="H1557" s="25">
        <v>44838</v>
      </c>
      <c r="K1557" s="4" t="s">
        <v>1786</v>
      </c>
    </row>
    <row r="1558" spans="1:11" ht="15.75" customHeight="1">
      <c r="A1558" s="4">
        <v>27057748</v>
      </c>
      <c r="B1558" s="4" t="s">
        <v>10378</v>
      </c>
      <c r="C1558" s="4" t="s">
        <v>10379</v>
      </c>
      <c r="D1558" s="4" t="s">
        <v>10380</v>
      </c>
      <c r="E1558" s="4" t="s">
        <v>572</v>
      </c>
      <c r="F1558" s="4" t="s">
        <v>6176</v>
      </c>
      <c r="G1558" s="4">
        <v>2016</v>
      </c>
      <c r="H1558" s="25">
        <v>42469</v>
      </c>
      <c r="K1558" s="4" t="s">
        <v>573</v>
      </c>
    </row>
    <row r="1559" spans="1:11" ht="15.75" customHeight="1">
      <c r="A1559" s="4">
        <v>3627265</v>
      </c>
      <c r="B1559" s="4" t="s">
        <v>10375</v>
      </c>
      <c r="C1559" s="4" t="s">
        <v>10376</v>
      </c>
      <c r="D1559" s="4" t="s">
        <v>10377</v>
      </c>
      <c r="E1559" s="4" t="s">
        <v>1063</v>
      </c>
      <c r="F1559" s="4" t="s">
        <v>4813</v>
      </c>
      <c r="G1559" s="4">
        <v>1987</v>
      </c>
      <c r="H1559" s="25">
        <v>32037</v>
      </c>
      <c r="K1559" s="4" t="s">
        <v>1079</v>
      </c>
    </row>
    <row r="1560" spans="1:11" ht="15.75" customHeight="1">
      <c r="A1560" s="4">
        <v>31324107</v>
      </c>
      <c r="B1560" s="4" t="s">
        <v>10385</v>
      </c>
      <c r="C1560" s="4" t="s">
        <v>10386</v>
      </c>
      <c r="D1560" s="4" t="s">
        <v>10387</v>
      </c>
      <c r="E1560" s="4" t="s">
        <v>4330</v>
      </c>
      <c r="F1560" s="4" t="s">
        <v>10388</v>
      </c>
      <c r="G1560" s="4">
        <v>2019</v>
      </c>
      <c r="H1560" s="25">
        <v>43667</v>
      </c>
    </row>
    <row r="1561" spans="1:11" ht="15.75" customHeight="1">
      <c r="A1561" s="4">
        <v>12765120</v>
      </c>
      <c r="B1561" s="4" t="s">
        <v>10381</v>
      </c>
      <c r="C1561" s="4" t="s">
        <v>10382</v>
      </c>
      <c r="D1561" s="4" t="s">
        <v>10383</v>
      </c>
      <c r="E1561" s="4" t="s">
        <v>3829</v>
      </c>
      <c r="F1561" s="4" t="s">
        <v>10384</v>
      </c>
      <c r="G1561" s="4">
        <v>2003</v>
      </c>
      <c r="H1561" s="25">
        <v>37768</v>
      </c>
    </row>
    <row r="1562" spans="1:11" ht="15.75" customHeight="1">
      <c r="A1562" s="4">
        <v>32903425</v>
      </c>
      <c r="B1562" s="4" t="s">
        <v>10401</v>
      </c>
      <c r="C1562" s="4" t="s">
        <v>10402</v>
      </c>
      <c r="D1562" s="4" t="s">
        <v>10403</v>
      </c>
      <c r="E1562" s="4" t="s">
        <v>2665</v>
      </c>
      <c r="F1562" s="4" t="s">
        <v>9131</v>
      </c>
      <c r="G1562" s="4">
        <v>2020</v>
      </c>
      <c r="H1562" s="25">
        <v>44083</v>
      </c>
      <c r="I1562" s="4" t="s">
        <v>10404</v>
      </c>
      <c r="K1562" s="4" t="s">
        <v>2666</v>
      </c>
    </row>
    <row r="1563" spans="1:11" ht="15.75" customHeight="1">
      <c r="A1563" s="4">
        <v>33158469</v>
      </c>
      <c r="B1563" s="4" t="s">
        <v>10389</v>
      </c>
      <c r="C1563" s="4" t="s">
        <v>10390</v>
      </c>
      <c r="D1563" s="4" t="s">
        <v>10391</v>
      </c>
      <c r="E1563" s="4" t="s">
        <v>2583</v>
      </c>
      <c r="F1563" s="4" t="s">
        <v>10392</v>
      </c>
      <c r="G1563" s="4">
        <v>2020</v>
      </c>
      <c r="H1563" s="25">
        <v>44142</v>
      </c>
      <c r="I1563" s="4" t="s">
        <v>10393</v>
      </c>
      <c r="K1563" s="4" t="s">
        <v>2584</v>
      </c>
    </row>
    <row r="1564" spans="1:11" ht="15.75" customHeight="1">
      <c r="A1564" s="4">
        <v>21810148</v>
      </c>
      <c r="B1564" s="4" t="s">
        <v>10394</v>
      </c>
      <c r="C1564" s="4" t="s">
        <v>10395</v>
      </c>
      <c r="D1564" s="4" t="s">
        <v>10396</v>
      </c>
      <c r="E1564" s="4" t="s">
        <v>869</v>
      </c>
      <c r="F1564" s="4" t="s">
        <v>7613</v>
      </c>
      <c r="G1564" s="4">
        <v>2011</v>
      </c>
      <c r="H1564" s="25">
        <v>40759</v>
      </c>
      <c r="K1564" s="4" t="s">
        <v>870</v>
      </c>
    </row>
    <row r="1565" spans="1:11" ht="15.75" customHeight="1">
      <c r="A1565" s="4">
        <v>32666270</v>
      </c>
      <c r="B1565" s="4" t="s">
        <v>10409</v>
      </c>
      <c r="C1565" s="4" t="s">
        <v>10410</v>
      </c>
      <c r="D1565" s="4" t="s">
        <v>10411</v>
      </c>
      <c r="E1565" s="4" t="s">
        <v>3723</v>
      </c>
      <c r="F1565" s="4" t="s">
        <v>10412</v>
      </c>
      <c r="G1565" s="4">
        <v>2020</v>
      </c>
      <c r="H1565" s="25">
        <v>44028</v>
      </c>
      <c r="I1565" s="4" t="s">
        <v>10413</v>
      </c>
      <c r="J1565" s="4" t="s">
        <v>10414</v>
      </c>
      <c r="K1565" s="4" t="s">
        <v>3724</v>
      </c>
    </row>
    <row r="1566" spans="1:11" ht="15.75" customHeight="1">
      <c r="A1566" s="4">
        <v>36363720</v>
      </c>
      <c r="B1566" s="4" t="s">
        <v>10397</v>
      </c>
      <c r="C1566" s="4" t="s">
        <v>10398</v>
      </c>
      <c r="D1566" s="4" t="s">
        <v>10399</v>
      </c>
      <c r="E1566" s="4" t="s">
        <v>604</v>
      </c>
      <c r="F1566" s="4" t="s">
        <v>9231</v>
      </c>
      <c r="G1566" s="4">
        <v>2022</v>
      </c>
      <c r="H1566" s="25">
        <v>44876</v>
      </c>
      <c r="I1566" s="4" t="s">
        <v>10400</v>
      </c>
      <c r="K1566" s="4" t="s">
        <v>605</v>
      </c>
    </row>
    <row r="1567" spans="1:11" ht="15.75" customHeight="1">
      <c r="A1567" s="4">
        <v>28129450</v>
      </c>
      <c r="B1567" s="4" t="s">
        <v>10424</v>
      </c>
      <c r="C1567" s="4" t="s">
        <v>10425</v>
      </c>
      <c r="D1567" s="4" t="s">
        <v>10426</v>
      </c>
      <c r="E1567" s="4" t="s">
        <v>1020</v>
      </c>
      <c r="F1567" s="4" t="s">
        <v>5437</v>
      </c>
      <c r="G1567" s="4">
        <v>2017</v>
      </c>
      <c r="H1567" s="25">
        <v>42763</v>
      </c>
      <c r="K1567" s="4" t="s">
        <v>1021</v>
      </c>
    </row>
    <row r="1568" spans="1:11" ht="15.75" customHeight="1">
      <c r="A1568" s="4">
        <v>31554310</v>
      </c>
      <c r="B1568" s="4" t="s">
        <v>10405</v>
      </c>
      <c r="C1568" s="4" t="s">
        <v>10406</v>
      </c>
      <c r="D1568" s="4" t="s">
        <v>10407</v>
      </c>
      <c r="E1568" s="4" t="s">
        <v>2691</v>
      </c>
      <c r="F1568" s="4" t="s">
        <v>7661</v>
      </c>
      <c r="G1568" s="4">
        <v>2019</v>
      </c>
      <c r="H1568" s="25">
        <v>43735</v>
      </c>
      <c r="I1568" s="4" t="s">
        <v>10408</v>
      </c>
      <c r="K1568" s="4" t="s">
        <v>2692</v>
      </c>
    </row>
    <row r="1569" spans="1:11" ht="15.75" customHeight="1">
      <c r="A1569" s="4">
        <v>17065205</v>
      </c>
      <c r="B1569" s="4" t="s">
        <v>10420</v>
      </c>
      <c r="C1569" s="4" t="s">
        <v>10421</v>
      </c>
      <c r="D1569" s="4" t="s">
        <v>10422</v>
      </c>
      <c r="E1569" s="4" t="s">
        <v>2969</v>
      </c>
      <c r="F1569" s="4" t="s">
        <v>4891</v>
      </c>
      <c r="G1569" s="4">
        <v>2007</v>
      </c>
      <c r="H1569" s="25">
        <v>39017</v>
      </c>
      <c r="I1569" s="4" t="s">
        <v>10423</v>
      </c>
      <c r="K1569" s="4" t="s">
        <v>2970</v>
      </c>
    </row>
    <row r="1570" spans="1:11" ht="15.75" customHeight="1">
      <c r="A1570" s="4">
        <v>18829379</v>
      </c>
      <c r="B1570" s="4" t="s">
        <v>10427</v>
      </c>
      <c r="C1570" s="4" t="s">
        <v>10428</v>
      </c>
      <c r="D1570" s="4" t="s">
        <v>10429</v>
      </c>
      <c r="E1570" s="4" t="s">
        <v>554</v>
      </c>
      <c r="F1570" s="4" t="s">
        <v>4896</v>
      </c>
      <c r="G1570" s="4">
        <v>2008</v>
      </c>
      <c r="H1570" s="25">
        <v>39724</v>
      </c>
      <c r="K1570" s="4" t="s">
        <v>1814</v>
      </c>
    </row>
    <row r="1571" spans="1:11" ht="15.75" customHeight="1">
      <c r="A1571" s="4">
        <v>23665115</v>
      </c>
      <c r="B1571" s="4" t="s">
        <v>10415</v>
      </c>
      <c r="C1571" s="4" t="s">
        <v>10416</v>
      </c>
      <c r="D1571" s="4" t="s">
        <v>10417</v>
      </c>
      <c r="E1571" s="4" t="s">
        <v>241</v>
      </c>
      <c r="F1571" s="4" t="s">
        <v>5076</v>
      </c>
      <c r="G1571" s="4">
        <v>2013</v>
      </c>
      <c r="H1571" s="25">
        <v>41408</v>
      </c>
      <c r="I1571" s="4" t="s">
        <v>10418</v>
      </c>
      <c r="J1571" s="4" t="s">
        <v>10419</v>
      </c>
      <c r="K1571" s="4" t="s">
        <v>376</v>
      </c>
    </row>
    <row r="1572" spans="1:11" ht="15.75" customHeight="1">
      <c r="A1572" s="4">
        <v>38243840</v>
      </c>
      <c r="B1572" s="4" t="s">
        <v>9915</v>
      </c>
      <c r="C1572" s="4" t="s">
        <v>9916</v>
      </c>
      <c r="D1572" s="4" t="s">
        <v>10990</v>
      </c>
      <c r="E1572" s="4" t="s">
        <v>2373</v>
      </c>
      <c r="F1572" s="4" t="s">
        <v>5437</v>
      </c>
      <c r="G1572" s="4">
        <v>2024</v>
      </c>
      <c r="H1572" s="25">
        <v>45311</v>
      </c>
      <c r="K1572" s="4" t="s">
        <v>2374</v>
      </c>
    </row>
    <row r="1573" spans="1:11" ht="15.75" customHeight="1">
      <c r="A1573" s="4">
        <v>24455117</v>
      </c>
      <c r="B1573" s="4" t="s">
        <v>10430</v>
      </c>
      <c r="C1573" s="4" t="s">
        <v>10431</v>
      </c>
      <c r="D1573" s="4" t="s">
        <v>10432</v>
      </c>
      <c r="E1573" s="4" t="s">
        <v>1636</v>
      </c>
      <c r="F1573" s="4" t="s">
        <v>9408</v>
      </c>
      <c r="G1573" s="4">
        <v>2014</v>
      </c>
      <c r="H1573" s="25">
        <v>41663</v>
      </c>
      <c r="I1573" s="4" t="s">
        <v>10433</v>
      </c>
      <c r="K1573" s="4" t="s">
        <v>1637</v>
      </c>
    </row>
    <row r="1574" spans="1:11" ht="15.75" customHeight="1">
      <c r="A1574" s="4">
        <v>33085827</v>
      </c>
      <c r="B1574" s="4" t="s">
        <v>10460</v>
      </c>
      <c r="C1574" s="4" t="s">
        <v>10461</v>
      </c>
      <c r="D1574" s="4" t="s">
        <v>10462</v>
      </c>
      <c r="E1574" s="4" t="s">
        <v>542</v>
      </c>
      <c r="F1574" s="4" t="s">
        <v>8121</v>
      </c>
      <c r="G1574" s="4">
        <v>2021</v>
      </c>
      <c r="H1574" s="25">
        <v>44125</v>
      </c>
      <c r="K1574" s="4" t="s">
        <v>543</v>
      </c>
    </row>
    <row r="1575" spans="1:11" ht="15.75" customHeight="1">
      <c r="A1575" s="4">
        <v>30906348</v>
      </c>
      <c r="B1575" s="4" t="s">
        <v>10438</v>
      </c>
      <c r="C1575" s="4" t="s">
        <v>10439</v>
      </c>
      <c r="D1575" s="4" t="s">
        <v>10440</v>
      </c>
      <c r="E1575" s="4" t="s">
        <v>2468</v>
      </c>
      <c r="F1575" s="4" t="s">
        <v>10441</v>
      </c>
      <c r="G1575" s="4">
        <v>2016</v>
      </c>
      <c r="H1575" s="25">
        <v>43550</v>
      </c>
      <c r="I1575" s="4" t="s">
        <v>10442</v>
      </c>
      <c r="K1575" s="4" t="s">
        <v>2469</v>
      </c>
    </row>
    <row r="1576" spans="1:11" ht="15.75" customHeight="1">
      <c r="A1576" s="4">
        <v>36014102</v>
      </c>
      <c r="B1576" s="4" t="s">
        <v>10434</v>
      </c>
      <c r="C1576" s="4" t="s">
        <v>10435</v>
      </c>
      <c r="D1576" s="4" t="s">
        <v>10436</v>
      </c>
      <c r="E1576" s="4" t="s">
        <v>851</v>
      </c>
      <c r="F1576" s="4" t="s">
        <v>9231</v>
      </c>
      <c r="G1576" s="4">
        <v>2022</v>
      </c>
      <c r="H1576" s="25">
        <v>44799</v>
      </c>
      <c r="I1576" s="4" t="s">
        <v>10437</v>
      </c>
      <c r="K1576" s="4" t="s">
        <v>852</v>
      </c>
    </row>
    <row r="1577" spans="1:11" ht="15.75" customHeight="1">
      <c r="A1577" s="4">
        <v>34070379</v>
      </c>
      <c r="B1577" s="4" t="s">
        <v>10443</v>
      </c>
      <c r="C1577" s="4" t="s">
        <v>10444</v>
      </c>
      <c r="D1577" s="4" t="s">
        <v>10445</v>
      </c>
      <c r="E1577" s="4" t="s">
        <v>839</v>
      </c>
      <c r="F1577" s="4" t="s">
        <v>10446</v>
      </c>
      <c r="G1577" s="4">
        <v>2021</v>
      </c>
      <c r="H1577" s="25">
        <v>44349</v>
      </c>
      <c r="I1577" s="4" t="s">
        <v>10447</v>
      </c>
      <c r="K1577" s="4" t="s">
        <v>840</v>
      </c>
    </row>
    <row r="1578" spans="1:11" ht="15.75" customHeight="1">
      <c r="A1578" s="4">
        <v>30831633</v>
      </c>
      <c r="B1578" s="4" t="s">
        <v>10448</v>
      </c>
      <c r="C1578" s="4" t="s">
        <v>10449</v>
      </c>
      <c r="D1578" s="4" t="s">
        <v>10450</v>
      </c>
      <c r="E1578" s="4" t="s">
        <v>3031</v>
      </c>
      <c r="F1578" s="4" t="s">
        <v>5874</v>
      </c>
      <c r="G1578" s="4">
        <v>2019</v>
      </c>
      <c r="H1578" s="25">
        <v>43529</v>
      </c>
      <c r="I1578" s="4" t="s">
        <v>10451</v>
      </c>
      <c r="K1578" s="4" t="s">
        <v>3032</v>
      </c>
    </row>
    <row r="1579" spans="1:11" ht="15.75" customHeight="1">
      <c r="A1579" s="4">
        <v>32245201</v>
      </c>
      <c r="B1579" s="4" t="s">
        <v>10452</v>
      </c>
      <c r="C1579" s="4" t="s">
        <v>10453</v>
      </c>
      <c r="D1579" s="4" t="s">
        <v>10454</v>
      </c>
      <c r="E1579" s="4" t="s">
        <v>3879</v>
      </c>
      <c r="F1579" s="4" t="s">
        <v>10455</v>
      </c>
      <c r="G1579" s="4">
        <v>2020</v>
      </c>
      <c r="H1579" s="25">
        <v>43926</v>
      </c>
      <c r="I1579" s="4" t="s">
        <v>10456</v>
      </c>
      <c r="K1579" s="4" t="s">
        <v>3880</v>
      </c>
    </row>
    <row r="1580" spans="1:11" ht="15.75" customHeight="1">
      <c r="A1580" s="4">
        <v>24801397</v>
      </c>
      <c r="B1580" s="4" t="s">
        <v>10466</v>
      </c>
      <c r="C1580" s="4" t="s">
        <v>10467</v>
      </c>
      <c r="D1580" s="4" t="s">
        <v>10468</v>
      </c>
      <c r="E1580" s="4" t="s">
        <v>3167</v>
      </c>
      <c r="F1580" s="4" t="s">
        <v>10469</v>
      </c>
      <c r="G1580" s="4">
        <v>2014</v>
      </c>
      <c r="H1580" s="25">
        <v>41767</v>
      </c>
      <c r="K1580" s="4" t="s">
        <v>3168</v>
      </c>
    </row>
    <row r="1581" spans="1:11" ht="15.75" customHeight="1">
      <c r="A1581" s="4">
        <v>9766884</v>
      </c>
      <c r="B1581" s="4" t="s">
        <v>10457</v>
      </c>
      <c r="C1581" s="4" t="s">
        <v>10458</v>
      </c>
      <c r="D1581" s="4" t="s">
        <v>10459</v>
      </c>
      <c r="E1581" s="4" t="s">
        <v>1063</v>
      </c>
      <c r="F1581" s="4" t="s">
        <v>5267</v>
      </c>
      <c r="G1581" s="4">
        <v>1998</v>
      </c>
      <c r="H1581" s="25">
        <v>36078</v>
      </c>
      <c r="K1581" s="4" t="s">
        <v>1081</v>
      </c>
    </row>
    <row r="1582" spans="1:11" ht="15.75" customHeight="1">
      <c r="A1582" s="4">
        <v>20087928</v>
      </c>
      <c r="B1582" s="4" t="s">
        <v>10474</v>
      </c>
      <c r="C1582" s="4" t="s">
        <v>10475</v>
      </c>
      <c r="D1582" s="4" t="s">
        <v>10476</v>
      </c>
      <c r="E1582" s="4" t="s">
        <v>1603</v>
      </c>
      <c r="F1582" s="4" t="s">
        <v>4923</v>
      </c>
      <c r="G1582" s="4">
        <v>2010</v>
      </c>
      <c r="H1582" s="25">
        <v>40199</v>
      </c>
      <c r="I1582" s="4" t="s">
        <v>10477</v>
      </c>
      <c r="K1582" s="4" t="s">
        <v>1604</v>
      </c>
    </row>
    <row r="1583" spans="1:11" ht="15.75" customHeight="1">
      <c r="A1583" s="4">
        <v>12070831</v>
      </c>
      <c r="B1583" s="4" t="s">
        <v>10463</v>
      </c>
      <c r="C1583" s="4" t="s">
        <v>10464</v>
      </c>
      <c r="D1583" s="4" t="s">
        <v>10465</v>
      </c>
      <c r="E1583" s="4" t="s">
        <v>4210</v>
      </c>
      <c r="F1583" s="4" t="s">
        <v>5247</v>
      </c>
      <c r="G1583" s="4">
        <v>2002</v>
      </c>
      <c r="H1583" s="25">
        <v>37426</v>
      </c>
      <c r="K1583" s="4" t="s">
        <v>4211</v>
      </c>
    </row>
    <row r="1584" spans="1:11" ht="15.75" customHeight="1">
      <c r="A1584" s="4">
        <v>7871934</v>
      </c>
      <c r="B1584" s="4" t="s">
        <v>10470</v>
      </c>
      <c r="C1584" s="4" t="s">
        <v>10471</v>
      </c>
      <c r="D1584" s="4" t="s">
        <v>10472</v>
      </c>
      <c r="E1584" s="4" t="s">
        <v>3304</v>
      </c>
      <c r="F1584" s="4" t="s">
        <v>10473</v>
      </c>
      <c r="G1584" s="4">
        <v>1994</v>
      </c>
      <c r="H1584" s="25">
        <v>34335</v>
      </c>
      <c r="K1584" s="4" t="s">
        <v>3305</v>
      </c>
    </row>
    <row r="1585" spans="1:11" ht="15.75" customHeight="1">
      <c r="A1585" s="4">
        <v>7727764</v>
      </c>
      <c r="B1585" s="4" t="s">
        <v>10484</v>
      </c>
      <c r="C1585" s="4" t="s">
        <v>10485</v>
      </c>
      <c r="D1585" s="4" t="s">
        <v>10486</v>
      </c>
      <c r="E1585" s="4" t="s">
        <v>3956</v>
      </c>
      <c r="F1585" s="4" t="s">
        <v>5343</v>
      </c>
      <c r="G1585" s="4">
        <v>1995</v>
      </c>
      <c r="H1585" s="25">
        <v>34820</v>
      </c>
    </row>
    <row r="1586" spans="1:11" ht="15.75" customHeight="1">
      <c r="A1586" s="4">
        <v>17601705</v>
      </c>
      <c r="B1586" s="4" t="s">
        <v>10478</v>
      </c>
      <c r="C1586" s="4" t="s">
        <v>10479</v>
      </c>
      <c r="D1586" s="4" t="s">
        <v>10480</v>
      </c>
      <c r="E1586" s="4" t="s">
        <v>3392</v>
      </c>
      <c r="F1586" s="4" t="s">
        <v>7371</v>
      </c>
      <c r="G1586" s="4">
        <v>2007</v>
      </c>
      <c r="H1586" s="25">
        <v>39266</v>
      </c>
      <c r="K1586" s="4" t="s">
        <v>3393</v>
      </c>
    </row>
    <row r="1587" spans="1:11" ht="15.75" customHeight="1">
      <c r="A1587" s="4">
        <v>7692906</v>
      </c>
      <c r="B1587" s="4" t="s">
        <v>10481</v>
      </c>
      <c r="C1587" s="4" t="s">
        <v>10482</v>
      </c>
      <c r="D1587" s="4" t="s">
        <v>10483</v>
      </c>
      <c r="E1587" s="4" t="s">
        <v>4559</v>
      </c>
      <c r="F1587" s="4" t="s">
        <v>5433</v>
      </c>
      <c r="G1587" s="4">
        <v>1993</v>
      </c>
      <c r="H1587" s="25">
        <v>34182</v>
      </c>
      <c r="K1587" s="4" t="s">
        <v>4560</v>
      </c>
    </row>
    <row r="1588" spans="1:11" ht="15.75" customHeight="1">
      <c r="A1588" s="4">
        <v>17902128</v>
      </c>
      <c r="B1588" s="4" t="s">
        <v>10487</v>
      </c>
      <c r="C1588" s="4" t="s">
        <v>10488</v>
      </c>
      <c r="D1588" s="4" t="s">
        <v>10489</v>
      </c>
      <c r="E1588" s="4" t="s">
        <v>651</v>
      </c>
      <c r="F1588" s="4" t="s">
        <v>5295</v>
      </c>
      <c r="G1588" s="4">
        <v>2007</v>
      </c>
      <c r="H1588" s="25">
        <v>39354</v>
      </c>
      <c r="K1588" s="4" t="s">
        <v>2460</v>
      </c>
    </row>
    <row r="1589" spans="1:11" ht="15.75" customHeight="1">
      <c r="A1589" s="4">
        <v>38187380</v>
      </c>
      <c r="B1589" s="4" t="s">
        <v>10500</v>
      </c>
      <c r="C1589" s="4" t="s">
        <v>10501</v>
      </c>
      <c r="D1589" s="4" t="s">
        <v>10502</v>
      </c>
      <c r="E1589" s="4" t="s">
        <v>2782</v>
      </c>
      <c r="F1589" s="4" t="s">
        <v>4912</v>
      </c>
      <c r="G1589" s="4">
        <v>2023</v>
      </c>
      <c r="H1589" s="25">
        <v>45299</v>
      </c>
      <c r="I1589" s="4" t="s">
        <v>10503</v>
      </c>
      <c r="K1589" s="4" t="s">
        <v>2783</v>
      </c>
    </row>
    <row r="1590" spans="1:11" ht="15.75" customHeight="1">
      <c r="A1590" s="4">
        <v>12767008</v>
      </c>
      <c r="B1590" s="4" t="s">
        <v>10490</v>
      </c>
      <c r="C1590" s="4" t="s">
        <v>10491</v>
      </c>
      <c r="D1590" s="4" t="s">
        <v>10492</v>
      </c>
      <c r="E1590" s="4" t="s">
        <v>195</v>
      </c>
      <c r="F1590" s="4" t="s">
        <v>4923</v>
      </c>
      <c r="G1590" s="4">
        <v>2003</v>
      </c>
      <c r="H1590" s="25">
        <v>37768</v>
      </c>
      <c r="K1590" s="4" t="s">
        <v>4674</v>
      </c>
    </row>
    <row r="1591" spans="1:11" ht="15.75" customHeight="1">
      <c r="A1591" s="4">
        <v>12476296</v>
      </c>
      <c r="B1591" s="4" t="s">
        <v>10497</v>
      </c>
      <c r="C1591" s="4" t="s">
        <v>10498</v>
      </c>
      <c r="D1591" s="4" t="s">
        <v>10499</v>
      </c>
      <c r="E1591" s="4" t="s">
        <v>4435</v>
      </c>
      <c r="F1591" s="4" t="s">
        <v>4863</v>
      </c>
      <c r="G1591" s="4">
        <v>2002</v>
      </c>
      <c r="H1591" s="25">
        <v>37602</v>
      </c>
      <c r="K1591" s="4" t="s">
        <v>4448</v>
      </c>
    </row>
    <row r="1592" spans="1:11" ht="15.75" customHeight="1">
      <c r="A1592" s="4">
        <v>17988530</v>
      </c>
      <c r="B1592" s="4" t="s">
        <v>10504</v>
      </c>
      <c r="C1592" s="4" t="s">
        <v>6149</v>
      </c>
      <c r="D1592" s="4" t="s">
        <v>10505</v>
      </c>
      <c r="E1592" s="4" t="s">
        <v>177</v>
      </c>
      <c r="F1592" s="4" t="s">
        <v>10506</v>
      </c>
      <c r="G1592" s="4">
        <v>2007</v>
      </c>
      <c r="H1592" s="25">
        <v>39395</v>
      </c>
    </row>
    <row r="1593" spans="1:11" ht="15.75" customHeight="1">
      <c r="A1593" s="4">
        <v>12353198</v>
      </c>
      <c r="B1593" s="4" t="s">
        <v>10507</v>
      </c>
      <c r="C1593" s="4" t="s">
        <v>10508</v>
      </c>
      <c r="D1593" s="4" t="s">
        <v>10509</v>
      </c>
      <c r="E1593" s="4" t="s">
        <v>2214</v>
      </c>
      <c r="F1593" s="4" t="s">
        <v>4992</v>
      </c>
      <c r="G1593" s="4">
        <v>2002</v>
      </c>
      <c r="H1593" s="25">
        <v>37527</v>
      </c>
      <c r="K1593" s="4" t="s">
        <v>2219</v>
      </c>
    </row>
    <row r="1594" spans="1:11" ht="15.75" customHeight="1">
      <c r="A1594" s="4">
        <v>21898692</v>
      </c>
      <c r="B1594" s="4" t="s">
        <v>10302</v>
      </c>
      <c r="C1594" s="4" t="s">
        <v>10303</v>
      </c>
      <c r="D1594" s="4" t="s">
        <v>10304</v>
      </c>
      <c r="E1594" s="4" t="s">
        <v>3282</v>
      </c>
      <c r="F1594" s="4" t="s">
        <v>10305</v>
      </c>
      <c r="G1594" s="4">
        <v>2011</v>
      </c>
      <c r="H1594" s="25">
        <v>40794</v>
      </c>
      <c r="K1594" s="4" t="s">
        <v>3283</v>
      </c>
    </row>
    <row r="1595" spans="1:11" ht="15.75" customHeight="1">
      <c r="A1595" s="4">
        <v>12910597</v>
      </c>
      <c r="B1595" s="4" t="s">
        <v>10514</v>
      </c>
      <c r="C1595" s="4" t="s">
        <v>10515</v>
      </c>
      <c r="D1595" s="4" t="s">
        <v>10516</v>
      </c>
      <c r="E1595" s="4" t="s">
        <v>4012</v>
      </c>
      <c r="F1595" s="4" t="s">
        <v>6968</v>
      </c>
      <c r="G1595" s="4">
        <v>2003</v>
      </c>
      <c r="H1595" s="25">
        <v>37846</v>
      </c>
    </row>
    <row r="1596" spans="1:11" ht="15.75" customHeight="1">
      <c r="A1596" s="4">
        <v>12537769</v>
      </c>
      <c r="B1596" s="4" t="s">
        <v>10510</v>
      </c>
      <c r="C1596" s="4" t="s">
        <v>10511</v>
      </c>
      <c r="D1596" s="4" t="s">
        <v>10512</v>
      </c>
      <c r="E1596" s="4" t="s">
        <v>1469</v>
      </c>
      <c r="F1596" s="4" t="s">
        <v>10513</v>
      </c>
      <c r="G1596" s="4">
        <v>2002</v>
      </c>
      <c r="H1596" s="25">
        <v>37644</v>
      </c>
      <c r="K1596" s="4" t="s">
        <v>1470</v>
      </c>
    </row>
    <row r="1597" spans="1:11" ht="15.75" customHeight="1">
      <c r="A1597" s="4">
        <v>26029371</v>
      </c>
      <c r="B1597" s="4" t="s">
        <v>10517</v>
      </c>
      <c r="C1597" s="4" t="s">
        <v>10518</v>
      </c>
      <c r="D1597" s="4" t="s">
        <v>10519</v>
      </c>
      <c r="E1597" s="4" t="s">
        <v>2258</v>
      </c>
      <c r="F1597" s="4" t="s">
        <v>10520</v>
      </c>
      <c r="G1597" s="4">
        <v>2015</v>
      </c>
      <c r="H1597" s="25">
        <v>42157</v>
      </c>
      <c r="I1597" s="4" t="s">
        <v>10521</v>
      </c>
      <c r="K1597" s="4" t="s">
        <v>2259</v>
      </c>
    </row>
    <row r="1598" spans="1:11" ht="15.75" customHeight="1">
      <c r="A1598" s="4">
        <v>15209395</v>
      </c>
      <c r="B1598" s="4" t="s">
        <v>10522</v>
      </c>
      <c r="C1598" s="4" t="s">
        <v>10523</v>
      </c>
      <c r="D1598" s="4" t="s">
        <v>10524</v>
      </c>
      <c r="E1598" s="4" t="s">
        <v>4239</v>
      </c>
      <c r="F1598" s="4" t="s">
        <v>8641</v>
      </c>
      <c r="G1598" s="4">
        <v>2004</v>
      </c>
      <c r="H1598" s="25">
        <v>38162</v>
      </c>
      <c r="K1598" s="4" t="s">
        <v>4240</v>
      </c>
    </row>
    <row r="1599" spans="1:11" ht="15.75" customHeight="1">
      <c r="A1599" s="4">
        <v>18929381</v>
      </c>
      <c r="B1599" s="4" t="s">
        <v>10530</v>
      </c>
      <c r="C1599" s="4" t="s">
        <v>10531</v>
      </c>
      <c r="D1599" s="4" t="s">
        <v>10532</v>
      </c>
      <c r="E1599" s="4" t="s">
        <v>3649</v>
      </c>
      <c r="F1599" s="4" t="s">
        <v>4950</v>
      </c>
      <c r="G1599" s="4">
        <v>2008</v>
      </c>
      <c r="H1599" s="25">
        <v>39743</v>
      </c>
      <c r="K1599" s="4" t="s">
        <v>3652</v>
      </c>
    </row>
    <row r="1600" spans="1:11" ht="15.75" customHeight="1">
      <c r="A1600" s="4">
        <v>29900673</v>
      </c>
      <c r="B1600" s="4" t="s">
        <v>10525</v>
      </c>
      <c r="C1600" s="4" t="s">
        <v>10526</v>
      </c>
      <c r="D1600" s="4" t="s">
        <v>10527</v>
      </c>
      <c r="E1600" s="4" t="s">
        <v>1193</v>
      </c>
      <c r="F1600" s="4" t="s">
        <v>5726</v>
      </c>
      <c r="G1600" s="4">
        <v>2018</v>
      </c>
      <c r="H1600" s="25">
        <v>43266</v>
      </c>
      <c r="I1600" s="4" t="s">
        <v>10528</v>
      </c>
      <c r="J1600" s="4" t="s">
        <v>10529</v>
      </c>
      <c r="K1600" s="4" t="s">
        <v>1194</v>
      </c>
    </row>
    <row r="1601" spans="1:11" ht="15.75" customHeight="1">
      <c r="A1601" s="4">
        <v>16882166</v>
      </c>
      <c r="B1601" s="4" t="s">
        <v>10533</v>
      </c>
      <c r="C1601" s="4" t="s">
        <v>10534</v>
      </c>
      <c r="D1601" s="4" t="s">
        <v>10535</v>
      </c>
      <c r="E1601" s="4" t="s">
        <v>2606</v>
      </c>
      <c r="F1601" s="4" t="s">
        <v>7207</v>
      </c>
      <c r="G1601" s="4">
        <v>2006</v>
      </c>
      <c r="H1601" s="25">
        <v>38932</v>
      </c>
      <c r="K1601" s="4" t="s">
        <v>2607</v>
      </c>
    </row>
    <row r="1602" spans="1:11" ht="15.75" customHeight="1">
      <c r="A1602" s="4">
        <v>15782388</v>
      </c>
      <c r="B1602" s="4" t="s">
        <v>10536</v>
      </c>
      <c r="C1602" s="4" t="s">
        <v>10537</v>
      </c>
      <c r="D1602" s="4" t="s">
        <v>10538</v>
      </c>
      <c r="E1602" s="4" t="s">
        <v>1642</v>
      </c>
      <c r="F1602" s="4" t="s">
        <v>4859</v>
      </c>
      <c r="G1602" s="4">
        <v>2005</v>
      </c>
      <c r="H1602" s="25">
        <v>38434</v>
      </c>
      <c r="K1602" s="4" t="s">
        <v>1643</v>
      </c>
    </row>
    <row r="1603" spans="1:11" ht="15.75" customHeight="1">
      <c r="A1603" s="4">
        <v>37572949</v>
      </c>
      <c r="B1603" s="4" t="s">
        <v>10539</v>
      </c>
      <c r="C1603" s="4" t="s">
        <v>10540</v>
      </c>
      <c r="D1603" s="4" t="s">
        <v>10541</v>
      </c>
      <c r="E1603" s="4" t="s">
        <v>2914</v>
      </c>
      <c r="F1603" s="4" t="s">
        <v>5584</v>
      </c>
      <c r="G1603" s="4">
        <v>2023</v>
      </c>
      <c r="H1603" s="25">
        <v>45150</v>
      </c>
      <c r="K1603" s="4" t="s">
        <v>2915</v>
      </c>
    </row>
    <row r="1604" spans="1:11" ht="15.75" customHeight="1">
      <c r="A1604" s="4">
        <v>31824487</v>
      </c>
      <c r="B1604" s="4" t="s">
        <v>10547</v>
      </c>
      <c r="C1604" s="4" t="s">
        <v>10548</v>
      </c>
      <c r="D1604" s="4" t="s">
        <v>10549</v>
      </c>
      <c r="E1604" s="4" t="s">
        <v>3958</v>
      </c>
      <c r="F1604" s="4" t="s">
        <v>4912</v>
      </c>
      <c r="G1604" s="4">
        <v>2019</v>
      </c>
      <c r="H1604" s="25">
        <v>43811</v>
      </c>
      <c r="I1604" s="4" t="s">
        <v>10550</v>
      </c>
      <c r="K1604" s="4" t="s">
        <v>3959</v>
      </c>
    </row>
    <row r="1605" spans="1:11" ht="15.75" customHeight="1">
      <c r="A1605" s="4">
        <v>31005137</v>
      </c>
      <c r="B1605" s="4" t="s">
        <v>10554</v>
      </c>
      <c r="C1605" s="4" t="s">
        <v>10555</v>
      </c>
      <c r="D1605" s="4" t="s">
        <v>10556</v>
      </c>
      <c r="E1605" s="4" t="s">
        <v>1028</v>
      </c>
      <c r="F1605" s="4" t="s">
        <v>8612</v>
      </c>
      <c r="G1605" s="4">
        <v>2019</v>
      </c>
      <c r="H1605" s="25">
        <v>43577</v>
      </c>
      <c r="K1605" s="4" t="s">
        <v>1756</v>
      </c>
    </row>
    <row r="1606" spans="1:11" ht="15.75" customHeight="1">
      <c r="A1606" s="4">
        <v>11843812</v>
      </c>
      <c r="B1606" s="4" t="s">
        <v>10551</v>
      </c>
      <c r="C1606" s="4" t="s">
        <v>10552</v>
      </c>
      <c r="D1606" s="4" t="s">
        <v>10553</v>
      </c>
      <c r="E1606" s="4" t="s">
        <v>3153</v>
      </c>
      <c r="F1606" s="4" t="s">
        <v>5211</v>
      </c>
      <c r="G1606" s="4">
        <v>2001</v>
      </c>
      <c r="H1606" s="25">
        <v>37302</v>
      </c>
      <c r="K1606" s="4" t="s">
        <v>3154</v>
      </c>
    </row>
    <row r="1607" spans="1:11" ht="15.75" customHeight="1">
      <c r="A1607" s="4">
        <v>36300166</v>
      </c>
      <c r="B1607" s="4" t="s">
        <v>10557</v>
      </c>
      <c r="C1607" s="4" t="s">
        <v>10558</v>
      </c>
      <c r="D1607" s="4" t="s">
        <v>10559</v>
      </c>
      <c r="E1607" s="4" t="s">
        <v>960</v>
      </c>
      <c r="F1607" s="4" t="s">
        <v>9385</v>
      </c>
      <c r="G1607" s="4">
        <v>2022</v>
      </c>
      <c r="H1607" s="25">
        <v>44861</v>
      </c>
      <c r="I1607" s="4" t="s">
        <v>10560</v>
      </c>
      <c r="K1607" s="4" t="s">
        <v>964</v>
      </c>
    </row>
    <row r="1608" spans="1:11" ht="15.75" customHeight="1">
      <c r="A1608" s="4">
        <v>30831627</v>
      </c>
      <c r="B1608" s="4" t="s">
        <v>10561</v>
      </c>
      <c r="C1608" s="4" t="s">
        <v>10562</v>
      </c>
      <c r="D1608" s="4" t="s">
        <v>10563</v>
      </c>
      <c r="E1608" s="4" t="s">
        <v>2571</v>
      </c>
      <c r="F1608" s="4" t="s">
        <v>5874</v>
      </c>
      <c r="G1608" s="4">
        <v>2019</v>
      </c>
      <c r="H1608" s="25">
        <v>43529</v>
      </c>
      <c r="I1608" s="4" t="s">
        <v>10564</v>
      </c>
      <c r="K1608" s="4" t="s">
        <v>2572</v>
      </c>
    </row>
    <row r="1609" spans="1:11" ht="15.75" customHeight="1">
      <c r="A1609" s="4">
        <v>20408855</v>
      </c>
      <c r="B1609" s="4" t="s">
        <v>10565</v>
      </c>
      <c r="C1609" s="4" t="s">
        <v>10566</v>
      </c>
      <c r="D1609" s="4" t="s">
        <v>10567</v>
      </c>
      <c r="E1609" s="4" t="s">
        <v>2330</v>
      </c>
      <c r="F1609" s="4" t="s">
        <v>9008</v>
      </c>
      <c r="G1609" s="4">
        <v>2010</v>
      </c>
      <c r="H1609" s="25">
        <v>40291</v>
      </c>
      <c r="I1609" s="4" t="s">
        <v>10568</v>
      </c>
      <c r="K1609" s="4" t="s">
        <v>2331</v>
      </c>
    </row>
    <row r="1610" spans="1:11" ht="15.75" customHeight="1">
      <c r="A1610" s="4">
        <v>29358873</v>
      </c>
      <c r="B1610" s="4" t="s">
        <v>10569</v>
      </c>
      <c r="C1610" s="4" t="s">
        <v>10570</v>
      </c>
      <c r="D1610" s="4" t="s">
        <v>10571</v>
      </c>
      <c r="E1610" s="4" t="s">
        <v>1405</v>
      </c>
      <c r="F1610" s="4" t="s">
        <v>6632</v>
      </c>
      <c r="G1610" s="4">
        <v>2017</v>
      </c>
      <c r="H1610" s="25">
        <v>43124</v>
      </c>
      <c r="I1610" s="4" t="s">
        <v>10572</v>
      </c>
      <c r="K1610" s="4" t="s">
        <v>1406</v>
      </c>
    </row>
    <row r="1611" spans="1:11" ht="15.75" customHeight="1">
      <c r="A1611" s="4">
        <v>11297322</v>
      </c>
      <c r="B1611" s="4" t="s">
        <v>10573</v>
      </c>
      <c r="C1611" s="4" t="s">
        <v>10574</v>
      </c>
      <c r="D1611" s="4" t="s">
        <v>10575</v>
      </c>
      <c r="E1611" s="4" t="s">
        <v>2357</v>
      </c>
      <c r="F1611" s="4" t="s">
        <v>10576</v>
      </c>
      <c r="G1611" s="4">
        <v>2001</v>
      </c>
      <c r="H1611" s="25">
        <v>36993</v>
      </c>
      <c r="K1611" s="4" t="s">
        <v>2358</v>
      </c>
    </row>
    <row r="1612" spans="1:11" ht="15.75" customHeight="1">
      <c r="A1612" s="4">
        <v>33048220</v>
      </c>
      <c r="B1612" s="4" t="s">
        <v>10577</v>
      </c>
      <c r="C1612" s="4" t="s">
        <v>10578</v>
      </c>
      <c r="D1612" s="4" t="s">
        <v>10579</v>
      </c>
      <c r="E1612" s="4" t="s">
        <v>2680</v>
      </c>
      <c r="F1612" s="4" t="s">
        <v>7382</v>
      </c>
      <c r="G1612" s="4">
        <v>2021</v>
      </c>
      <c r="H1612" s="25">
        <v>44117</v>
      </c>
      <c r="I1612" s="4" t="s">
        <v>10580</v>
      </c>
      <c r="K1612" s="4" t="s">
        <v>2681</v>
      </c>
    </row>
    <row r="1613" spans="1:11" ht="15.75" customHeight="1">
      <c r="A1613" s="4">
        <v>11887337</v>
      </c>
      <c r="B1613" s="4" t="s">
        <v>10581</v>
      </c>
      <c r="C1613" s="4" t="s">
        <v>10582</v>
      </c>
      <c r="D1613" s="4" t="s">
        <v>10583</v>
      </c>
      <c r="E1613" s="4" t="s">
        <v>2800</v>
      </c>
      <c r="F1613" s="4" t="s">
        <v>4954</v>
      </c>
      <c r="G1613" s="4">
        <v>2001</v>
      </c>
      <c r="H1613" s="25">
        <v>37328</v>
      </c>
    </row>
    <row r="1614" spans="1:11" ht="15.75" customHeight="1">
      <c r="A1614" s="4">
        <v>10878482</v>
      </c>
      <c r="B1614" s="4" t="s">
        <v>10584</v>
      </c>
      <c r="C1614" s="4" t="s">
        <v>10585</v>
      </c>
      <c r="D1614" s="4" t="s">
        <v>10586</v>
      </c>
      <c r="E1614" s="4" t="s">
        <v>2818</v>
      </c>
      <c r="F1614" s="4" t="s">
        <v>10587</v>
      </c>
      <c r="G1614" s="4">
        <v>2000</v>
      </c>
      <c r="H1614" s="25">
        <v>36713</v>
      </c>
      <c r="K1614" s="4" t="s">
        <v>2819</v>
      </c>
    </row>
    <row r="1615" spans="1:11" ht="15.75" customHeight="1">
      <c r="A1615" s="4">
        <v>32906131</v>
      </c>
      <c r="B1615" s="4" t="s">
        <v>10588</v>
      </c>
      <c r="C1615" s="4" t="s">
        <v>10589</v>
      </c>
      <c r="D1615" s="4" t="s">
        <v>10590</v>
      </c>
      <c r="E1615" s="4" t="s">
        <v>973</v>
      </c>
      <c r="F1615" s="4" t="s">
        <v>10591</v>
      </c>
      <c r="G1615" s="4">
        <v>2021</v>
      </c>
      <c r="H1615" s="25">
        <v>44083</v>
      </c>
      <c r="I1615" s="4" t="s">
        <v>10592</v>
      </c>
      <c r="K1615" s="4" t="s">
        <v>974</v>
      </c>
    </row>
    <row r="1616" spans="1:11" ht="15.75" customHeight="1">
      <c r="A1616" s="4">
        <v>15175170</v>
      </c>
      <c r="B1616" s="4" t="s">
        <v>10593</v>
      </c>
      <c r="C1616" s="4" t="s">
        <v>10594</v>
      </c>
      <c r="D1616" s="4" t="s">
        <v>10595</v>
      </c>
      <c r="E1616" s="4" t="s">
        <v>4374</v>
      </c>
      <c r="F1616" s="4" t="s">
        <v>10596</v>
      </c>
      <c r="G1616" s="4">
        <v>2004</v>
      </c>
      <c r="H1616" s="25">
        <v>38142</v>
      </c>
      <c r="I1616" s="4" t="s">
        <v>10597</v>
      </c>
      <c r="K1616" s="4" t="s">
        <v>4375</v>
      </c>
    </row>
    <row r="1617" spans="1:11" ht="15.75" customHeight="1">
      <c r="A1617" s="4">
        <v>20548847</v>
      </c>
      <c r="B1617" s="4" t="s">
        <v>10598</v>
      </c>
      <c r="C1617" s="4" t="s">
        <v>10599</v>
      </c>
      <c r="D1617" s="4" t="s">
        <v>10600</v>
      </c>
      <c r="E1617" s="4" t="s">
        <v>4612</v>
      </c>
      <c r="F1617" s="4" t="s">
        <v>10601</v>
      </c>
      <c r="G1617" s="4">
        <v>2009</v>
      </c>
      <c r="H1617" s="25">
        <v>40345</v>
      </c>
      <c r="I1617" s="4" t="s">
        <v>10602</v>
      </c>
      <c r="K1617" s="4" t="s">
        <v>4613</v>
      </c>
    </row>
    <row r="1618" spans="1:11" ht="15.75" customHeight="1">
      <c r="A1618" s="4">
        <v>30958288</v>
      </c>
      <c r="B1618" s="4" t="s">
        <v>10603</v>
      </c>
      <c r="C1618" s="4" t="s">
        <v>10604</v>
      </c>
      <c r="D1618" s="4" t="s">
        <v>10605</v>
      </c>
      <c r="E1618" s="4" t="s">
        <v>2683</v>
      </c>
      <c r="F1618" s="4" t="s">
        <v>10606</v>
      </c>
      <c r="G1618" s="4">
        <v>2019</v>
      </c>
      <c r="H1618" s="25">
        <v>43564</v>
      </c>
    </row>
    <row r="1619" spans="1:11" ht="15.75" customHeight="1">
      <c r="A1619" s="4">
        <v>18789976</v>
      </c>
      <c r="B1619" s="4" t="s">
        <v>10611</v>
      </c>
      <c r="C1619" s="4" t="s">
        <v>10612</v>
      </c>
      <c r="D1619" s="4" t="s">
        <v>10613</v>
      </c>
      <c r="E1619" s="4" t="s">
        <v>695</v>
      </c>
      <c r="F1619" s="4" t="s">
        <v>5267</v>
      </c>
      <c r="G1619" s="4">
        <v>2008</v>
      </c>
      <c r="H1619" s="25">
        <v>39707</v>
      </c>
      <c r="K1619" s="4" t="s">
        <v>696</v>
      </c>
    </row>
    <row r="1620" spans="1:11" ht="15.75" customHeight="1">
      <c r="A1620" s="4">
        <v>25442238</v>
      </c>
      <c r="B1620" s="4" t="s">
        <v>10622</v>
      </c>
      <c r="C1620" s="4" t="s">
        <v>10623</v>
      </c>
      <c r="D1620" s="4" t="s">
        <v>10624</v>
      </c>
      <c r="E1620" s="4" t="s">
        <v>3113</v>
      </c>
      <c r="F1620" s="4" t="s">
        <v>10625</v>
      </c>
      <c r="G1620" s="4">
        <v>2015</v>
      </c>
      <c r="H1620" s="25">
        <v>41976</v>
      </c>
      <c r="K1620" s="4" t="s">
        <v>3114</v>
      </c>
    </row>
    <row r="1621" spans="1:11" ht="15.75" customHeight="1">
      <c r="A1621" s="4">
        <v>8907621</v>
      </c>
      <c r="B1621" s="4" t="s">
        <v>10614</v>
      </c>
      <c r="C1621" s="4" t="s">
        <v>10615</v>
      </c>
      <c r="D1621" s="4" t="s">
        <v>10616</v>
      </c>
      <c r="E1621" s="4" t="s">
        <v>1431</v>
      </c>
      <c r="F1621" s="4" t="s">
        <v>10617</v>
      </c>
      <c r="G1621" s="4">
        <v>1995</v>
      </c>
      <c r="H1621" s="25">
        <v>34700</v>
      </c>
    </row>
    <row r="1622" spans="1:11" ht="15.75" customHeight="1">
      <c r="A1622" s="4">
        <v>21161019</v>
      </c>
      <c r="B1622" s="4" t="s">
        <v>10626</v>
      </c>
      <c r="C1622" s="4" t="s">
        <v>10627</v>
      </c>
      <c r="D1622" s="4" t="s">
        <v>10628</v>
      </c>
      <c r="E1622" s="4" t="s">
        <v>3695</v>
      </c>
      <c r="F1622" s="4" t="s">
        <v>10629</v>
      </c>
      <c r="G1622" s="4">
        <v>2010</v>
      </c>
      <c r="H1622" s="25">
        <v>40529</v>
      </c>
      <c r="I1622" s="4" t="s">
        <v>10630</v>
      </c>
      <c r="K1622" s="4" t="s">
        <v>3714</v>
      </c>
    </row>
    <row r="1623" spans="1:11" ht="15.75" customHeight="1">
      <c r="A1623" s="4">
        <v>23544389</v>
      </c>
      <c r="B1623" s="4" t="s">
        <v>10631</v>
      </c>
      <c r="C1623" s="4" t="s">
        <v>10632</v>
      </c>
      <c r="D1623" s="4" t="s">
        <v>10633</v>
      </c>
      <c r="E1623" s="4" t="s">
        <v>4093</v>
      </c>
      <c r="F1623" s="4" t="s">
        <v>5550</v>
      </c>
      <c r="G1623" s="4">
        <v>2013</v>
      </c>
      <c r="H1623" s="25">
        <v>41367</v>
      </c>
      <c r="K1623" s="4" t="s">
        <v>4094</v>
      </c>
    </row>
    <row r="1624" spans="1:11" ht="15.75" customHeight="1">
      <c r="A1624" s="4">
        <v>34932790</v>
      </c>
      <c r="B1624" s="4" t="s">
        <v>10618</v>
      </c>
      <c r="C1624" s="4" t="s">
        <v>10619</v>
      </c>
      <c r="D1624" s="4" t="s">
        <v>10620</v>
      </c>
      <c r="E1624" s="4" t="s">
        <v>939</v>
      </c>
      <c r="F1624" s="4" t="s">
        <v>4833</v>
      </c>
      <c r="G1624" s="4">
        <v>2022</v>
      </c>
      <c r="H1624" s="25">
        <v>44551</v>
      </c>
      <c r="I1624" s="4" t="s">
        <v>10621</v>
      </c>
      <c r="K1624" s="4" t="s">
        <v>940</v>
      </c>
    </row>
    <row r="1625" spans="1:11" ht="15.75" customHeight="1">
      <c r="A1625" s="4">
        <v>37131308</v>
      </c>
      <c r="B1625" s="4" t="s">
        <v>10649</v>
      </c>
      <c r="C1625" s="4" t="s">
        <v>10650</v>
      </c>
      <c r="D1625" s="4" t="s">
        <v>10651</v>
      </c>
      <c r="E1625" s="4" t="s">
        <v>1567</v>
      </c>
      <c r="F1625" s="4" t="s">
        <v>10652</v>
      </c>
      <c r="G1625" s="4">
        <v>2023</v>
      </c>
      <c r="H1625" s="25">
        <v>45049</v>
      </c>
      <c r="I1625" s="4" t="s">
        <v>10653</v>
      </c>
      <c r="K1625" s="4" t="s">
        <v>1568</v>
      </c>
    </row>
    <row r="1626" spans="1:11" ht="15.75" customHeight="1">
      <c r="A1626" s="4">
        <v>18675102</v>
      </c>
      <c r="B1626" s="4" t="s">
        <v>10634</v>
      </c>
      <c r="C1626" s="4" t="s">
        <v>10635</v>
      </c>
      <c r="D1626" s="4" t="s">
        <v>10636</v>
      </c>
      <c r="E1626" s="4" t="s">
        <v>1871</v>
      </c>
      <c r="F1626" s="4" t="s">
        <v>5696</v>
      </c>
      <c r="G1626" s="4">
        <v>2008</v>
      </c>
      <c r="H1626" s="25">
        <v>39665</v>
      </c>
      <c r="K1626" s="4" t="s">
        <v>1872</v>
      </c>
    </row>
    <row r="1627" spans="1:11" ht="15.75" customHeight="1">
      <c r="A1627" s="4">
        <v>34188012</v>
      </c>
      <c r="B1627" s="4" t="s">
        <v>10657</v>
      </c>
      <c r="C1627" s="4" t="s">
        <v>10658</v>
      </c>
      <c r="D1627" s="4" t="s">
        <v>10659</v>
      </c>
      <c r="E1627" s="4" t="s">
        <v>3816</v>
      </c>
      <c r="F1627" s="4" t="s">
        <v>10660</v>
      </c>
      <c r="G1627" s="4">
        <v>2021</v>
      </c>
      <c r="H1627" s="25">
        <v>44377</v>
      </c>
      <c r="I1627" s="4" t="s">
        <v>10661</v>
      </c>
      <c r="K1627" s="4" t="s">
        <v>3817</v>
      </c>
    </row>
    <row r="1628" spans="1:11" ht="15.75" customHeight="1">
      <c r="A1628" s="4">
        <v>35757074</v>
      </c>
      <c r="B1628" s="4" t="s">
        <v>10640</v>
      </c>
      <c r="C1628" s="4" t="s">
        <v>10641</v>
      </c>
      <c r="D1628" s="4" t="s">
        <v>10642</v>
      </c>
      <c r="E1628" s="4" t="s">
        <v>1146</v>
      </c>
      <c r="F1628" s="4" t="s">
        <v>10643</v>
      </c>
      <c r="G1628" s="4">
        <v>2021</v>
      </c>
      <c r="H1628" s="25">
        <v>44739</v>
      </c>
      <c r="I1628" s="4" t="s">
        <v>10644</v>
      </c>
      <c r="K1628" s="4" t="s">
        <v>1147</v>
      </c>
    </row>
    <row r="1629" spans="1:11" ht="15.75" customHeight="1">
      <c r="A1629" s="4">
        <v>35336070</v>
      </c>
      <c r="B1629" s="4" t="s">
        <v>10645</v>
      </c>
      <c r="C1629" s="4" t="s">
        <v>10646</v>
      </c>
      <c r="D1629" s="4" t="s">
        <v>10647</v>
      </c>
      <c r="E1629" s="4" t="s">
        <v>1386</v>
      </c>
      <c r="F1629" s="4" t="s">
        <v>9231</v>
      </c>
      <c r="G1629" s="4">
        <v>2022</v>
      </c>
      <c r="H1629" s="25">
        <v>44646</v>
      </c>
      <c r="I1629" s="4" t="s">
        <v>10648</v>
      </c>
      <c r="K1629" s="4" t="s">
        <v>1391</v>
      </c>
    </row>
    <row r="1630" spans="1:11" ht="15.75" customHeight="1">
      <c r="A1630" s="4">
        <v>2571338</v>
      </c>
      <c r="B1630" s="4" t="s">
        <v>10654</v>
      </c>
      <c r="C1630" s="4" t="s">
        <v>10655</v>
      </c>
      <c r="D1630" s="4" t="s">
        <v>10656</v>
      </c>
      <c r="E1630" s="4" t="s">
        <v>2088</v>
      </c>
      <c r="F1630" s="4" t="s">
        <v>8350</v>
      </c>
      <c r="G1630" s="4">
        <v>1989</v>
      </c>
      <c r="H1630" s="25">
        <v>32721</v>
      </c>
      <c r="K1630" s="4" t="s">
        <v>2089</v>
      </c>
    </row>
    <row r="1631" spans="1:11" ht="15.75" customHeight="1">
      <c r="A1631" s="4">
        <v>37602673</v>
      </c>
      <c r="B1631" s="4" t="s">
        <v>10668</v>
      </c>
      <c r="C1631" s="4" t="s">
        <v>10669</v>
      </c>
      <c r="D1631" s="4" t="s">
        <v>10670</v>
      </c>
      <c r="E1631" s="4" t="s">
        <v>1448</v>
      </c>
      <c r="F1631" s="4" t="s">
        <v>10671</v>
      </c>
      <c r="G1631" s="4">
        <v>2023</v>
      </c>
      <c r="H1631" s="25">
        <v>45159</v>
      </c>
      <c r="I1631" s="4" t="s">
        <v>10672</v>
      </c>
      <c r="K1631" s="4" t="s">
        <v>1449</v>
      </c>
    </row>
    <row r="1632" spans="1:11" ht="15.75" customHeight="1">
      <c r="A1632" s="4">
        <v>38144451</v>
      </c>
      <c r="B1632" s="4" t="s">
        <v>10678</v>
      </c>
      <c r="C1632" s="4" t="s">
        <v>10679</v>
      </c>
      <c r="D1632" s="4" t="s">
        <v>10680</v>
      </c>
      <c r="E1632" s="4" t="s">
        <v>1161</v>
      </c>
      <c r="F1632" s="4" t="s">
        <v>10125</v>
      </c>
      <c r="G1632" s="4">
        <v>2023</v>
      </c>
      <c r="H1632" s="25">
        <v>45285</v>
      </c>
      <c r="I1632" s="4" t="s">
        <v>10681</v>
      </c>
      <c r="K1632" s="4" t="s">
        <v>1162</v>
      </c>
    </row>
    <row r="1633" spans="1:11" ht="15.75" customHeight="1">
      <c r="A1633" s="4">
        <v>21457420</v>
      </c>
      <c r="B1633" s="4" t="s">
        <v>10662</v>
      </c>
      <c r="C1633" s="4" t="s">
        <v>10663</v>
      </c>
      <c r="D1633" s="4" t="s">
        <v>10664</v>
      </c>
      <c r="E1633" s="4" t="s">
        <v>698</v>
      </c>
      <c r="F1633" s="4" t="s">
        <v>4974</v>
      </c>
      <c r="G1633" s="4">
        <v>2011</v>
      </c>
      <c r="H1633" s="25">
        <v>40638</v>
      </c>
      <c r="K1633" s="4" t="s">
        <v>699</v>
      </c>
    </row>
    <row r="1634" spans="1:11" ht="15.75" customHeight="1">
      <c r="A1634" s="4">
        <v>10911374</v>
      </c>
      <c r="B1634" s="4" t="s">
        <v>10665</v>
      </c>
      <c r="C1634" s="4" t="s">
        <v>10666</v>
      </c>
      <c r="D1634" s="4" t="s">
        <v>10667</v>
      </c>
      <c r="E1634" s="4" t="s">
        <v>2566</v>
      </c>
      <c r="F1634" s="4" t="s">
        <v>5291</v>
      </c>
      <c r="G1634" s="4">
        <v>2000</v>
      </c>
      <c r="H1634" s="25">
        <v>36734</v>
      </c>
      <c r="K1634" s="4" t="s">
        <v>2567</v>
      </c>
    </row>
    <row r="1635" spans="1:11" ht="15.75" customHeight="1">
      <c r="A1635" s="4">
        <v>11201155</v>
      </c>
      <c r="B1635" s="4" t="s">
        <v>10673</v>
      </c>
      <c r="C1635" s="4" t="s">
        <v>10674</v>
      </c>
      <c r="D1635" s="4" t="s">
        <v>10675</v>
      </c>
      <c r="E1635" s="4" t="s">
        <v>4213</v>
      </c>
      <c r="F1635" s="4" t="s">
        <v>5047</v>
      </c>
      <c r="G1635" s="4">
        <v>2000</v>
      </c>
      <c r="H1635" s="25">
        <v>36946</v>
      </c>
    </row>
    <row r="1636" spans="1:11" ht="15.75" customHeight="1">
      <c r="A1636" s="4">
        <v>12073776</v>
      </c>
      <c r="B1636" s="4" t="s">
        <v>10676</v>
      </c>
      <c r="C1636" s="4" t="s">
        <v>8850</v>
      </c>
      <c r="D1636" s="4" t="s">
        <v>10677</v>
      </c>
      <c r="E1636" s="4" t="s">
        <v>2800</v>
      </c>
      <c r="F1636" s="4" t="s">
        <v>4954</v>
      </c>
      <c r="G1636" s="4">
        <v>2002</v>
      </c>
      <c r="H1636" s="25">
        <v>37428</v>
      </c>
    </row>
    <row r="1637" spans="1:11" ht="15.75" customHeight="1">
      <c r="A1637" s="4">
        <v>25074497</v>
      </c>
      <c r="B1637" s="4" t="s">
        <v>10682</v>
      </c>
      <c r="C1637" s="4" t="s">
        <v>10683</v>
      </c>
      <c r="D1637" s="4" t="s">
        <v>10684</v>
      </c>
      <c r="E1637" s="4" t="s">
        <v>4327</v>
      </c>
      <c r="F1637" s="4" t="s">
        <v>5543</v>
      </c>
      <c r="G1637" s="4">
        <v>2014</v>
      </c>
      <c r="H1637" s="25">
        <v>41851</v>
      </c>
      <c r="K1637" s="4" t="s">
        <v>4328</v>
      </c>
    </row>
    <row r="1638" spans="1:11" ht="15.75" customHeight="1">
      <c r="A1638" s="4">
        <v>36367762</v>
      </c>
      <c r="B1638" s="4" t="s">
        <v>10685</v>
      </c>
      <c r="C1638" s="4" t="s">
        <v>10686</v>
      </c>
      <c r="D1638" s="4" t="s">
        <v>10687</v>
      </c>
      <c r="E1638" s="4" t="s">
        <v>2203</v>
      </c>
      <c r="F1638" s="4" t="s">
        <v>4966</v>
      </c>
      <c r="G1638" s="4">
        <v>2022</v>
      </c>
      <c r="H1638" s="25">
        <v>44876</v>
      </c>
      <c r="K1638" s="4" t="s">
        <v>2204</v>
      </c>
    </row>
    <row r="1639" spans="1:11" ht="15.75" customHeight="1">
      <c r="A1639" s="4">
        <v>32183884</v>
      </c>
      <c r="B1639" s="4" t="s">
        <v>10691</v>
      </c>
      <c r="C1639" s="4" t="s">
        <v>10692</v>
      </c>
      <c r="D1639" s="4" t="s">
        <v>10693</v>
      </c>
      <c r="E1639" s="4" t="s">
        <v>2284</v>
      </c>
      <c r="F1639" s="4" t="s">
        <v>4867</v>
      </c>
      <c r="G1639" s="4">
        <v>2020</v>
      </c>
      <c r="H1639" s="25">
        <v>43909</v>
      </c>
      <c r="I1639" s="4" t="s">
        <v>10694</v>
      </c>
      <c r="K1639" s="4" t="s">
        <v>2285</v>
      </c>
    </row>
    <row r="1640" spans="1:11" ht="15.75" customHeight="1">
      <c r="A1640" s="4">
        <v>9827286</v>
      </c>
      <c r="B1640" s="4" t="s">
        <v>10699</v>
      </c>
      <c r="C1640" s="4" t="s">
        <v>10700</v>
      </c>
      <c r="D1640" s="4" t="s">
        <v>10701</v>
      </c>
      <c r="E1640" s="4" t="s">
        <v>4389</v>
      </c>
      <c r="F1640" s="4" t="s">
        <v>5080</v>
      </c>
      <c r="G1640" s="4">
        <v>1998</v>
      </c>
      <c r="H1640" s="25">
        <v>36124</v>
      </c>
      <c r="K1640" s="4" t="s">
        <v>4390</v>
      </c>
    </row>
    <row r="1641" spans="1:11" ht="15.75" customHeight="1">
      <c r="A1641" s="4">
        <v>25492663</v>
      </c>
      <c r="B1641" s="4" t="s">
        <v>10688</v>
      </c>
      <c r="C1641" s="4" t="s">
        <v>10689</v>
      </c>
      <c r="D1641" s="4" t="s">
        <v>10690</v>
      </c>
      <c r="E1641" s="4" t="s">
        <v>1990</v>
      </c>
      <c r="F1641" s="4" t="s">
        <v>6282</v>
      </c>
      <c r="G1641" s="4">
        <v>2014</v>
      </c>
      <c r="H1641" s="25">
        <v>41984</v>
      </c>
      <c r="K1641" s="4" t="s">
        <v>1991</v>
      </c>
    </row>
    <row r="1642" spans="1:11" ht="15.75" customHeight="1">
      <c r="A1642" s="4">
        <v>28282487</v>
      </c>
      <c r="B1642" s="4" t="s">
        <v>10707</v>
      </c>
      <c r="C1642" s="4" t="s">
        <v>10708</v>
      </c>
      <c r="D1642" s="4" t="s">
        <v>10709</v>
      </c>
      <c r="E1642" s="4" t="s">
        <v>3334</v>
      </c>
      <c r="F1642" s="4" t="s">
        <v>10710</v>
      </c>
      <c r="G1642" s="4">
        <v>2017</v>
      </c>
      <c r="H1642" s="25">
        <v>42805</v>
      </c>
      <c r="K1642" s="4" t="s">
        <v>3337</v>
      </c>
    </row>
    <row r="1643" spans="1:11" ht="15.75" customHeight="1">
      <c r="A1643" s="4">
        <v>16116557</v>
      </c>
      <c r="B1643" s="4" t="s">
        <v>10695</v>
      </c>
      <c r="C1643" s="4" t="s">
        <v>10696</v>
      </c>
      <c r="D1643" s="4" t="s">
        <v>10697</v>
      </c>
      <c r="E1643" s="4" t="s">
        <v>2163</v>
      </c>
      <c r="F1643" s="4" t="s">
        <v>10698</v>
      </c>
      <c r="G1643" s="4">
        <v>2005</v>
      </c>
      <c r="H1643" s="25">
        <v>38588</v>
      </c>
      <c r="K1643" s="4" t="s">
        <v>2164</v>
      </c>
    </row>
    <row r="1644" spans="1:11" ht="15.75" customHeight="1">
      <c r="A1644" s="4">
        <v>30294260</v>
      </c>
      <c r="B1644" s="4" t="s">
        <v>10702</v>
      </c>
      <c r="C1644" s="4" t="s">
        <v>10703</v>
      </c>
      <c r="D1644" s="4" t="s">
        <v>10704</v>
      </c>
      <c r="E1644" s="4" t="s">
        <v>4136</v>
      </c>
      <c r="F1644" s="4" t="s">
        <v>10705</v>
      </c>
      <c r="G1644" s="4">
        <v>2018</v>
      </c>
      <c r="H1644" s="25">
        <v>43382</v>
      </c>
      <c r="I1644" s="4" t="s">
        <v>10706</v>
      </c>
      <c r="K1644" s="4" t="s">
        <v>4137</v>
      </c>
    </row>
    <row r="1645" spans="1:11" ht="15.75" customHeight="1">
      <c r="A1645" s="4">
        <v>8303178</v>
      </c>
      <c r="B1645" s="4" t="s">
        <v>10711</v>
      </c>
      <c r="C1645" s="4" t="s">
        <v>10712</v>
      </c>
      <c r="D1645" s="4" t="s">
        <v>10713</v>
      </c>
      <c r="E1645" s="4" t="s">
        <v>1844</v>
      </c>
      <c r="F1645" s="4" t="s">
        <v>6575</v>
      </c>
      <c r="G1645" s="4">
        <v>1993</v>
      </c>
      <c r="H1645" s="25">
        <v>34213</v>
      </c>
    </row>
    <row r="1646" spans="1:11" ht="15.75" customHeight="1">
      <c r="A1646" s="4">
        <v>34576764</v>
      </c>
      <c r="B1646" s="4" t="s">
        <v>10714</v>
      </c>
      <c r="C1646" s="4" t="s">
        <v>10715</v>
      </c>
      <c r="D1646" s="4" t="s">
        <v>10716</v>
      </c>
      <c r="E1646" s="4" t="s">
        <v>2425</v>
      </c>
      <c r="F1646" s="4" t="s">
        <v>9231</v>
      </c>
      <c r="G1646" s="4">
        <v>2021</v>
      </c>
      <c r="H1646" s="25">
        <v>44467</v>
      </c>
      <c r="I1646" s="4" t="s">
        <v>10717</v>
      </c>
      <c r="K1646" s="4" t="s">
        <v>2426</v>
      </c>
    </row>
    <row r="1647" spans="1:11" ht="15.75" customHeight="1">
      <c r="A1647" s="4">
        <v>35038852</v>
      </c>
      <c r="B1647" s="4" t="s">
        <v>10732</v>
      </c>
      <c r="C1647" s="4" t="s">
        <v>10733</v>
      </c>
      <c r="D1647" s="4" t="s">
        <v>10734</v>
      </c>
      <c r="E1647" s="4" t="s">
        <v>4052</v>
      </c>
      <c r="F1647" s="4" t="s">
        <v>10735</v>
      </c>
      <c r="G1647" s="4">
        <v>2021</v>
      </c>
      <c r="H1647" s="25">
        <v>44579</v>
      </c>
      <c r="K1647" s="4" t="s">
        <v>4053</v>
      </c>
    </row>
    <row r="1648" spans="1:11" ht="15.75" customHeight="1">
      <c r="A1648" s="4">
        <v>15561688</v>
      </c>
      <c r="B1648" s="4" t="s">
        <v>10770</v>
      </c>
      <c r="C1648" s="4" t="s">
        <v>10771</v>
      </c>
      <c r="D1648" s="4" t="s">
        <v>10772</v>
      </c>
      <c r="E1648" s="4" t="s">
        <v>3161</v>
      </c>
      <c r="F1648" s="4" t="s">
        <v>10178</v>
      </c>
      <c r="G1648" s="4">
        <v>2004</v>
      </c>
      <c r="H1648" s="25">
        <v>38316</v>
      </c>
      <c r="K1648" s="4" t="s">
        <v>3162</v>
      </c>
    </row>
    <row r="1649" spans="1:11" ht="15.75" customHeight="1">
      <c r="A1649" s="4">
        <v>27222672</v>
      </c>
      <c r="B1649" s="4" t="s">
        <v>10757</v>
      </c>
      <c r="C1649" s="4" t="s">
        <v>10758</v>
      </c>
      <c r="D1649" s="4" t="s">
        <v>10759</v>
      </c>
      <c r="E1649" s="4" t="s">
        <v>3514</v>
      </c>
      <c r="F1649" s="4" t="s">
        <v>10760</v>
      </c>
      <c r="G1649" s="4">
        <v>2016</v>
      </c>
      <c r="H1649" s="25">
        <v>42516</v>
      </c>
      <c r="I1649" s="4" t="s">
        <v>10761</v>
      </c>
      <c r="K1649" s="4" t="s">
        <v>3515</v>
      </c>
    </row>
    <row r="1650" spans="1:11" ht="15.75" customHeight="1">
      <c r="A1650" s="4">
        <v>33784434</v>
      </c>
      <c r="B1650" s="4" t="s">
        <v>10721</v>
      </c>
      <c r="C1650" s="4" t="s">
        <v>10722</v>
      </c>
      <c r="D1650" s="4" t="s">
        <v>10723</v>
      </c>
      <c r="E1650" s="4" t="s">
        <v>3410</v>
      </c>
      <c r="F1650" s="4" t="s">
        <v>5291</v>
      </c>
      <c r="G1650" s="4">
        <v>2021</v>
      </c>
      <c r="H1650" s="25">
        <v>44285</v>
      </c>
      <c r="K1650" s="4" t="s">
        <v>3411</v>
      </c>
    </row>
    <row r="1651" spans="1:11" ht="15.75" customHeight="1">
      <c r="A1651" s="4">
        <v>22580050</v>
      </c>
      <c r="B1651" s="4" t="s">
        <v>10724</v>
      </c>
      <c r="C1651" s="4" t="s">
        <v>10725</v>
      </c>
      <c r="D1651" s="4" t="s">
        <v>10726</v>
      </c>
      <c r="E1651" s="4" t="s">
        <v>2336</v>
      </c>
      <c r="F1651" s="4" t="s">
        <v>9691</v>
      </c>
      <c r="G1651" s="4">
        <v>2012</v>
      </c>
      <c r="H1651" s="25">
        <v>41044</v>
      </c>
      <c r="K1651" s="4" t="s">
        <v>2337</v>
      </c>
    </row>
    <row r="1652" spans="1:11" ht="15.75" customHeight="1">
      <c r="A1652" s="4">
        <v>16456326</v>
      </c>
      <c r="B1652" s="4" t="s">
        <v>10718</v>
      </c>
      <c r="C1652" s="4" t="s">
        <v>10719</v>
      </c>
      <c r="D1652" s="4" t="s">
        <v>10720</v>
      </c>
      <c r="E1652" s="4" t="s">
        <v>1511</v>
      </c>
      <c r="F1652" s="4" t="s">
        <v>5693</v>
      </c>
      <c r="G1652" s="4">
        <v>2006</v>
      </c>
      <c r="H1652" s="25">
        <v>38752</v>
      </c>
      <c r="K1652" s="4" t="s">
        <v>1512</v>
      </c>
    </row>
    <row r="1653" spans="1:11" ht="15.75" customHeight="1">
      <c r="A1653" s="4">
        <v>31837130</v>
      </c>
      <c r="B1653" s="4" t="s">
        <v>10727</v>
      </c>
      <c r="C1653" s="4" t="s">
        <v>10728</v>
      </c>
      <c r="D1653" s="4" t="s">
        <v>10729</v>
      </c>
      <c r="E1653" s="4" t="s">
        <v>4719</v>
      </c>
      <c r="F1653" s="4" t="s">
        <v>10730</v>
      </c>
      <c r="G1653" s="4">
        <v>2020</v>
      </c>
      <c r="H1653" s="25">
        <v>43814</v>
      </c>
      <c r="I1653" s="4" t="s">
        <v>10731</v>
      </c>
      <c r="K1653" s="4" t="s">
        <v>4720</v>
      </c>
    </row>
    <row r="1654" spans="1:11" ht="15.75" customHeight="1">
      <c r="A1654" s="4">
        <v>33706010</v>
      </c>
      <c r="B1654" s="4" t="s">
        <v>10736</v>
      </c>
      <c r="C1654" s="4" t="s">
        <v>10737</v>
      </c>
      <c r="D1654" s="4" t="s">
        <v>10738</v>
      </c>
      <c r="E1654" s="4" t="s">
        <v>3860</v>
      </c>
      <c r="F1654" s="4" t="s">
        <v>10739</v>
      </c>
      <c r="G1654" s="4">
        <v>2021</v>
      </c>
      <c r="H1654" s="25">
        <v>44266</v>
      </c>
      <c r="I1654" s="4" t="s">
        <v>10740</v>
      </c>
      <c r="K1654" s="4" t="s">
        <v>3861</v>
      </c>
    </row>
    <row r="1655" spans="1:11" ht="15.75" customHeight="1">
      <c r="A1655" s="4">
        <v>35863244</v>
      </c>
      <c r="B1655" s="4" t="s">
        <v>10741</v>
      </c>
      <c r="C1655" s="4" t="s">
        <v>10742</v>
      </c>
      <c r="D1655" s="4" t="s">
        <v>10743</v>
      </c>
      <c r="E1655" s="4" t="s">
        <v>2539</v>
      </c>
      <c r="F1655" s="4" t="s">
        <v>10744</v>
      </c>
      <c r="G1655" s="4">
        <v>2022</v>
      </c>
      <c r="H1655" s="25">
        <v>44763</v>
      </c>
      <c r="K1655" s="4" t="s">
        <v>2540</v>
      </c>
    </row>
    <row r="1656" spans="1:11" ht="15.75" customHeight="1">
      <c r="A1656" s="4">
        <v>17716883</v>
      </c>
      <c r="B1656" s="4" t="s">
        <v>10745</v>
      </c>
      <c r="C1656" s="4" t="s">
        <v>10746</v>
      </c>
      <c r="D1656" s="4" t="s">
        <v>10747</v>
      </c>
      <c r="E1656" s="4" t="s">
        <v>4098</v>
      </c>
      <c r="F1656" s="4" t="s">
        <v>10748</v>
      </c>
      <c r="G1656" s="4">
        <v>2007</v>
      </c>
      <c r="H1656" s="25">
        <v>39319</v>
      </c>
      <c r="I1656" s="4" t="s">
        <v>10749</v>
      </c>
      <c r="J1656" s="4" t="s">
        <v>10750</v>
      </c>
      <c r="K1656" s="4" t="s">
        <v>4099</v>
      </c>
    </row>
    <row r="1657" spans="1:11" ht="15.75" customHeight="1">
      <c r="A1657" s="4">
        <v>18778180</v>
      </c>
      <c r="B1657" s="4" t="s">
        <v>10751</v>
      </c>
      <c r="C1657" s="4" t="s">
        <v>10752</v>
      </c>
      <c r="D1657" s="4" t="s">
        <v>10753</v>
      </c>
      <c r="E1657" s="4" t="s">
        <v>902</v>
      </c>
      <c r="F1657" s="4" t="s">
        <v>5221</v>
      </c>
      <c r="G1657" s="4">
        <v>2008</v>
      </c>
      <c r="H1657" s="25">
        <v>39701</v>
      </c>
      <c r="K1657" s="4" t="s">
        <v>903</v>
      </c>
    </row>
    <row r="1658" spans="1:11" ht="15.75" customHeight="1">
      <c r="A1658" s="4">
        <v>36572350</v>
      </c>
      <c r="B1658" s="4" t="s">
        <v>10754</v>
      </c>
      <c r="C1658" s="4" t="s">
        <v>10755</v>
      </c>
      <c r="D1658" s="4" t="s">
        <v>10756</v>
      </c>
      <c r="E1658" s="4" t="s">
        <v>2920</v>
      </c>
      <c r="F1658" s="4" t="s">
        <v>7312</v>
      </c>
      <c r="G1658" s="4">
        <v>2023</v>
      </c>
      <c r="H1658" s="25">
        <v>44921</v>
      </c>
      <c r="K1658" s="4" t="s">
        <v>2921</v>
      </c>
    </row>
    <row r="1659" spans="1:11" ht="15.75" customHeight="1">
      <c r="A1659" s="4">
        <v>21236397</v>
      </c>
      <c r="B1659" s="4" t="s">
        <v>8609</v>
      </c>
      <c r="C1659" s="4" t="s">
        <v>8610</v>
      </c>
      <c r="D1659" s="4" t="s">
        <v>10765</v>
      </c>
      <c r="E1659" s="4" t="s">
        <v>3973</v>
      </c>
      <c r="F1659" s="4" t="s">
        <v>10766</v>
      </c>
      <c r="G1659" s="4">
        <v>2011</v>
      </c>
      <c r="H1659" s="25">
        <v>40561</v>
      </c>
      <c r="K1659" s="4" t="s">
        <v>3976</v>
      </c>
    </row>
    <row r="1660" spans="1:11" ht="15.75" customHeight="1">
      <c r="A1660" s="4">
        <v>38007049</v>
      </c>
      <c r="B1660" s="4" t="s">
        <v>10762</v>
      </c>
      <c r="C1660" s="4" t="s">
        <v>10763</v>
      </c>
      <c r="D1660" s="4" t="s">
        <v>10764</v>
      </c>
      <c r="E1660" s="4" t="s">
        <v>3584</v>
      </c>
      <c r="F1660" s="4" t="s">
        <v>5051</v>
      </c>
      <c r="G1660" s="4">
        <v>2024</v>
      </c>
      <c r="H1660" s="25">
        <v>45255</v>
      </c>
      <c r="K1660" s="4" t="s">
        <v>3585</v>
      </c>
    </row>
    <row r="1661" spans="1:11" ht="15.75" customHeight="1">
      <c r="A1661" s="4">
        <v>31463932</v>
      </c>
      <c r="B1661" s="4" t="s">
        <v>10767</v>
      </c>
      <c r="C1661" s="4" t="s">
        <v>10768</v>
      </c>
      <c r="D1661" s="4" t="s">
        <v>10769</v>
      </c>
      <c r="E1661" s="4" t="s">
        <v>3899</v>
      </c>
      <c r="F1661" s="4" t="s">
        <v>4923</v>
      </c>
      <c r="G1661" s="4">
        <v>2020</v>
      </c>
      <c r="H1661" s="25">
        <v>43707</v>
      </c>
      <c r="K1661" s="4" t="s">
        <v>3900</v>
      </c>
    </row>
    <row r="1662" spans="1:11" ht="15.75" customHeight="1">
      <c r="A1662" s="4">
        <v>10951139</v>
      </c>
      <c r="B1662" s="4" t="s">
        <v>10785</v>
      </c>
      <c r="C1662" s="4" t="s">
        <v>10786</v>
      </c>
      <c r="D1662" s="4" t="s">
        <v>10787</v>
      </c>
      <c r="E1662" s="4" t="s">
        <v>3326</v>
      </c>
      <c r="F1662" s="4" t="s">
        <v>7207</v>
      </c>
      <c r="G1662" s="4">
        <v>2000</v>
      </c>
      <c r="H1662" s="25">
        <v>36760</v>
      </c>
      <c r="K1662" s="4" t="s">
        <v>3327</v>
      </c>
    </row>
    <row r="1663" spans="1:11" ht="15.75" customHeight="1">
      <c r="A1663" s="4">
        <v>18212637</v>
      </c>
      <c r="B1663" s="4" t="s">
        <v>10773</v>
      </c>
      <c r="C1663" s="4" t="s">
        <v>10774</v>
      </c>
      <c r="D1663" s="4" t="s">
        <v>10775</v>
      </c>
      <c r="E1663" s="4" t="s">
        <v>1184</v>
      </c>
      <c r="F1663" s="4" t="s">
        <v>5445</v>
      </c>
      <c r="G1663" s="4">
        <v>2008</v>
      </c>
      <c r="H1663" s="25">
        <v>39471</v>
      </c>
      <c r="K1663" s="4" t="s">
        <v>1185</v>
      </c>
    </row>
    <row r="1664" spans="1:11" ht="15.75" customHeight="1">
      <c r="A1664" s="4">
        <v>23225133</v>
      </c>
      <c r="B1664" s="4" t="s">
        <v>10776</v>
      </c>
      <c r="C1664" s="4" t="s">
        <v>10365</v>
      </c>
      <c r="D1664" s="4" t="s">
        <v>10777</v>
      </c>
      <c r="E1664" s="4" t="s">
        <v>3099</v>
      </c>
      <c r="F1664" s="4" t="s">
        <v>10778</v>
      </c>
      <c r="G1664" s="4">
        <v>2013</v>
      </c>
      <c r="H1664" s="25">
        <v>41254</v>
      </c>
      <c r="K1664" s="4" t="s">
        <v>3102</v>
      </c>
    </row>
    <row r="1665" spans="1:11" ht="15.75" customHeight="1">
      <c r="A1665" s="4">
        <v>38146348</v>
      </c>
      <c r="B1665" s="4" t="s">
        <v>10796</v>
      </c>
      <c r="C1665" s="4" t="s">
        <v>10797</v>
      </c>
      <c r="D1665" s="4" t="s">
        <v>10798</v>
      </c>
      <c r="E1665" s="4" t="s">
        <v>2949</v>
      </c>
      <c r="F1665" s="4" t="s">
        <v>10799</v>
      </c>
      <c r="G1665" s="4">
        <v>2023</v>
      </c>
      <c r="H1665" s="25">
        <v>45286</v>
      </c>
      <c r="I1665" s="4" t="s">
        <v>10800</v>
      </c>
      <c r="K1665" s="4" t="s">
        <v>2950</v>
      </c>
    </row>
    <row r="1666" spans="1:11" ht="15.75" customHeight="1">
      <c r="A1666" s="4">
        <v>15621108</v>
      </c>
      <c r="B1666" s="4" t="s">
        <v>10779</v>
      </c>
      <c r="C1666" s="4" t="s">
        <v>10780</v>
      </c>
      <c r="D1666" s="4" t="s">
        <v>10781</v>
      </c>
      <c r="E1666" s="4" t="s">
        <v>1086</v>
      </c>
      <c r="F1666" s="4" t="s">
        <v>5696</v>
      </c>
      <c r="G1666" s="4">
        <v>2004</v>
      </c>
      <c r="H1666" s="25">
        <v>38350</v>
      </c>
      <c r="K1666" s="4" t="s">
        <v>1093</v>
      </c>
    </row>
    <row r="1667" spans="1:11" ht="15.75" customHeight="1">
      <c r="A1667" s="4">
        <v>8953678</v>
      </c>
      <c r="B1667" s="4" t="s">
        <v>10782</v>
      </c>
      <c r="C1667" s="4" t="s">
        <v>10783</v>
      </c>
      <c r="D1667" s="4" t="s">
        <v>10784</v>
      </c>
      <c r="E1667" s="4" t="s">
        <v>1981</v>
      </c>
      <c r="F1667" s="4" t="s">
        <v>6718</v>
      </c>
      <c r="G1667" s="4">
        <v>1996</v>
      </c>
      <c r="H1667" s="25">
        <v>35065</v>
      </c>
      <c r="K1667" s="4" t="s">
        <v>1982</v>
      </c>
    </row>
    <row r="1668" spans="1:11" ht="15.75" customHeight="1">
      <c r="A1668" s="4">
        <v>17580183</v>
      </c>
      <c r="B1668" s="4" t="s">
        <v>10788</v>
      </c>
      <c r="C1668" s="4" t="s">
        <v>10789</v>
      </c>
      <c r="D1668" s="4" t="s">
        <v>10790</v>
      </c>
      <c r="E1668" s="4" t="s">
        <v>4242</v>
      </c>
      <c r="F1668" s="4" t="s">
        <v>5696</v>
      </c>
      <c r="G1668" s="4">
        <v>2007</v>
      </c>
      <c r="H1668" s="25">
        <v>39254</v>
      </c>
      <c r="K1668" s="4" t="s">
        <v>4245</v>
      </c>
    </row>
    <row r="1669" spans="1:11" ht="15.75" customHeight="1">
      <c r="A1669" s="4">
        <v>34205498</v>
      </c>
      <c r="B1669" s="4" t="s">
        <v>10791</v>
      </c>
      <c r="C1669" s="4" t="s">
        <v>10792</v>
      </c>
      <c r="D1669" s="4" t="s">
        <v>10793</v>
      </c>
      <c r="E1669" s="4" t="s">
        <v>2526</v>
      </c>
      <c r="F1669" s="4" t="s">
        <v>10794</v>
      </c>
      <c r="G1669" s="4">
        <v>2021</v>
      </c>
      <c r="H1669" s="25">
        <v>44379</v>
      </c>
      <c r="I1669" s="4" t="s">
        <v>10795</v>
      </c>
      <c r="K1669" s="4" t="s">
        <v>2527</v>
      </c>
    </row>
    <row r="1670" spans="1:11" ht="15.75" customHeight="1">
      <c r="A1670" s="4">
        <v>16386530</v>
      </c>
      <c r="B1670" s="4" t="s">
        <v>10801</v>
      </c>
      <c r="C1670" s="4" t="s">
        <v>10802</v>
      </c>
      <c r="D1670" s="4" t="s">
        <v>10803</v>
      </c>
      <c r="E1670" s="4" t="s">
        <v>2186</v>
      </c>
      <c r="F1670" s="4" t="s">
        <v>5696</v>
      </c>
      <c r="G1670" s="4">
        <v>2005</v>
      </c>
      <c r="H1670" s="25">
        <v>38720</v>
      </c>
      <c r="K1670" s="4" t="s">
        <v>2187</v>
      </c>
    </row>
    <row r="1671" spans="1:11" ht="15.75" customHeight="1">
      <c r="A1671" s="4">
        <v>9153236</v>
      </c>
      <c r="B1671" s="4" t="s">
        <v>10804</v>
      </c>
      <c r="C1671" s="4" t="s">
        <v>10805</v>
      </c>
      <c r="D1671" s="4" t="s">
        <v>10806</v>
      </c>
      <c r="E1671" s="4" t="s">
        <v>4630</v>
      </c>
      <c r="F1671" s="4" t="s">
        <v>6006</v>
      </c>
      <c r="G1671" s="4">
        <v>1997</v>
      </c>
      <c r="H1671" s="25">
        <v>35573</v>
      </c>
      <c r="K1671" s="4" t="s">
        <v>4631</v>
      </c>
    </row>
    <row r="1672" spans="1:11" ht="15.75" customHeight="1">
      <c r="A1672" s="4">
        <v>29239849</v>
      </c>
      <c r="B1672" s="4" t="s">
        <v>10807</v>
      </c>
      <c r="C1672" s="4" t="s">
        <v>10808</v>
      </c>
      <c r="D1672" s="4" t="s">
        <v>10809</v>
      </c>
      <c r="E1672" s="4" t="s">
        <v>4600</v>
      </c>
      <c r="F1672" s="4" t="s">
        <v>10810</v>
      </c>
      <c r="G1672" s="4">
        <v>2018</v>
      </c>
      <c r="H1672" s="25">
        <v>43084</v>
      </c>
      <c r="K1672" s="4" t="s">
        <v>4601</v>
      </c>
    </row>
    <row r="1673" spans="1:11" ht="15.75" customHeight="1">
      <c r="A1673" s="4">
        <v>22739739</v>
      </c>
      <c r="B1673" s="4" t="s">
        <v>10811</v>
      </c>
      <c r="C1673" s="4" t="s">
        <v>10812</v>
      </c>
      <c r="D1673" s="4" t="s">
        <v>10813</v>
      </c>
      <c r="E1673" s="4" t="s">
        <v>3247</v>
      </c>
      <c r="F1673" s="4" t="s">
        <v>7762</v>
      </c>
      <c r="G1673" s="4">
        <v>2012</v>
      </c>
      <c r="H1673" s="25">
        <v>41089</v>
      </c>
      <c r="I1673" s="4" t="s">
        <v>10814</v>
      </c>
      <c r="K1673" s="4" t="s">
        <v>3248</v>
      </c>
    </row>
    <row r="1674" spans="1:11" ht="15.75" customHeight="1">
      <c r="A1674" s="4">
        <v>17032433</v>
      </c>
      <c r="B1674" s="4" t="s">
        <v>10815</v>
      </c>
      <c r="C1674" s="4" t="s">
        <v>10816</v>
      </c>
      <c r="D1674" s="4" t="s">
        <v>10817</v>
      </c>
      <c r="E1674" s="4" t="s">
        <v>4073</v>
      </c>
      <c r="F1674" s="4" t="s">
        <v>5543</v>
      </c>
      <c r="G1674" s="4">
        <v>2006</v>
      </c>
      <c r="H1674" s="25">
        <v>39003</v>
      </c>
      <c r="K1674" s="4" t="s">
        <v>4074</v>
      </c>
    </row>
    <row r="1675" spans="1:11" ht="15.75" customHeight="1">
      <c r="A1675" s="4">
        <v>8869358</v>
      </c>
      <c r="B1675" s="4" t="s">
        <v>10818</v>
      </c>
      <c r="C1675" s="4" t="s">
        <v>10819</v>
      </c>
      <c r="D1675" s="4" t="s">
        <v>10820</v>
      </c>
      <c r="E1675" s="4" t="s">
        <v>4462</v>
      </c>
      <c r="F1675" s="4" t="s">
        <v>10821</v>
      </c>
      <c r="G1675" s="4">
        <v>1996</v>
      </c>
      <c r="H1675" s="25">
        <v>35065</v>
      </c>
    </row>
    <row r="1676" spans="1:11" ht="15.75" customHeight="1">
      <c r="A1676" s="4">
        <v>19656540</v>
      </c>
      <c r="B1676" s="4" t="s">
        <v>10826</v>
      </c>
      <c r="C1676" s="4" t="s">
        <v>10827</v>
      </c>
      <c r="D1676" s="4" t="s">
        <v>10828</v>
      </c>
      <c r="E1676" s="4" t="s">
        <v>2166</v>
      </c>
      <c r="F1676" s="4" t="s">
        <v>10829</v>
      </c>
      <c r="G1676" s="4">
        <v>2009</v>
      </c>
      <c r="H1676" s="25">
        <v>40032</v>
      </c>
      <c r="I1676" s="4" t="s">
        <v>10830</v>
      </c>
      <c r="K1676" s="4" t="s">
        <v>2167</v>
      </c>
    </row>
    <row r="1677" spans="1:11" ht="15.75" customHeight="1">
      <c r="A1677" s="4">
        <v>29384118</v>
      </c>
      <c r="B1677" s="4" t="s">
        <v>10822</v>
      </c>
      <c r="C1677" s="4" t="s">
        <v>10823</v>
      </c>
      <c r="D1677" s="4" t="s">
        <v>10824</v>
      </c>
      <c r="E1677" s="4" t="s">
        <v>1645</v>
      </c>
      <c r="F1677" s="4" t="s">
        <v>10825</v>
      </c>
      <c r="G1677" s="4">
        <v>2018</v>
      </c>
      <c r="H1677" s="25">
        <v>43132</v>
      </c>
      <c r="K1677" s="4" t="s">
        <v>1646</v>
      </c>
    </row>
    <row r="1678" spans="1:11" ht="15.75" customHeight="1">
      <c r="A1678" s="4">
        <v>12195400</v>
      </c>
      <c r="B1678" s="4" t="s">
        <v>10831</v>
      </c>
      <c r="C1678" s="4" t="s">
        <v>10832</v>
      </c>
      <c r="D1678" s="4" t="s">
        <v>10833</v>
      </c>
      <c r="E1678" s="4" t="s">
        <v>3295</v>
      </c>
      <c r="F1678" s="4" t="s">
        <v>10834</v>
      </c>
      <c r="G1678" s="4">
        <v>2002</v>
      </c>
      <c r="H1678" s="25">
        <v>37495</v>
      </c>
    </row>
    <row r="1679" spans="1:11" ht="15.75" customHeight="1">
      <c r="A1679" s="4">
        <v>21757415</v>
      </c>
      <c r="B1679" s="4" t="s">
        <v>10835</v>
      </c>
      <c r="C1679" s="4" t="s">
        <v>10836</v>
      </c>
      <c r="D1679" s="4" t="s">
        <v>10837</v>
      </c>
      <c r="E1679" s="4" t="s">
        <v>1436</v>
      </c>
      <c r="F1679" s="4" t="s">
        <v>10838</v>
      </c>
      <c r="G1679" s="4">
        <v>2012</v>
      </c>
      <c r="H1679" s="25">
        <v>40740</v>
      </c>
      <c r="K1679" s="4" t="s">
        <v>1437</v>
      </c>
    </row>
    <row r="1680" spans="1:11" ht="15.75" customHeight="1">
      <c r="A1680" s="4">
        <v>16489840</v>
      </c>
      <c r="B1680" s="4" t="s">
        <v>10839</v>
      </c>
      <c r="C1680" s="4" t="s">
        <v>10840</v>
      </c>
      <c r="D1680" s="4" t="s">
        <v>10841</v>
      </c>
      <c r="E1680" s="4" t="s">
        <v>4180</v>
      </c>
      <c r="F1680" s="4" t="s">
        <v>10842</v>
      </c>
      <c r="G1680" s="4">
        <v>2006</v>
      </c>
      <c r="H1680" s="25">
        <v>38772</v>
      </c>
      <c r="K1680" s="4" t="s">
        <v>4181</v>
      </c>
    </row>
    <row r="1681" spans="1:11" ht="15.75" customHeight="1">
      <c r="A1681" s="4">
        <v>8125426</v>
      </c>
      <c r="B1681" s="4" t="s">
        <v>10843</v>
      </c>
      <c r="C1681" s="4" t="s">
        <v>10844</v>
      </c>
      <c r="D1681" s="4" t="s">
        <v>10845</v>
      </c>
      <c r="E1681" s="4" t="s">
        <v>3237</v>
      </c>
      <c r="F1681" s="4" t="s">
        <v>10846</v>
      </c>
      <c r="G1681" s="4">
        <v>1993</v>
      </c>
      <c r="H1681" s="25">
        <v>34121</v>
      </c>
    </row>
    <row r="1682" spans="1:11" ht="15.75" customHeight="1">
      <c r="A1682" s="4">
        <v>33194546</v>
      </c>
      <c r="B1682" s="4" t="s">
        <v>10847</v>
      </c>
      <c r="C1682" s="4" t="s">
        <v>10848</v>
      </c>
      <c r="D1682" s="4" t="s">
        <v>10849</v>
      </c>
      <c r="E1682" s="4" t="s">
        <v>4009</v>
      </c>
      <c r="F1682" s="4" t="s">
        <v>9439</v>
      </c>
      <c r="G1682" s="4">
        <v>2020</v>
      </c>
      <c r="H1682" s="25">
        <v>44151</v>
      </c>
      <c r="I1682" s="4" t="s">
        <v>10850</v>
      </c>
      <c r="K1682" s="4" t="s">
        <v>4010</v>
      </c>
    </row>
    <row r="1683" spans="1:11" ht="15.75" customHeight="1">
      <c r="A1683" s="4">
        <v>37063394</v>
      </c>
      <c r="B1683" s="4" t="s">
        <v>10851</v>
      </c>
      <c r="C1683" s="4" t="s">
        <v>10852</v>
      </c>
      <c r="D1683" s="4" t="s">
        <v>10853</v>
      </c>
      <c r="E1683" s="4" t="s">
        <v>4343</v>
      </c>
      <c r="F1683" s="4" t="s">
        <v>10854</v>
      </c>
      <c r="G1683" s="4">
        <v>2022</v>
      </c>
      <c r="H1683" s="25">
        <v>45033</v>
      </c>
      <c r="I1683" s="4" t="s">
        <v>10855</v>
      </c>
      <c r="K1683" s="4" t="s">
        <v>4344</v>
      </c>
    </row>
    <row r="1684" spans="1:11" ht="15.75" customHeight="1">
      <c r="A1684" s="4">
        <v>33363781</v>
      </c>
      <c r="B1684" s="4" t="s">
        <v>10856</v>
      </c>
      <c r="C1684" s="4" t="s">
        <v>10857</v>
      </c>
      <c r="D1684" s="4" t="s">
        <v>10858</v>
      </c>
      <c r="E1684" s="4" t="s">
        <v>4109</v>
      </c>
      <c r="F1684" s="4" t="s">
        <v>9775</v>
      </c>
      <c r="G1684" s="4">
        <v>2020</v>
      </c>
      <c r="H1684" s="25">
        <v>44193</v>
      </c>
      <c r="I1684" s="4" t="s">
        <v>10859</v>
      </c>
      <c r="K1684" s="4" t="s">
        <v>4110</v>
      </c>
    </row>
    <row r="1685" spans="1:11" ht="15.75" customHeight="1">
      <c r="A1685" s="4">
        <v>10738138</v>
      </c>
      <c r="B1685" s="4" t="s">
        <v>10860</v>
      </c>
      <c r="C1685" s="4" t="s">
        <v>10861</v>
      </c>
      <c r="D1685" s="4" t="s">
        <v>10862</v>
      </c>
      <c r="E1685" s="4" t="s">
        <v>2671</v>
      </c>
      <c r="F1685" s="4" t="s">
        <v>4896</v>
      </c>
      <c r="G1685" s="4">
        <v>2000</v>
      </c>
      <c r="H1685" s="25">
        <v>36615</v>
      </c>
      <c r="K1685" s="4" t="s">
        <v>2676</v>
      </c>
    </row>
    <row r="1686" spans="1:11" ht="15.75" customHeight="1">
      <c r="A1686" s="4">
        <v>22542037</v>
      </c>
      <c r="B1686" s="4" t="s">
        <v>10863</v>
      </c>
      <c r="C1686" s="4" t="s">
        <v>10864</v>
      </c>
      <c r="D1686" s="4" t="s">
        <v>10865</v>
      </c>
      <c r="E1686" s="4" t="s">
        <v>1517</v>
      </c>
      <c r="F1686" s="4" t="s">
        <v>5143</v>
      </c>
      <c r="G1686" s="4">
        <v>2012</v>
      </c>
      <c r="H1686" s="25">
        <v>41030</v>
      </c>
      <c r="K1686" s="4" t="s">
        <v>1518</v>
      </c>
    </row>
    <row r="1687" spans="1:11" ht="15.75" customHeight="1">
      <c r="A1687" s="4">
        <v>29642192</v>
      </c>
      <c r="B1687" s="4" t="s">
        <v>10866</v>
      </c>
      <c r="C1687" s="4" t="s">
        <v>10867</v>
      </c>
      <c r="D1687" s="4" t="s">
        <v>10868</v>
      </c>
      <c r="E1687" s="4" t="s">
        <v>2550</v>
      </c>
      <c r="F1687" s="4" t="s">
        <v>10869</v>
      </c>
      <c r="G1687" s="4">
        <v>2018</v>
      </c>
      <c r="H1687" s="25">
        <v>43202</v>
      </c>
      <c r="I1687" s="4" t="s">
        <v>10870</v>
      </c>
      <c r="K1687" s="4" t="s">
        <v>2551</v>
      </c>
    </row>
    <row r="1688" spans="1:11" ht="15.75" customHeight="1">
      <c r="A1688" s="4">
        <v>21300108</v>
      </c>
      <c r="B1688" s="4" t="s">
        <v>10871</v>
      </c>
      <c r="C1688" s="4" t="s">
        <v>10872</v>
      </c>
      <c r="D1688" s="4" t="s">
        <v>10873</v>
      </c>
      <c r="E1688" s="4" t="s">
        <v>545</v>
      </c>
      <c r="F1688" s="4" t="s">
        <v>5267</v>
      </c>
      <c r="G1688" s="4">
        <v>2011</v>
      </c>
      <c r="H1688" s="25">
        <v>40583</v>
      </c>
      <c r="K1688" s="4" t="s">
        <v>1720</v>
      </c>
    </row>
    <row r="1689" spans="1:11" ht="15.75" customHeight="1">
      <c r="A1689" s="4">
        <v>9155970</v>
      </c>
      <c r="B1689" s="4" t="s">
        <v>10882</v>
      </c>
      <c r="C1689" s="4" t="s">
        <v>10883</v>
      </c>
      <c r="D1689" s="4" t="s">
        <v>10884</v>
      </c>
      <c r="E1689" s="4" t="s">
        <v>1279</v>
      </c>
      <c r="F1689" s="4" t="s">
        <v>7207</v>
      </c>
      <c r="G1689" s="4">
        <v>1997</v>
      </c>
      <c r="H1689" s="25">
        <v>35521</v>
      </c>
    </row>
    <row r="1690" spans="1:11" ht="15.75" customHeight="1">
      <c r="A1690" s="4">
        <v>34206597</v>
      </c>
      <c r="B1690" s="4" t="s">
        <v>10874</v>
      </c>
      <c r="C1690" s="4" t="s">
        <v>10875</v>
      </c>
      <c r="D1690" s="4" t="s">
        <v>10876</v>
      </c>
      <c r="E1690" s="4" t="s">
        <v>1104</v>
      </c>
      <c r="F1690" s="4" t="s">
        <v>10794</v>
      </c>
      <c r="G1690" s="4">
        <v>2021</v>
      </c>
      <c r="H1690" s="25">
        <v>44379</v>
      </c>
      <c r="I1690" s="4" t="s">
        <v>10877</v>
      </c>
      <c r="K1690" s="4" t="s">
        <v>1107</v>
      </c>
    </row>
    <row r="1691" spans="1:11" ht="15.75" customHeight="1">
      <c r="A1691" s="4">
        <v>12182687</v>
      </c>
      <c r="B1691" s="4" t="s">
        <v>10878</v>
      </c>
      <c r="C1691" s="4" t="s">
        <v>10879</v>
      </c>
      <c r="D1691" s="4" t="s">
        <v>10880</v>
      </c>
      <c r="E1691" s="4" t="s">
        <v>1270</v>
      </c>
      <c r="F1691" s="4" t="s">
        <v>10881</v>
      </c>
      <c r="G1691" s="4">
        <v>2002</v>
      </c>
      <c r="H1691" s="25">
        <v>37485</v>
      </c>
      <c r="K1691" s="4" t="s">
        <v>1271</v>
      </c>
    </row>
    <row r="1692" spans="1:11" ht="15.75" customHeight="1">
      <c r="A1692" s="4">
        <v>23588740</v>
      </c>
      <c r="B1692" s="4" t="s">
        <v>10890</v>
      </c>
      <c r="C1692" s="4" t="s">
        <v>10891</v>
      </c>
      <c r="D1692" s="4" t="s">
        <v>10892</v>
      </c>
      <c r="E1692" s="4" t="s">
        <v>3633</v>
      </c>
      <c r="F1692" s="4" t="s">
        <v>4923</v>
      </c>
      <c r="G1692" s="4">
        <v>2013</v>
      </c>
      <c r="H1692" s="25">
        <v>41381</v>
      </c>
      <c r="K1692" s="4" t="s">
        <v>3634</v>
      </c>
    </row>
    <row r="1693" spans="1:11" ht="15.75" customHeight="1">
      <c r="A1693" s="4">
        <v>32944150</v>
      </c>
      <c r="B1693" s="4" t="s">
        <v>10885</v>
      </c>
      <c r="C1693" s="4" t="s">
        <v>10886</v>
      </c>
      <c r="D1693" s="4" t="s">
        <v>10887</v>
      </c>
      <c r="E1693" s="4" t="s">
        <v>3674</v>
      </c>
      <c r="F1693" s="4" t="s">
        <v>10888</v>
      </c>
      <c r="G1693" s="4">
        <v>2020</v>
      </c>
      <c r="H1693" s="25">
        <v>44092</v>
      </c>
      <c r="I1693" s="4" t="s">
        <v>10889</v>
      </c>
      <c r="K1693" s="4" t="s">
        <v>3675</v>
      </c>
    </row>
    <row r="1694" spans="1:11" ht="15.75" customHeight="1">
      <c r="A1694" s="4">
        <v>19910888</v>
      </c>
      <c r="B1694" s="4" t="s">
        <v>10893</v>
      </c>
      <c r="C1694" s="4" t="s">
        <v>10894</v>
      </c>
      <c r="D1694" s="4" t="s">
        <v>10895</v>
      </c>
      <c r="E1694" s="4" t="s">
        <v>2128</v>
      </c>
      <c r="F1694" s="4" t="s">
        <v>10896</v>
      </c>
      <c r="G1694" s="4">
        <v>2009</v>
      </c>
      <c r="H1694" s="25">
        <v>40131</v>
      </c>
    </row>
    <row r="1695" spans="1:11" ht="15.75" customHeight="1">
      <c r="A1695" s="4">
        <v>36806616</v>
      </c>
      <c r="B1695" s="4" t="s">
        <v>10897</v>
      </c>
      <c r="C1695" s="4" t="s">
        <v>10898</v>
      </c>
      <c r="D1695" s="4" t="s">
        <v>10899</v>
      </c>
      <c r="E1695" s="4" t="s">
        <v>2082</v>
      </c>
      <c r="F1695" s="4" t="s">
        <v>10900</v>
      </c>
      <c r="G1695" s="4">
        <v>2023</v>
      </c>
      <c r="H1695" s="25">
        <v>44979</v>
      </c>
      <c r="I1695" s="4" t="s">
        <v>10901</v>
      </c>
      <c r="K1695" s="4" t="s">
        <v>2083</v>
      </c>
    </row>
    <row r="1696" spans="1:11" ht="15.75" customHeight="1">
      <c r="A1696" s="4">
        <v>29535361</v>
      </c>
      <c r="B1696" s="4" t="s">
        <v>10902</v>
      </c>
      <c r="C1696" s="4" t="s">
        <v>10903</v>
      </c>
      <c r="D1696" s="4" t="s">
        <v>10904</v>
      </c>
      <c r="E1696" s="4" t="s">
        <v>2774</v>
      </c>
      <c r="F1696" s="4" t="s">
        <v>5043</v>
      </c>
      <c r="G1696" s="4">
        <v>2018</v>
      </c>
      <c r="H1696" s="25">
        <v>43174</v>
      </c>
      <c r="I1696" s="4" t="s">
        <v>10905</v>
      </c>
      <c r="K1696" s="4" t="s">
        <v>2775</v>
      </c>
    </row>
    <row r="1697" spans="1:11" ht="15.75" customHeight="1">
      <c r="A1697" s="4">
        <v>22372783</v>
      </c>
      <c r="B1697" s="4" t="s">
        <v>10910</v>
      </c>
      <c r="C1697" s="4" t="s">
        <v>10911</v>
      </c>
      <c r="D1697" s="4" t="s">
        <v>10912</v>
      </c>
      <c r="E1697" s="4" t="s">
        <v>3164</v>
      </c>
      <c r="F1697" s="4" t="s">
        <v>9259</v>
      </c>
      <c r="G1697" s="4">
        <v>2012</v>
      </c>
      <c r="H1697" s="25">
        <v>40969</v>
      </c>
      <c r="K1697" s="4" t="s">
        <v>3165</v>
      </c>
    </row>
    <row r="1698" spans="1:11" ht="15.75" customHeight="1">
      <c r="A1698" s="4">
        <v>36284352</v>
      </c>
      <c r="B1698" s="4" t="s">
        <v>10906</v>
      </c>
      <c r="C1698" s="4" t="s">
        <v>10907</v>
      </c>
      <c r="D1698" s="4" t="s">
        <v>10908</v>
      </c>
      <c r="E1698" s="4" t="s">
        <v>4432</v>
      </c>
      <c r="F1698" s="4" t="s">
        <v>7653</v>
      </c>
      <c r="G1698" s="4">
        <v>2022</v>
      </c>
      <c r="H1698" s="25">
        <v>44860</v>
      </c>
      <c r="I1698" s="4" t="s">
        <v>10909</v>
      </c>
      <c r="K1698" s="4" t="s">
        <v>4433</v>
      </c>
    </row>
    <row r="1699" spans="1:11" ht="15.75" customHeight="1">
      <c r="A1699" s="4">
        <v>24337150</v>
      </c>
      <c r="B1699" s="4" t="s">
        <v>10913</v>
      </c>
      <c r="C1699" s="4" t="s">
        <v>10914</v>
      </c>
      <c r="D1699" s="4" t="s">
        <v>10915</v>
      </c>
      <c r="E1699" s="4" t="s">
        <v>3612</v>
      </c>
      <c r="F1699" s="4" t="s">
        <v>10916</v>
      </c>
      <c r="G1699" s="4">
        <v>2014</v>
      </c>
      <c r="H1699" s="25">
        <v>41625</v>
      </c>
      <c r="K1699" s="4" t="s">
        <v>3613</v>
      </c>
    </row>
    <row r="1700" spans="1:11" ht="15.75" customHeight="1">
      <c r="A1700" s="4">
        <v>35242131</v>
      </c>
      <c r="B1700" s="4" t="s">
        <v>10917</v>
      </c>
      <c r="C1700" s="4" t="s">
        <v>10918</v>
      </c>
      <c r="D1700" s="4" t="s">
        <v>10919</v>
      </c>
      <c r="E1700" s="4" t="s">
        <v>1584</v>
      </c>
      <c r="F1700" s="4" t="s">
        <v>4912</v>
      </c>
      <c r="G1700" s="4">
        <v>2022</v>
      </c>
      <c r="H1700" s="25">
        <v>44624</v>
      </c>
      <c r="I1700" s="4" t="s">
        <v>10920</v>
      </c>
      <c r="K1700" s="4" t="s">
        <v>1585</v>
      </c>
    </row>
    <row r="1701" spans="1:11" ht="15.75" customHeight="1">
      <c r="A1701" s="4">
        <v>21121877</v>
      </c>
      <c r="B1701" s="4" t="s">
        <v>10921</v>
      </c>
      <c r="C1701" s="4" t="s">
        <v>10922</v>
      </c>
      <c r="D1701" s="4" t="s">
        <v>10923</v>
      </c>
      <c r="E1701" s="4" t="s">
        <v>2030</v>
      </c>
      <c r="F1701" s="4" t="s">
        <v>10924</v>
      </c>
      <c r="G1701" s="4">
        <v>2011</v>
      </c>
      <c r="H1701" s="25">
        <v>40515</v>
      </c>
      <c r="K1701" s="4" t="s">
        <v>2031</v>
      </c>
    </row>
    <row r="1702" spans="1:11" ht="15.75" customHeight="1">
      <c r="A1702" s="4">
        <v>9577878</v>
      </c>
      <c r="B1702" s="4" t="s">
        <v>10925</v>
      </c>
      <c r="C1702" s="4" t="s">
        <v>4956</v>
      </c>
      <c r="D1702" s="4" t="s">
        <v>10926</v>
      </c>
      <c r="E1702" s="4" t="s">
        <v>1118</v>
      </c>
      <c r="F1702" s="4" t="s">
        <v>10927</v>
      </c>
      <c r="G1702" s="4">
        <v>1998</v>
      </c>
      <c r="H1702" s="25">
        <v>35928</v>
      </c>
      <c r="K1702" s="4" t="s">
        <v>1130</v>
      </c>
    </row>
    <row r="1703" spans="1:11" ht="15.75" customHeight="1">
      <c r="A1703" s="4">
        <v>15169557</v>
      </c>
      <c r="B1703" s="4" t="s">
        <v>10928</v>
      </c>
      <c r="C1703" s="4" t="s">
        <v>10929</v>
      </c>
      <c r="D1703" s="4" t="s">
        <v>10930</v>
      </c>
      <c r="E1703" s="4" t="s">
        <v>2160</v>
      </c>
      <c r="F1703" s="4" t="s">
        <v>10931</v>
      </c>
      <c r="G1703" s="4">
        <v>2004</v>
      </c>
      <c r="H1703" s="25">
        <v>38139</v>
      </c>
      <c r="I1703" s="4" t="s">
        <v>10932</v>
      </c>
      <c r="K1703" s="4" t="s">
        <v>2161</v>
      </c>
    </row>
    <row r="1704" spans="1:11" ht="15.75" customHeight="1">
      <c r="A1704" s="4">
        <v>34912727</v>
      </c>
      <c r="B1704" s="4" t="s">
        <v>10933</v>
      </c>
      <c r="C1704" s="4" t="s">
        <v>10934</v>
      </c>
      <c r="D1704" s="4" t="s">
        <v>10935</v>
      </c>
      <c r="E1704" s="4" t="s">
        <v>3563</v>
      </c>
      <c r="F1704" s="4" t="s">
        <v>9191</v>
      </c>
      <c r="G1704" s="4">
        <v>2021</v>
      </c>
      <c r="H1704" s="25">
        <v>44546</v>
      </c>
      <c r="I1704" s="4" t="s">
        <v>10936</v>
      </c>
      <c r="K1704" s="4" t="s">
        <v>3564</v>
      </c>
    </row>
    <row r="1705" spans="1:11" ht="15.75" customHeight="1">
      <c r="A1705" s="4">
        <v>26451078</v>
      </c>
      <c r="B1705" s="4" t="s">
        <v>10937</v>
      </c>
      <c r="C1705" s="4" t="s">
        <v>10938</v>
      </c>
      <c r="D1705" s="4" t="s">
        <v>10939</v>
      </c>
      <c r="E1705" s="4" t="s">
        <v>1905</v>
      </c>
      <c r="F1705" s="4" t="s">
        <v>10940</v>
      </c>
      <c r="G1705" s="4">
        <v>2015</v>
      </c>
      <c r="H1705" s="25">
        <v>42287</v>
      </c>
      <c r="I1705" s="4" t="s">
        <v>10941</v>
      </c>
      <c r="K1705" s="4" t="s">
        <v>1920</v>
      </c>
    </row>
    <row r="1706" spans="1:11" ht="15.75" customHeight="1">
      <c r="A1706" s="4">
        <v>28834054</v>
      </c>
      <c r="B1706" s="4" t="s">
        <v>10942</v>
      </c>
      <c r="C1706" s="4" t="s">
        <v>10943</v>
      </c>
      <c r="D1706" s="4" t="s">
        <v>10944</v>
      </c>
      <c r="E1706" s="4" t="s">
        <v>1710</v>
      </c>
      <c r="F1706" s="4" t="s">
        <v>4974</v>
      </c>
      <c r="G1706" s="4">
        <v>2017</v>
      </c>
      <c r="H1706" s="25">
        <v>42971</v>
      </c>
      <c r="K1706" s="4" t="s">
        <v>1711</v>
      </c>
    </row>
    <row r="1707" spans="1:11" ht="15.75" customHeight="1">
      <c r="A1707" s="4">
        <v>34874835</v>
      </c>
      <c r="B1707" s="4" t="s">
        <v>10945</v>
      </c>
      <c r="C1707" s="4" t="s">
        <v>10946</v>
      </c>
      <c r="D1707" s="4" t="s">
        <v>10947</v>
      </c>
      <c r="E1707" s="4" t="s">
        <v>3681</v>
      </c>
      <c r="F1707" s="4" t="s">
        <v>8125</v>
      </c>
      <c r="G1707" s="4">
        <v>2022</v>
      </c>
      <c r="H1707" s="25">
        <v>44537</v>
      </c>
      <c r="K1707" s="4" t="s">
        <v>3682</v>
      </c>
    </row>
    <row r="1708" spans="1:11" ht="15.75" customHeight="1">
      <c r="A1708" s="4">
        <v>35215180</v>
      </c>
      <c r="B1708" s="4" t="s">
        <v>10948</v>
      </c>
      <c r="C1708" s="4" t="s">
        <v>10949</v>
      </c>
      <c r="D1708" s="4" t="s">
        <v>10950</v>
      </c>
      <c r="E1708" s="4" t="s">
        <v>1505</v>
      </c>
      <c r="F1708" s="4" t="s">
        <v>10951</v>
      </c>
      <c r="G1708" s="4">
        <v>2022</v>
      </c>
      <c r="H1708" s="25">
        <v>44618</v>
      </c>
      <c r="I1708" s="4" t="s">
        <v>10952</v>
      </c>
      <c r="K1708" s="4" t="s">
        <v>1506</v>
      </c>
    </row>
    <row r="1709" spans="1:11" ht="15.75" customHeight="1">
      <c r="A1709" s="4">
        <v>34022099</v>
      </c>
      <c r="B1709" s="4" t="s">
        <v>10953</v>
      </c>
      <c r="C1709" s="4" t="s">
        <v>10954</v>
      </c>
      <c r="D1709" s="4" t="s">
        <v>10955</v>
      </c>
      <c r="E1709" s="4" t="s">
        <v>2771</v>
      </c>
      <c r="F1709" s="4" t="s">
        <v>4974</v>
      </c>
      <c r="G1709" s="4">
        <v>2021</v>
      </c>
      <c r="H1709" s="25">
        <v>44338</v>
      </c>
      <c r="K1709" s="4" t="s">
        <v>2772</v>
      </c>
    </row>
    <row r="1710" spans="1:11" ht="15.75" customHeight="1">
      <c r="A1710" s="4">
        <v>28864597</v>
      </c>
      <c r="B1710" s="4" t="s">
        <v>10956</v>
      </c>
      <c r="C1710" s="4" t="s">
        <v>10957</v>
      </c>
      <c r="D1710" s="4" t="s">
        <v>10958</v>
      </c>
      <c r="E1710" s="4" t="s">
        <v>2112</v>
      </c>
      <c r="F1710" s="4" t="s">
        <v>10959</v>
      </c>
      <c r="G1710" s="4">
        <v>2017</v>
      </c>
      <c r="H1710" s="25">
        <v>42981</v>
      </c>
      <c r="I1710" s="4" t="s">
        <v>10960</v>
      </c>
      <c r="J1710" s="4" t="s">
        <v>10961</v>
      </c>
      <c r="K1710" s="4" t="s">
        <v>2113</v>
      </c>
    </row>
    <row r="1711" spans="1:11" ht="15.75" customHeight="1">
      <c r="A1711" s="4">
        <v>23165654</v>
      </c>
      <c r="B1711" s="4" t="s">
        <v>10962</v>
      </c>
      <c r="C1711" s="4" t="s">
        <v>10963</v>
      </c>
      <c r="D1711" s="4" t="s">
        <v>10964</v>
      </c>
      <c r="E1711" s="4" t="s">
        <v>1416</v>
      </c>
      <c r="F1711" s="4" t="s">
        <v>4859</v>
      </c>
      <c r="G1711" s="4">
        <v>2013</v>
      </c>
      <c r="H1711" s="25">
        <v>41234</v>
      </c>
      <c r="K1711" s="4" t="s">
        <v>1417</v>
      </c>
    </row>
    <row r="1712" spans="1:11" ht="15.75" customHeight="1">
      <c r="A1712" s="4">
        <v>9342002</v>
      </c>
      <c r="B1712" s="4" t="s">
        <v>10965</v>
      </c>
      <c r="C1712" s="4" t="s">
        <v>10966</v>
      </c>
      <c r="D1712" s="4" t="s">
        <v>10967</v>
      </c>
      <c r="E1712" s="4" t="s">
        <v>1251</v>
      </c>
      <c r="F1712" s="4" t="s">
        <v>5677</v>
      </c>
      <c r="G1712" s="4">
        <v>1997</v>
      </c>
      <c r="H1712" s="25">
        <v>35731</v>
      </c>
    </row>
    <row r="1713" spans="1:11" ht="15.75" customHeight="1">
      <c r="A1713" s="4">
        <v>26460048</v>
      </c>
      <c r="B1713" s="4" t="s">
        <v>10973</v>
      </c>
      <c r="C1713" s="4" t="s">
        <v>10974</v>
      </c>
      <c r="D1713" s="4" t="s">
        <v>10975</v>
      </c>
      <c r="E1713" s="4" t="s">
        <v>1819</v>
      </c>
      <c r="F1713" s="4" t="s">
        <v>5783</v>
      </c>
      <c r="G1713" s="4">
        <v>2015</v>
      </c>
      <c r="H1713" s="25">
        <v>42291</v>
      </c>
      <c r="I1713" s="4" t="s">
        <v>10976</v>
      </c>
      <c r="K1713" s="4" t="s">
        <v>1820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Included</vt:lpstr>
      <vt:lpstr>Full-text review</vt:lpstr>
      <vt:lpstr>Screening</vt:lpstr>
      <vt:lpstr>Search compare</vt:lpstr>
      <vt:lpstr>2024-07-07 pubmed search result</vt:lpstr>
      <vt:lpstr>2024-01-31 pubmed search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Toomey, Daniel C</cp:lastModifiedBy>
  <dcterms:modified xsi:type="dcterms:W3CDTF">2026-01-11T15:39:15Z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9508572-7b39-4e55-b2d8-8f249b1b5ce7_Enabled">
    <vt:lpwstr>true</vt:lpwstr>
  </property>
  <property fmtid="{D5CDD505-2E9C-101B-9397-08002B2CF9AE}" pid="3" name="MSIP_Label_29508572-7b39-4e55-b2d8-8f249b1b5ce7_SetDate">
    <vt:lpwstr>2026-01-08T17:42:38Z</vt:lpwstr>
  </property>
  <property fmtid="{D5CDD505-2E9C-101B-9397-08002B2CF9AE}" pid="4" name="MSIP_Label_29508572-7b39-4e55-b2d8-8f249b1b5ce7_Method">
    <vt:lpwstr>Standard</vt:lpwstr>
  </property>
  <property fmtid="{D5CDD505-2E9C-101B-9397-08002B2CF9AE}" pid="5" name="MSIP_Label_29508572-7b39-4e55-b2d8-8f249b1b5ce7_Name">
    <vt:lpwstr>Geisinger - Internal</vt:lpwstr>
  </property>
  <property fmtid="{D5CDD505-2E9C-101B-9397-08002B2CF9AE}" pid="6" name="MSIP_Label_29508572-7b39-4e55-b2d8-8f249b1b5ce7_SiteId">
    <vt:lpwstr>37d46c56-7c66-4402-a160-55c2313b910d</vt:lpwstr>
  </property>
  <property fmtid="{D5CDD505-2E9C-101B-9397-08002B2CF9AE}" pid="7" name="MSIP_Label_29508572-7b39-4e55-b2d8-8f249b1b5ce7_ActionId">
    <vt:lpwstr>d2b2a65e-8823-4c66-9154-bdcc1256f301</vt:lpwstr>
  </property>
  <property fmtid="{D5CDD505-2E9C-101B-9397-08002B2CF9AE}" pid="8" name="MSIP_Label_29508572-7b39-4e55-b2d8-8f249b1b5ce7_ContentBits">
    <vt:lpwstr>0</vt:lpwstr>
  </property>
  <property fmtid="{D5CDD505-2E9C-101B-9397-08002B2CF9AE}" pid="9" name="MSIP_Label_29508572-7b39-4e55-b2d8-8f249b1b5ce7_Tag">
    <vt:lpwstr>10, 3, 0, 1</vt:lpwstr>
  </property>
</Properties>
</file>